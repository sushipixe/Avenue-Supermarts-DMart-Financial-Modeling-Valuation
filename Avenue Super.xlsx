
<file path=[Content_Types].xml><?xml version="1.0" encoding="utf-8"?>
<Types xmlns="http://schemas.openxmlformats.org/package/2006/content-types">
  <Default Extension="bin" ContentType="application/vnd.openxmlformats-officedocument.spreadsheetml.printerSettings"/>
  <Default Extension="jpeg" ContentType="image/jpeg"/>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tables/table1.xml" ContentType="application/vnd.openxmlformats-officedocument.spreadsheetml.table+xml"/>
  <Override PartName="/xl/tables/table2.xml" ContentType="application/vnd.openxmlformats-officedocument.spreadsheetml.table+xml"/>
  <Override PartName="/xl/drawings/drawing2.xml" ContentType="application/vnd.openxmlformats-officedocument.drawing+xml"/>
  <Override PartName="/xl/charts/chartEx1.xml" ContentType="application/vnd.ms-office.chartex+xml"/>
  <Override PartName="/xl/charts/style7.xml" ContentType="application/vnd.ms-office.chartstyle+xml"/>
  <Override PartName="/xl/charts/colors7.xml" ContentType="application/vnd.ms-office.chartcolorstyle+xml"/>
  <Override PartName="/xl/drawings/drawing3.xml" ContentType="application/vnd.openxmlformats-officedocument.drawing+xml"/>
  <Override PartName="/xl/charts/chart7.xml" ContentType="application/vnd.openxmlformats-officedocument.drawingml.chart+xml"/>
  <Override PartName="/xl/charts/style8.xml" ContentType="application/vnd.ms-office.chartstyle+xml"/>
  <Override PartName="/xl/charts/colors8.xml" ContentType="application/vnd.ms-office.chartcolorstyle+xml"/>
  <Override PartName="/xl/charts/chart8.xml" ContentType="application/vnd.openxmlformats-officedocument.drawingml.chart+xml"/>
  <Override PartName="/xl/charts/style9.xml" ContentType="application/vnd.ms-office.chartstyle+xml"/>
  <Override PartName="/xl/charts/colors9.xml" ContentType="application/vnd.ms-office.chartcolorstyle+xml"/>
  <Override PartName="/xl/charts/chart9.xml" ContentType="application/vnd.openxmlformats-officedocument.drawingml.chart+xml"/>
  <Override PartName="/xl/charts/style10.xml" ContentType="application/vnd.ms-office.chartstyle+xml"/>
  <Override PartName="/xl/charts/colors10.xml" ContentType="application/vnd.ms-office.chartcolorstyle+xml"/>
  <Override PartName="/xl/charts/chart10.xml" ContentType="application/vnd.openxmlformats-officedocument.drawingml.chart+xml"/>
  <Override PartName="/xl/charts/style11.xml" ContentType="application/vnd.ms-office.chartstyle+xml"/>
  <Override PartName="/xl/charts/colors11.xml" ContentType="application/vnd.ms-office.chartcolorstyle+xml"/>
  <Override PartName="/xl/charts/chart11.xml" ContentType="application/vnd.openxmlformats-officedocument.drawingml.chart+xml"/>
  <Override PartName="/xl/charts/style12.xml" ContentType="application/vnd.ms-office.chartstyle+xml"/>
  <Override PartName="/xl/charts/colors12.xml" ContentType="application/vnd.ms-office.chartcolorstyle+xml"/>
  <Override PartName="/xl/charts/chart12.xml" ContentType="application/vnd.openxmlformats-officedocument.drawingml.chart+xml"/>
  <Override PartName="/xl/charts/style13.xml" ContentType="application/vnd.ms-office.chartstyle+xml"/>
  <Override PartName="/xl/charts/colors13.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026"/>
  <workbookPr codeName="ThisWorkbook"/>
  <mc:AlternateContent xmlns:mc="http://schemas.openxmlformats.org/markup-compatibility/2006">
    <mc:Choice Requires="x15">
      <x15ac:absPath xmlns:x15ac="http://schemas.microsoft.com/office/spreadsheetml/2010/11/ac" url="C:\Users\asus\Downloads\"/>
    </mc:Choice>
  </mc:AlternateContent>
  <xr:revisionPtr revIDLastSave="0" documentId="13_ncr:1_{DF4D5E47-F930-475C-84D5-CDF6D0A09F9F}" xr6:coauthVersionLast="47" xr6:coauthVersionMax="47" xr10:uidLastSave="{00000000-0000-0000-0000-000000000000}"/>
  <bookViews>
    <workbookView xWindow="-108" yWindow="-108" windowWidth="23256" windowHeight="12456" xr2:uid="{00000000-000D-0000-FFFF-FFFF00000000}"/>
  </bookViews>
  <sheets>
    <sheet name="Alyman's Z Score" sheetId="27" r:id="rId1"/>
    <sheet name="Profit &amp; Loss" sheetId="1" r:id="rId2"/>
    <sheet name="Quarters" sheetId="3" r:id="rId3"/>
    <sheet name="Balance Sheet" sheetId="2" r:id="rId4"/>
    <sheet name="Cash Flow" sheetId="4" r:id="rId5"/>
    <sheet name="Data Sheet" sheetId="6" r:id="rId6"/>
    <sheet name="HistoricaIFS" sheetId="8" r:id="rId7"/>
    <sheet name="Forcasting" sheetId="12" r:id="rId8"/>
    <sheet name="WACC" sheetId="13" r:id="rId9"/>
    <sheet name="Beta" sheetId="14" r:id="rId10"/>
    <sheet name="Beta  - Comp " sheetId="15" r:id="rId11"/>
    <sheet name="Common Size Statement" sheetId="17" r:id="rId12"/>
    <sheet name="DCF" sheetId="20" r:id="rId13"/>
    <sheet name="Ratio Analysis" sheetId="11" r:id="rId14"/>
    <sheet name="Cash Flow Data" sheetId="10" r:id="rId15"/>
    <sheet name="Rm " sheetId="16" r:id="rId16"/>
    <sheet name="Raw FS" sheetId="18" r:id="rId17"/>
    <sheet name="Intresnsic Growth" sheetId="19" r:id="rId18"/>
    <sheet name="Comps Valuation " sheetId="21" r:id="rId19"/>
    <sheet name="DATA" sheetId="22" r:id="rId20"/>
    <sheet name="Historical Approch" sheetId="24" r:id="rId21"/>
    <sheet name="Monte Carlo Simulation" sheetId="25" r:id="rId22"/>
    <sheet name="Dupond Analysis" sheetId="26" r:id="rId23"/>
  </sheets>
  <definedNames>
    <definedName name="_xlnm._FilterDatabase" localSheetId="9" hidden="1">Beta!$B$3:$D$108</definedName>
    <definedName name="_xlnm._FilterDatabase" localSheetId="20" hidden="1">'Historical Approch'!$B$4:$E$1883</definedName>
    <definedName name="_xlnm._FilterDatabase" localSheetId="21" hidden="1">'Monte Carlo Simulation'!$B$4:$E$1883</definedName>
    <definedName name="_xlchart.v1.0" hidden="1">'Historical Approch'!$G$5:$G$1883</definedName>
    <definedName name="UPDATE">'Data Sheet'!$E$1</definedName>
  </definedNames>
  <calcPr calcId="191029"/>
  <extLst>
    <ext xmlns:x14="http://schemas.microsoft.com/office/spreadsheetml/2009/9/main" uri="{79F54976-1DA5-4618-B147-4CDE4B953A38}">
      <x14:workbookPr defaultImageDpi="32767"/>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mx="http://schemas.microsoft.com/office/mac/excel/2008/main" uri="{7523E5D3-25F3-A5E0-1632-64F254C22452}">
      <mx:ArchID Flags="2"/>
    </ext>
  </extLst>
</workbook>
</file>

<file path=xl/calcChain.xml><?xml version="1.0" encoding="utf-8"?>
<calcChain xmlns="http://schemas.openxmlformats.org/spreadsheetml/2006/main">
  <c r="M8" i="8" l="1"/>
  <c r="M5" i="8"/>
  <c r="D32" i="8"/>
  <c r="E32" i="8"/>
  <c r="F32" i="8"/>
  <c r="G32" i="8"/>
  <c r="H32" i="8"/>
  <c r="I32" i="8"/>
  <c r="J32" i="8"/>
  <c r="K32" i="8"/>
  <c r="L32" i="8"/>
  <c r="C32" i="8"/>
  <c r="D29" i="8"/>
  <c r="E29" i="8"/>
  <c r="F29" i="8"/>
  <c r="G29" i="8"/>
  <c r="H29" i="8"/>
  <c r="I29" i="8"/>
  <c r="J29" i="8"/>
  <c r="K29" i="8"/>
  <c r="L29" i="8"/>
  <c r="C29" i="8"/>
  <c r="D20" i="8"/>
  <c r="E20" i="8"/>
  <c r="F20" i="8"/>
  <c r="G20" i="8"/>
  <c r="H20" i="8"/>
  <c r="I20" i="8"/>
  <c r="J20" i="8"/>
  <c r="K20" i="8"/>
  <c r="L20" i="8"/>
  <c r="C20" i="8"/>
  <c r="D8" i="8"/>
  <c r="E8" i="8"/>
  <c r="F8" i="8"/>
  <c r="G8" i="8"/>
  <c r="H8" i="8"/>
  <c r="I8" i="8"/>
  <c r="J8" i="8"/>
  <c r="K8" i="8"/>
  <c r="L8" i="8"/>
  <c r="C8" i="8"/>
  <c r="D44" i="27"/>
  <c r="E44" i="27"/>
  <c r="F44" i="27"/>
  <c r="G44" i="27"/>
  <c r="H44" i="27"/>
  <c r="I44" i="27"/>
  <c r="J44" i="27"/>
  <c r="K44" i="27"/>
  <c r="C44" i="27"/>
  <c r="D45" i="27"/>
  <c r="D71" i="27" s="1"/>
  <c r="E45" i="27"/>
  <c r="E71" i="27" s="1"/>
  <c r="F45" i="27"/>
  <c r="F71" i="27" s="1"/>
  <c r="G45" i="27"/>
  <c r="G71" i="27" s="1"/>
  <c r="H45" i="27"/>
  <c r="H71" i="27" s="1"/>
  <c r="I45" i="27"/>
  <c r="I71" i="27" s="1"/>
  <c r="J45" i="27"/>
  <c r="J71" i="27" s="1"/>
  <c r="K45" i="27"/>
  <c r="K71" i="27" s="1"/>
  <c r="C45" i="27"/>
  <c r="C71" i="27" s="1"/>
  <c r="D70" i="27"/>
  <c r="E70" i="27"/>
  <c r="F70" i="27"/>
  <c r="G70" i="27"/>
  <c r="H70" i="27"/>
  <c r="I70" i="27"/>
  <c r="J70" i="27"/>
  <c r="K70" i="27"/>
  <c r="C70" i="27"/>
  <c r="B72" i="27"/>
  <c r="D63" i="27"/>
  <c r="E63" i="27"/>
  <c r="F63" i="27"/>
  <c r="G63" i="27"/>
  <c r="H63" i="27"/>
  <c r="I63" i="27"/>
  <c r="J63" i="27"/>
  <c r="K63" i="27"/>
  <c r="C63" i="27"/>
  <c r="B64" i="27"/>
  <c r="D62" i="27"/>
  <c r="E62" i="27"/>
  <c r="F62" i="27"/>
  <c r="F64" i="27" s="1"/>
  <c r="G62" i="27"/>
  <c r="H62" i="27"/>
  <c r="I62" i="27"/>
  <c r="J62" i="27"/>
  <c r="K62" i="27"/>
  <c r="C62" i="27"/>
  <c r="D56" i="27"/>
  <c r="E56" i="27"/>
  <c r="F56" i="27"/>
  <c r="G56" i="27"/>
  <c r="H56" i="27"/>
  <c r="I56" i="27"/>
  <c r="J56" i="27"/>
  <c r="K56" i="27"/>
  <c r="C56" i="27"/>
  <c r="B48" i="27"/>
  <c r="B42" i="27"/>
  <c r="B71" i="27"/>
  <c r="K43" i="27"/>
  <c r="K49" i="27" s="1"/>
  <c r="J43" i="27"/>
  <c r="J49" i="27" s="1"/>
  <c r="I43" i="27"/>
  <c r="I49" i="27" s="1"/>
  <c r="H43" i="27"/>
  <c r="H49" i="27" s="1"/>
  <c r="G43" i="27"/>
  <c r="G49" i="27" s="1"/>
  <c r="F43" i="27"/>
  <c r="F69" i="27" s="1"/>
  <c r="F75" i="27" s="1"/>
  <c r="E43" i="27"/>
  <c r="E69" i="27" s="1"/>
  <c r="E75" i="27" s="1"/>
  <c r="D43" i="27"/>
  <c r="D69" i="27" s="1"/>
  <c r="D75" i="27" s="1"/>
  <c r="C43" i="27"/>
  <c r="C49" i="27" s="1"/>
  <c r="B7" i="27"/>
  <c r="B4" i="27"/>
  <c r="B70" i="26"/>
  <c r="B65" i="26"/>
  <c r="B62" i="26"/>
  <c r="B61" i="26"/>
  <c r="C58" i="26"/>
  <c r="C70" i="26" s="1"/>
  <c r="D58" i="26"/>
  <c r="D70" i="26" s="1"/>
  <c r="E58" i="26"/>
  <c r="E61" i="26" s="1"/>
  <c r="F58" i="26"/>
  <c r="F61" i="26" s="1"/>
  <c r="G58" i="26"/>
  <c r="G80" i="26" s="1"/>
  <c r="H58" i="26"/>
  <c r="H70" i="26" s="1"/>
  <c r="I58" i="26"/>
  <c r="I70" i="26" s="1"/>
  <c r="J58" i="26"/>
  <c r="J80" i="26" s="1"/>
  <c r="K58" i="26"/>
  <c r="K61" i="26" s="1"/>
  <c r="C54" i="26"/>
  <c r="C76" i="26" s="1"/>
  <c r="D54" i="26"/>
  <c r="D76" i="26" s="1"/>
  <c r="E54" i="26"/>
  <c r="E76" i="26" s="1"/>
  <c r="F54" i="26"/>
  <c r="F76" i="26" s="1"/>
  <c r="G54" i="26"/>
  <c r="G76" i="26" s="1"/>
  <c r="H54" i="26"/>
  <c r="H55" i="26" s="1"/>
  <c r="I54" i="26"/>
  <c r="I55" i="26" s="1"/>
  <c r="J54" i="26"/>
  <c r="J76" i="26" s="1"/>
  <c r="K54" i="26"/>
  <c r="K76" i="26" s="1"/>
  <c r="C48" i="26"/>
  <c r="C62" i="26" s="1"/>
  <c r="D48" i="26"/>
  <c r="D62" i="26" s="1"/>
  <c r="E48" i="26"/>
  <c r="E62" i="26" s="1"/>
  <c r="F48" i="26"/>
  <c r="F62" i="26" s="1"/>
  <c r="G48" i="26"/>
  <c r="G62" i="26" s="1"/>
  <c r="H48" i="26"/>
  <c r="H62" i="26" s="1"/>
  <c r="I48" i="26"/>
  <c r="I62" i="26" s="1"/>
  <c r="J48" i="26"/>
  <c r="J62" i="26" s="1"/>
  <c r="K48" i="26"/>
  <c r="K62" i="26" s="1"/>
  <c r="C46" i="26"/>
  <c r="C52" i="26" s="1"/>
  <c r="D46" i="26"/>
  <c r="D52" i="26" s="1"/>
  <c r="E46" i="26"/>
  <c r="E52" i="26" s="1"/>
  <c r="F46" i="26"/>
  <c r="F68" i="26" s="1"/>
  <c r="F74" i="26" s="1"/>
  <c r="G46" i="26"/>
  <c r="G52" i="26" s="1"/>
  <c r="H46" i="26"/>
  <c r="H52" i="26" s="1"/>
  <c r="I46" i="26"/>
  <c r="I68" i="26" s="1"/>
  <c r="I74" i="26" s="1"/>
  <c r="J46" i="26"/>
  <c r="J68" i="26" s="1"/>
  <c r="J74" i="26" s="1"/>
  <c r="K46" i="26"/>
  <c r="K52" i="26" s="1"/>
  <c r="B7" i="26"/>
  <c r="B4" i="26"/>
  <c r="D1882" i="25"/>
  <c r="D1881" i="25"/>
  <c r="D1880" i="25"/>
  <c r="D1879" i="25"/>
  <c r="D1878" i="25"/>
  <c r="D1877" i="25"/>
  <c r="D1876" i="25"/>
  <c r="D1875" i="25"/>
  <c r="D1874" i="25"/>
  <c r="D1873" i="25"/>
  <c r="D1872" i="25"/>
  <c r="D1871" i="25"/>
  <c r="D1870" i="25"/>
  <c r="D1869" i="25"/>
  <c r="D1868" i="25"/>
  <c r="D1867" i="25"/>
  <c r="D1866" i="25"/>
  <c r="D1865" i="25"/>
  <c r="D1864" i="25"/>
  <c r="D1863" i="25"/>
  <c r="D1862" i="25"/>
  <c r="D1861" i="25"/>
  <c r="D1860" i="25"/>
  <c r="D1859" i="25"/>
  <c r="D1858" i="25"/>
  <c r="D1857" i="25"/>
  <c r="D1856" i="25"/>
  <c r="D1855" i="25"/>
  <c r="D1854" i="25"/>
  <c r="D1853" i="25"/>
  <c r="D1852" i="25"/>
  <c r="D1851" i="25"/>
  <c r="D1850" i="25"/>
  <c r="D1849" i="25"/>
  <c r="D1848" i="25"/>
  <c r="D1847" i="25"/>
  <c r="D1846" i="25"/>
  <c r="D1845" i="25"/>
  <c r="D1844" i="25"/>
  <c r="D1843" i="25"/>
  <c r="D1842" i="25"/>
  <c r="D1841" i="25"/>
  <c r="D1840" i="25"/>
  <c r="D1839" i="25"/>
  <c r="D1838" i="25"/>
  <c r="D1837" i="25"/>
  <c r="D1836" i="25"/>
  <c r="D1835" i="25"/>
  <c r="D1834" i="25"/>
  <c r="D1833" i="25"/>
  <c r="D1832" i="25"/>
  <c r="D1831" i="25"/>
  <c r="D1830" i="25"/>
  <c r="D1829" i="25"/>
  <c r="D1828" i="25"/>
  <c r="D1827" i="25"/>
  <c r="D1826" i="25"/>
  <c r="D1825" i="25"/>
  <c r="D1824" i="25"/>
  <c r="D1823" i="25"/>
  <c r="D1822" i="25"/>
  <c r="D1821" i="25"/>
  <c r="D1820" i="25"/>
  <c r="D1819" i="25"/>
  <c r="D1818" i="25"/>
  <c r="D1817" i="25"/>
  <c r="D1816" i="25"/>
  <c r="D1815" i="25"/>
  <c r="D1814" i="25"/>
  <c r="D1813" i="25"/>
  <c r="D1812" i="25"/>
  <c r="D1811" i="25"/>
  <c r="D1810" i="25"/>
  <c r="D1809" i="25"/>
  <c r="D1808" i="25"/>
  <c r="D1807" i="25"/>
  <c r="D1806" i="25"/>
  <c r="D1805" i="25"/>
  <c r="D1804" i="25"/>
  <c r="D1803" i="25"/>
  <c r="D1802" i="25"/>
  <c r="D1801" i="25"/>
  <c r="D1800" i="25"/>
  <c r="D1799" i="25"/>
  <c r="D1798" i="25"/>
  <c r="D1797" i="25"/>
  <c r="D1796" i="25"/>
  <c r="D1795" i="25"/>
  <c r="D1794" i="25"/>
  <c r="D1793" i="25"/>
  <c r="D1792" i="25"/>
  <c r="D1791" i="25"/>
  <c r="D1790" i="25"/>
  <c r="D1789" i="25"/>
  <c r="D1788" i="25"/>
  <c r="D1787" i="25"/>
  <c r="D1786" i="25"/>
  <c r="D1785" i="25"/>
  <c r="D1784" i="25"/>
  <c r="D1783" i="25"/>
  <c r="D1782" i="25"/>
  <c r="D1781" i="25"/>
  <c r="D1780" i="25"/>
  <c r="D1779" i="25"/>
  <c r="D1778" i="25"/>
  <c r="D1777" i="25"/>
  <c r="D1776" i="25"/>
  <c r="D1775" i="25"/>
  <c r="D1774" i="25"/>
  <c r="D1773" i="25"/>
  <c r="D1772" i="25"/>
  <c r="D1771" i="25"/>
  <c r="D1770" i="25"/>
  <c r="D1769" i="25"/>
  <c r="D1768" i="25"/>
  <c r="D1767" i="25"/>
  <c r="D1766" i="25"/>
  <c r="D1765" i="25"/>
  <c r="D1764" i="25"/>
  <c r="D1763" i="25"/>
  <c r="D1762" i="25"/>
  <c r="D1761" i="25"/>
  <c r="D1760" i="25"/>
  <c r="D1759" i="25"/>
  <c r="D1758" i="25"/>
  <c r="D1757" i="25"/>
  <c r="D1756" i="25"/>
  <c r="D1755" i="25"/>
  <c r="D1754" i="25"/>
  <c r="D1753" i="25"/>
  <c r="D1752" i="25"/>
  <c r="D1751" i="25"/>
  <c r="D1750" i="25"/>
  <c r="D1749" i="25"/>
  <c r="D1748" i="25"/>
  <c r="D1747" i="25"/>
  <c r="D1746" i="25"/>
  <c r="D1745" i="25"/>
  <c r="D1744" i="25"/>
  <c r="D1743" i="25"/>
  <c r="D1742" i="25"/>
  <c r="D1741" i="25"/>
  <c r="D1740" i="25"/>
  <c r="D1739" i="25"/>
  <c r="D1738" i="25"/>
  <c r="D1737" i="25"/>
  <c r="D1736" i="25"/>
  <c r="D1735" i="25"/>
  <c r="D1734" i="25"/>
  <c r="D1733" i="25"/>
  <c r="D1732" i="25"/>
  <c r="D1731" i="25"/>
  <c r="D1730" i="25"/>
  <c r="D1729" i="25"/>
  <c r="D1728" i="25"/>
  <c r="D1727" i="25"/>
  <c r="D1726" i="25"/>
  <c r="D1725" i="25"/>
  <c r="D1724" i="25"/>
  <c r="D1723" i="25"/>
  <c r="D1722" i="25"/>
  <c r="D1721" i="25"/>
  <c r="D1720" i="25"/>
  <c r="D1719" i="25"/>
  <c r="D1718" i="25"/>
  <c r="D1717" i="25"/>
  <c r="D1716" i="25"/>
  <c r="D1715" i="25"/>
  <c r="D1714" i="25"/>
  <c r="D1713" i="25"/>
  <c r="D1712" i="25"/>
  <c r="D1711" i="25"/>
  <c r="D1710" i="25"/>
  <c r="D1709" i="25"/>
  <c r="D1708" i="25"/>
  <c r="D1707" i="25"/>
  <c r="D1706" i="25"/>
  <c r="D1705" i="25"/>
  <c r="D1704" i="25"/>
  <c r="D1703" i="25"/>
  <c r="D1702" i="25"/>
  <c r="D1701" i="25"/>
  <c r="D1700" i="25"/>
  <c r="D1699" i="25"/>
  <c r="D1698" i="25"/>
  <c r="D1697" i="25"/>
  <c r="D1696" i="25"/>
  <c r="D1695" i="25"/>
  <c r="D1694" i="25"/>
  <c r="D1693" i="25"/>
  <c r="D1692" i="25"/>
  <c r="D1691" i="25"/>
  <c r="D1690" i="25"/>
  <c r="D1689" i="25"/>
  <c r="D1688" i="25"/>
  <c r="D1687" i="25"/>
  <c r="D1686" i="25"/>
  <c r="D1685" i="25"/>
  <c r="D1684" i="25"/>
  <c r="D1683" i="25"/>
  <c r="D1682" i="25"/>
  <c r="D1681" i="25"/>
  <c r="D1680" i="25"/>
  <c r="D1679" i="25"/>
  <c r="D1678" i="25"/>
  <c r="D1677" i="25"/>
  <c r="D1676" i="25"/>
  <c r="D1675" i="25"/>
  <c r="D1674" i="25"/>
  <c r="D1673" i="25"/>
  <c r="D1672" i="25"/>
  <c r="D1671" i="25"/>
  <c r="D1670" i="25"/>
  <c r="D1669" i="25"/>
  <c r="D1668" i="25"/>
  <c r="D1667" i="25"/>
  <c r="D1666" i="25"/>
  <c r="D1665" i="25"/>
  <c r="D1664" i="25"/>
  <c r="D1663" i="25"/>
  <c r="D1662" i="25"/>
  <c r="D1661" i="25"/>
  <c r="D1660" i="25"/>
  <c r="D1659" i="25"/>
  <c r="D1658" i="25"/>
  <c r="D1657" i="25"/>
  <c r="D1656" i="25"/>
  <c r="D1655" i="25"/>
  <c r="D1654" i="25"/>
  <c r="D1653" i="25"/>
  <c r="D1652" i="25"/>
  <c r="D1651" i="25"/>
  <c r="D1650" i="25"/>
  <c r="D1649" i="25"/>
  <c r="D1648" i="25"/>
  <c r="D1647" i="25"/>
  <c r="D1646" i="25"/>
  <c r="D1645" i="25"/>
  <c r="D1644" i="25"/>
  <c r="D1643" i="25"/>
  <c r="D1642" i="25"/>
  <c r="D1641" i="25"/>
  <c r="D1640" i="25"/>
  <c r="D1639" i="25"/>
  <c r="D1638" i="25"/>
  <c r="D1637" i="25"/>
  <c r="D1636" i="25"/>
  <c r="D1635" i="25"/>
  <c r="D1634" i="25"/>
  <c r="D1633" i="25"/>
  <c r="D1632" i="25"/>
  <c r="D1631" i="25"/>
  <c r="D1630" i="25"/>
  <c r="D1629" i="25"/>
  <c r="D1628" i="25"/>
  <c r="D1627" i="25"/>
  <c r="D1626" i="25"/>
  <c r="D1625" i="25"/>
  <c r="D1624" i="25"/>
  <c r="D1623" i="25"/>
  <c r="D1622" i="25"/>
  <c r="D1621" i="25"/>
  <c r="D1620" i="25"/>
  <c r="D1619" i="25"/>
  <c r="D1618" i="25"/>
  <c r="D1617" i="25"/>
  <c r="D1616" i="25"/>
  <c r="D1615" i="25"/>
  <c r="D1614" i="25"/>
  <c r="D1613" i="25"/>
  <c r="D1612" i="25"/>
  <c r="D1611" i="25"/>
  <c r="D1610" i="25"/>
  <c r="D1609" i="25"/>
  <c r="D1608" i="25"/>
  <c r="D1607" i="25"/>
  <c r="D1606" i="25"/>
  <c r="D1605" i="25"/>
  <c r="D1604" i="25"/>
  <c r="D1603" i="25"/>
  <c r="D1602" i="25"/>
  <c r="D1601" i="25"/>
  <c r="D1600" i="25"/>
  <c r="D1599" i="25"/>
  <c r="D1598" i="25"/>
  <c r="D1597" i="25"/>
  <c r="D1596" i="25"/>
  <c r="D1595" i="25"/>
  <c r="D1594" i="25"/>
  <c r="D1593" i="25"/>
  <c r="D1592" i="25"/>
  <c r="D1591" i="25"/>
  <c r="D1590" i="25"/>
  <c r="D1589" i="25"/>
  <c r="D1588" i="25"/>
  <c r="D1587" i="25"/>
  <c r="D1586" i="25"/>
  <c r="D1585" i="25"/>
  <c r="D1584" i="25"/>
  <c r="D1583" i="25"/>
  <c r="D1582" i="25"/>
  <c r="D1581" i="25"/>
  <c r="D1580" i="25"/>
  <c r="D1579" i="25"/>
  <c r="D1578" i="25"/>
  <c r="D1577" i="25"/>
  <c r="D1576" i="25"/>
  <c r="D1575" i="25"/>
  <c r="D1574" i="25"/>
  <c r="D1573" i="25"/>
  <c r="D1572" i="25"/>
  <c r="D1571" i="25"/>
  <c r="D1570" i="25"/>
  <c r="D1569" i="25"/>
  <c r="D1568" i="25"/>
  <c r="D1567" i="25"/>
  <c r="D1566" i="25"/>
  <c r="D1565" i="25"/>
  <c r="D1564" i="25"/>
  <c r="D1563" i="25"/>
  <c r="D1562" i="25"/>
  <c r="D1561" i="25"/>
  <c r="D1560" i="25"/>
  <c r="D1559" i="25"/>
  <c r="D1558" i="25"/>
  <c r="D1557" i="25"/>
  <c r="D1556" i="25"/>
  <c r="D1555" i="25"/>
  <c r="D1554" i="25"/>
  <c r="D1553" i="25"/>
  <c r="D1552" i="25"/>
  <c r="D1551" i="25"/>
  <c r="D1550" i="25"/>
  <c r="D1549" i="25"/>
  <c r="D1548" i="25"/>
  <c r="D1547" i="25"/>
  <c r="D1546" i="25"/>
  <c r="D1545" i="25"/>
  <c r="D1544" i="25"/>
  <c r="D1543" i="25"/>
  <c r="D1542" i="25"/>
  <c r="D1541" i="25"/>
  <c r="D1540" i="25"/>
  <c r="D1539" i="25"/>
  <c r="D1538" i="25"/>
  <c r="D1537" i="25"/>
  <c r="D1536" i="25"/>
  <c r="D1535" i="25"/>
  <c r="D1534" i="25"/>
  <c r="D1533" i="25"/>
  <c r="D1532" i="25"/>
  <c r="D1531" i="25"/>
  <c r="D1530" i="25"/>
  <c r="D1529" i="25"/>
  <c r="D1528" i="25"/>
  <c r="D1527" i="25"/>
  <c r="D1526" i="25"/>
  <c r="D1525" i="25"/>
  <c r="D1524" i="25"/>
  <c r="D1523" i="25"/>
  <c r="D1522" i="25"/>
  <c r="D1521" i="25"/>
  <c r="D1520" i="25"/>
  <c r="D1519" i="25"/>
  <c r="D1518" i="25"/>
  <c r="D1517" i="25"/>
  <c r="D1516" i="25"/>
  <c r="D1515" i="25"/>
  <c r="D1514" i="25"/>
  <c r="D1513" i="25"/>
  <c r="D1512" i="25"/>
  <c r="D1511" i="25"/>
  <c r="D1510" i="25"/>
  <c r="D1509" i="25"/>
  <c r="D1508" i="25"/>
  <c r="D1507" i="25"/>
  <c r="D1506" i="25"/>
  <c r="D1505" i="25"/>
  <c r="D1504" i="25"/>
  <c r="D1503" i="25"/>
  <c r="D1502" i="25"/>
  <c r="D1501" i="25"/>
  <c r="D1500" i="25"/>
  <c r="D1499" i="25"/>
  <c r="D1498" i="25"/>
  <c r="D1497" i="25"/>
  <c r="D1496" i="25"/>
  <c r="D1495" i="25"/>
  <c r="D1494" i="25"/>
  <c r="D1493" i="25"/>
  <c r="D1492" i="25"/>
  <c r="D1491" i="25"/>
  <c r="D1490" i="25"/>
  <c r="D1489" i="25"/>
  <c r="D1488" i="25"/>
  <c r="D1487" i="25"/>
  <c r="D1486" i="25"/>
  <c r="D1485" i="25"/>
  <c r="D1484" i="25"/>
  <c r="D1483" i="25"/>
  <c r="D1482" i="25"/>
  <c r="D1481" i="25"/>
  <c r="D1480" i="25"/>
  <c r="D1479" i="25"/>
  <c r="D1478" i="25"/>
  <c r="D1477" i="25"/>
  <c r="D1476" i="25"/>
  <c r="D1475" i="25"/>
  <c r="D1474" i="25"/>
  <c r="D1473" i="25"/>
  <c r="D1472" i="25"/>
  <c r="D1471" i="25"/>
  <c r="D1470" i="25"/>
  <c r="D1469" i="25"/>
  <c r="D1468" i="25"/>
  <c r="D1467" i="25"/>
  <c r="D1466" i="25"/>
  <c r="D1465" i="25"/>
  <c r="D1464" i="25"/>
  <c r="D1463" i="25"/>
  <c r="D1462" i="25"/>
  <c r="D1461" i="25"/>
  <c r="D1460" i="25"/>
  <c r="D1459" i="25"/>
  <c r="D1458" i="25"/>
  <c r="D1457" i="25"/>
  <c r="D1456" i="25"/>
  <c r="D1455" i="25"/>
  <c r="D1454" i="25"/>
  <c r="D1453" i="25"/>
  <c r="D1452" i="25"/>
  <c r="D1451" i="25"/>
  <c r="D1450" i="25"/>
  <c r="D1449" i="25"/>
  <c r="D1448" i="25"/>
  <c r="D1447" i="25"/>
  <c r="D1446" i="25"/>
  <c r="D1445" i="25"/>
  <c r="D1444" i="25"/>
  <c r="D1443" i="25"/>
  <c r="D1442" i="25"/>
  <c r="D1441" i="25"/>
  <c r="D1440" i="25"/>
  <c r="D1439" i="25"/>
  <c r="D1438" i="25"/>
  <c r="D1437" i="25"/>
  <c r="D1436" i="25"/>
  <c r="D1435" i="25"/>
  <c r="D1434" i="25"/>
  <c r="D1433" i="25"/>
  <c r="D1432" i="25"/>
  <c r="D1431" i="25"/>
  <c r="D1430" i="25"/>
  <c r="D1429" i="25"/>
  <c r="D1428" i="25"/>
  <c r="D1427" i="25"/>
  <c r="D1426" i="25"/>
  <c r="D1425" i="25"/>
  <c r="D1424" i="25"/>
  <c r="D1423" i="25"/>
  <c r="D1422" i="25"/>
  <c r="D1421" i="25"/>
  <c r="D1420" i="25"/>
  <c r="D1419" i="25"/>
  <c r="D1418" i="25"/>
  <c r="D1417" i="25"/>
  <c r="D1416" i="25"/>
  <c r="D1415" i="25"/>
  <c r="D1414" i="25"/>
  <c r="D1413" i="25"/>
  <c r="D1412" i="25"/>
  <c r="D1411" i="25"/>
  <c r="D1410" i="25"/>
  <c r="D1409" i="25"/>
  <c r="D1408" i="25"/>
  <c r="D1407" i="25"/>
  <c r="D1406" i="25"/>
  <c r="D1405" i="25"/>
  <c r="D1404" i="25"/>
  <c r="D1403" i="25"/>
  <c r="D1402" i="25"/>
  <c r="D1401" i="25"/>
  <c r="D1400" i="25"/>
  <c r="D1399" i="25"/>
  <c r="D1398" i="25"/>
  <c r="D1397" i="25"/>
  <c r="D1396" i="25"/>
  <c r="D1395" i="25"/>
  <c r="D1394" i="25"/>
  <c r="D1393" i="25"/>
  <c r="D1392" i="25"/>
  <c r="D1391" i="25"/>
  <c r="D1390" i="25"/>
  <c r="D1389" i="25"/>
  <c r="D1388" i="25"/>
  <c r="D1387" i="25"/>
  <c r="D1386" i="25"/>
  <c r="D1385" i="25"/>
  <c r="D1384" i="25"/>
  <c r="D1383" i="25"/>
  <c r="D1382" i="25"/>
  <c r="D1381" i="25"/>
  <c r="D1380" i="25"/>
  <c r="D1379" i="25"/>
  <c r="D1378" i="25"/>
  <c r="D1377" i="25"/>
  <c r="D1376" i="25"/>
  <c r="D1375" i="25"/>
  <c r="D1374" i="25"/>
  <c r="D1373" i="25"/>
  <c r="D1372" i="25"/>
  <c r="D1371" i="25"/>
  <c r="D1370" i="25"/>
  <c r="D1369" i="25"/>
  <c r="D1368" i="25"/>
  <c r="D1367" i="25"/>
  <c r="D1366" i="25"/>
  <c r="D1365" i="25"/>
  <c r="D1364" i="25"/>
  <c r="D1363" i="25"/>
  <c r="D1362" i="25"/>
  <c r="D1361" i="25"/>
  <c r="D1360" i="25"/>
  <c r="D1359" i="25"/>
  <c r="D1358" i="25"/>
  <c r="D1357" i="25"/>
  <c r="D1356" i="25"/>
  <c r="D1355" i="25"/>
  <c r="D1354" i="25"/>
  <c r="D1353" i="25"/>
  <c r="D1352" i="25"/>
  <c r="D1351" i="25"/>
  <c r="D1350" i="25"/>
  <c r="D1349" i="25"/>
  <c r="D1348" i="25"/>
  <c r="D1347" i="25"/>
  <c r="D1346" i="25"/>
  <c r="D1345" i="25"/>
  <c r="D1344" i="25"/>
  <c r="D1343" i="25"/>
  <c r="D1342" i="25"/>
  <c r="D1341" i="25"/>
  <c r="D1340" i="25"/>
  <c r="D1339" i="25"/>
  <c r="D1338" i="25"/>
  <c r="D1337" i="25"/>
  <c r="D1336" i="25"/>
  <c r="D1335" i="25"/>
  <c r="D1334" i="25"/>
  <c r="D1333" i="25"/>
  <c r="D1332" i="25"/>
  <c r="D1331" i="25"/>
  <c r="D1330" i="25"/>
  <c r="D1329" i="25"/>
  <c r="D1328" i="25"/>
  <c r="D1327" i="25"/>
  <c r="D1326" i="25"/>
  <c r="D1325" i="25"/>
  <c r="D1324" i="25"/>
  <c r="D1323" i="25"/>
  <c r="D1322" i="25"/>
  <c r="D1321" i="25"/>
  <c r="D1320" i="25"/>
  <c r="D1319" i="25"/>
  <c r="D1318" i="25"/>
  <c r="D1317" i="25"/>
  <c r="D1316" i="25"/>
  <c r="D1315" i="25"/>
  <c r="D1314" i="25"/>
  <c r="D1313" i="25"/>
  <c r="D1312" i="25"/>
  <c r="D1311" i="25"/>
  <c r="D1310" i="25"/>
  <c r="D1309" i="25"/>
  <c r="D1308" i="25"/>
  <c r="D1307" i="25"/>
  <c r="D1306" i="25"/>
  <c r="D1305" i="25"/>
  <c r="D1304" i="25"/>
  <c r="D1303" i="25"/>
  <c r="D1302" i="25"/>
  <c r="D1301" i="25"/>
  <c r="D1300" i="25"/>
  <c r="D1299" i="25"/>
  <c r="D1298" i="25"/>
  <c r="D1297" i="25"/>
  <c r="D1296" i="25"/>
  <c r="D1295" i="25"/>
  <c r="D1294" i="25"/>
  <c r="D1293" i="25"/>
  <c r="D1292" i="25"/>
  <c r="D1291" i="25"/>
  <c r="D1290" i="25"/>
  <c r="D1289" i="25"/>
  <c r="D1288" i="25"/>
  <c r="D1287" i="25"/>
  <c r="D1286" i="25"/>
  <c r="D1285" i="25"/>
  <c r="D1284" i="25"/>
  <c r="D1283" i="25"/>
  <c r="D1282" i="25"/>
  <c r="D1281" i="25"/>
  <c r="D1280" i="25"/>
  <c r="D1279" i="25"/>
  <c r="D1278" i="25"/>
  <c r="D1277" i="25"/>
  <c r="D1276" i="25"/>
  <c r="D1275" i="25"/>
  <c r="D1274" i="25"/>
  <c r="D1273" i="25"/>
  <c r="D1272" i="25"/>
  <c r="D1271" i="25"/>
  <c r="D1270" i="25"/>
  <c r="D1269" i="25"/>
  <c r="D1268" i="25"/>
  <c r="D1267" i="25"/>
  <c r="D1266" i="25"/>
  <c r="D1265" i="25"/>
  <c r="D1264" i="25"/>
  <c r="D1263" i="25"/>
  <c r="D1262" i="25"/>
  <c r="D1261" i="25"/>
  <c r="D1260" i="25"/>
  <c r="D1259" i="25"/>
  <c r="D1258" i="25"/>
  <c r="D1257" i="25"/>
  <c r="D1256" i="25"/>
  <c r="D1255" i="25"/>
  <c r="D1254" i="25"/>
  <c r="D1253" i="25"/>
  <c r="D1252" i="25"/>
  <c r="D1251" i="25"/>
  <c r="D1250" i="25"/>
  <c r="D1249" i="25"/>
  <c r="D1248" i="25"/>
  <c r="D1247" i="25"/>
  <c r="D1246" i="25"/>
  <c r="D1245" i="25"/>
  <c r="D1244" i="25"/>
  <c r="D1243" i="25"/>
  <c r="D1242" i="25"/>
  <c r="D1241" i="25"/>
  <c r="D1240" i="25"/>
  <c r="D1239" i="25"/>
  <c r="D1238" i="25"/>
  <c r="D1237" i="25"/>
  <c r="D1236" i="25"/>
  <c r="D1235" i="25"/>
  <c r="D1234" i="25"/>
  <c r="D1233" i="25"/>
  <c r="D1232" i="25"/>
  <c r="D1231" i="25"/>
  <c r="D1230" i="25"/>
  <c r="D1229" i="25"/>
  <c r="D1228" i="25"/>
  <c r="D1227" i="25"/>
  <c r="D1226" i="25"/>
  <c r="D1225" i="25"/>
  <c r="D1224" i="25"/>
  <c r="D1223" i="25"/>
  <c r="D1222" i="25"/>
  <c r="D1221" i="25"/>
  <c r="D1220" i="25"/>
  <c r="D1219" i="25"/>
  <c r="D1218" i="25"/>
  <c r="D1217" i="25"/>
  <c r="D1216" i="25"/>
  <c r="D1215" i="25"/>
  <c r="D1214" i="25"/>
  <c r="D1213" i="25"/>
  <c r="D1212" i="25"/>
  <c r="D1211" i="25"/>
  <c r="D1210" i="25"/>
  <c r="D1209" i="25"/>
  <c r="D1208" i="25"/>
  <c r="D1207" i="25"/>
  <c r="D1206" i="25"/>
  <c r="D1205" i="25"/>
  <c r="D1204" i="25"/>
  <c r="D1203" i="25"/>
  <c r="D1202" i="25"/>
  <c r="D1201" i="25"/>
  <c r="D1200" i="25"/>
  <c r="D1199" i="25"/>
  <c r="D1198" i="25"/>
  <c r="D1197" i="25"/>
  <c r="D1196" i="25"/>
  <c r="D1195" i="25"/>
  <c r="D1194" i="25"/>
  <c r="D1193" i="25"/>
  <c r="D1192" i="25"/>
  <c r="D1191" i="25"/>
  <c r="D1190" i="25"/>
  <c r="D1189" i="25"/>
  <c r="D1188" i="25"/>
  <c r="D1187" i="25"/>
  <c r="D1186" i="25"/>
  <c r="D1185" i="25"/>
  <c r="D1184" i="25"/>
  <c r="D1183" i="25"/>
  <c r="D1182" i="25"/>
  <c r="D1181" i="25"/>
  <c r="D1180" i="25"/>
  <c r="D1179" i="25"/>
  <c r="D1178" i="25"/>
  <c r="D1177" i="25"/>
  <c r="D1176" i="25"/>
  <c r="D1175" i="25"/>
  <c r="D1174" i="25"/>
  <c r="D1173" i="25"/>
  <c r="D1172" i="25"/>
  <c r="D1171" i="25"/>
  <c r="D1170" i="25"/>
  <c r="D1169" i="25"/>
  <c r="D1168" i="25"/>
  <c r="D1167" i="25"/>
  <c r="D1166" i="25"/>
  <c r="D1165" i="25"/>
  <c r="D1164" i="25"/>
  <c r="D1163" i="25"/>
  <c r="D1162" i="25"/>
  <c r="D1161" i="25"/>
  <c r="D1160" i="25"/>
  <c r="D1159" i="25"/>
  <c r="D1158" i="25"/>
  <c r="D1157" i="25"/>
  <c r="D1156" i="25"/>
  <c r="D1155" i="25"/>
  <c r="D1154" i="25"/>
  <c r="D1153" i="25"/>
  <c r="D1152" i="25"/>
  <c r="D1151" i="25"/>
  <c r="D1150" i="25"/>
  <c r="D1149" i="25"/>
  <c r="D1148" i="25"/>
  <c r="D1147" i="25"/>
  <c r="D1146" i="25"/>
  <c r="D1145" i="25"/>
  <c r="D1144" i="25"/>
  <c r="D1143" i="25"/>
  <c r="D1142" i="25"/>
  <c r="D1141" i="25"/>
  <c r="D1140" i="25"/>
  <c r="D1139" i="25"/>
  <c r="D1138" i="25"/>
  <c r="D1137" i="25"/>
  <c r="D1136" i="25"/>
  <c r="D1135" i="25"/>
  <c r="D1134" i="25"/>
  <c r="D1133" i="25"/>
  <c r="D1132" i="25"/>
  <c r="D1131" i="25"/>
  <c r="D1130" i="25"/>
  <c r="D1129" i="25"/>
  <c r="D1128" i="25"/>
  <c r="D1127" i="25"/>
  <c r="D1126" i="25"/>
  <c r="D1125" i="25"/>
  <c r="D1124" i="25"/>
  <c r="D1123" i="25"/>
  <c r="D1122" i="25"/>
  <c r="D1121" i="25"/>
  <c r="D1120" i="25"/>
  <c r="D1119" i="25"/>
  <c r="D1118" i="25"/>
  <c r="D1117" i="25"/>
  <c r="D1116" i="25"/>
  <c r="D1115" i="25"/>
  <c r="D1114" i="25"/>
  <c r="D1113" i="25"/>
  <c r="D1112" i="25"/>
  <c r="D1111" i="25"/>
  <c r="D1110" i="25"/>
  <c r="D1109" i="25"/>
  <c r="D1108" i="25"/>
  <c r="D1107" i="25"/>
  <c r="D1106" i="25"/>
  <c r="D1105" i="25"/>
  <c r="D1104" i="25"/>
  <c r="D1103" i="25"/>
  <c r="D1102" i="25"/>
  <c r="D1101" i="25"/>
  <c r="D1100" i="25"/>
  <c r="D1099" i="25"/>
  <c r="D1098" i="25"/>
  <c r="D1097" i="25"/>
  <c r="D1096" i="25"/>
  <c r="D1095" i="25"/>
  <c r="D1094" i="25"/>
  <c r="D1093" i="25"/>
  <c r="D1092" i="25"/>
  <c r="D1091" i="25"/>
  <c r="D1090" i="25"/>
  <c r="D1089" i="25"/>
  <c r="D1088" i="25"/>
  <c r="D1087" i="25"/>
  <c r="D1086" i="25"/>
  <c r="D1085" i="25"/>
  <c r="D1084" i="25"/>
  <c r="D1083" i="25"/>
  <c r="D1082" i="25"/>
  <c r="D1081" i="25"/>
  <c r="D1080" i="25"/>
  <c r="D1079" i="25"/>
  <c r="D1078" i="25"/>
  <c r="D1077" i="25"/>
  <c r="D1076" i="25"/>
  <c r="D1075" i="25"/>
  <c r="D1074" i="25"/>
  <c r="D1073" i="25"/>
  <c r="D1072" i="25"/>
  <c r="D1071" i="25"/>
  <c r="D1070" i="25"/>
  <c r="D1069" i="25"/>
  <c r="D1068" i="25"/>
  <c r="D1067" i="25"/>
  <c r="D1066" i="25"/>
  <c r="D1065" i="25"/>
  <c r="D1064" i="25"/>
  <c r="D1063" i="25"/>
  <c r="D1062" i="25"/>
  <c r="D1061" i="25"/>
  <c r="D1060" i="25"/>
  <c r="D1059" i="25"/>
  <c r="D1058" i="25"/>
  <c r="D1057" i="25"/>
  <c r="D1056" i="25"/>
  <c r="D1055" i="25"/>
  <c r="D1054" i="25"/>
  <c r="D1053" i="25"/>
  <c r="D1052" i="25"/>
  <c r="D1051" i="25"/>
  <c r="D1050" i="25"/>
  <c r="D1049" i="25"/>
  <c r="D1048" i="25"/>
  <c r="D1047" i="25"/>
  <c r="D1046" i="25"/>
  <c r="D1045" i="25"/>
  <c r="D1044" i="25"/>
  <c r="D1043" i="25"/>
  <c r="D1042" i="25"/>
  <c r="D1041" i="25"/>
  <c r="D1040" i="25"/>
  <c r="D1039" i="25"/>
  <c r="D1038" i="25"/>
  <c r="D1037" i="25"/>
  <c r="D1036" i="25"/>
  <c r="D1035" i="25"/>
  <c r="D1034" i="25"/>
  <c r="D1033" i="25"/>
  <c r="D1032" i="25"/>
  <c r="D1031" i="25"/>
  <c r="D1030" i="25"/>
  <c r="D1029" i="25"/>
  <c r="D1028" i="25"/>
  <c r="D1027" i="25"/>
  <c r="D1026" i="25"/>
  <c r="D1025" i="25"/>
  <c r="D1024" i="25"/>
  <c r="D1023" i="25"/>
  <c r="D1022" i="25"/>
  <c r="D1021" i="25"/>
  <c r="D1020" i="25"/>
  <c r="D1019" i="25"/>
  <c r="D1018" i="25"/>
  <c r="D1017" i="25"/>
  <c r="D1016" i="25"/>
  <c r="D1015" i="25"/>
  <c r="D1014" i="25"/>
  <c r="D1013" i="25"/>
  <c r="D1012" i="25"/>
  <c r="D1011" i="25"/>
  <c r="D1010" i="25"/>
  <c r="D1009" i="25"/>
  <c r="D1008" i="25"/>
  <c r="D1007" i="25"/>
  <c r="D1006" i="25"/>
  <c r="D1005" i="25"/>
  <c r="D1004" i="25"/>
  <c r="D1003" i="25"/>
  <c r="D1002" i="25"/>
  <c r="D1001" i="25"/>
  <c r="D1000" i="25"/>
  <c r="D999" i="25"/>
  <c r="D998" i="25"/>
  <c r="D997" i="25"/>
  <c r="D996" i="25"/>
  <c r="D995" i="25"/>
  <c r="D994" i="25"/>
  <c r="D993" i="25"/>
  <c r="D992" i="25"/>
  <c r="D991" i="25"/>
  <c r="D990" i="25"/>
  <c r="D989" i="25"/>
  <c r="D988" i="25"/>
  <c r="D987" i="25"/>
  <c r="D986" i="25"/>
  <c r="D985" i="25"/>
  <c r="D984" i="25"/>
  <c r="D983" i="25"/>
  <c r="D982" i="25"/>
  <c r="D981" i="25"/>
  <c r="D980" i="25"/>
  <c r="D979" i="25"/>
  <c r="D978" i="25"/>
  <c r="D977" i="25"/>
  <c r="D976" i="25"/>
  <c r="D975" i="25"/>
  <c r="D974" i="25"/>
  <c r="D973" i="25"/>
  <c r="D972" i="25"/>
  <c r="D971" i="25"/>
  <c r="D970" i="25"/>
  <c r="D969" i="25"/>
  <c r="D968" i="25"/>
  <c r="D967" i="25"/>
  <c r="D966" i="25"/>
  <c r="D965" i="25"/>
  <c r="D964" i="25"/>
  <c r="D963" i="25"/>
  <c r="D962" i="25"/>
  <c r="D961" i="25"/>
  <c r="D960" i="25"/>
  <c r="D959" i="25"/>
  <c r="D958" i="25"/>
  <c r="D957" i="25"/>
  <c r="D956" i="25"/>
  <c r="D955" i="25"/>
  <c r="D954" i="25"/>
  <c r="D953" i="25"/>
  <c r="D952" i="25"/>
  <c r="D951" i="25"/>
  <c r="D950" i="25"/>
  <c r="D949" i="25"/>
  <c r="D948" i="25"/>
  <c r="D947" i="25"/>
  <c r="D946" i="25"/>
  <c r="D945" i="25"/>
  <c r="D944" i="25"/>
  <c r="D943" i="25"/>
  <c r="D942" i="25"/>
  <c r="D941" i="25"/>
  <c r="D940" i="25"/>
  <c r="D939" i="25"/>
  <c r="D938" i="25"/>
  <c r="D937" i="25"/>
  <c r="D936" i="25"/>
  <c r="D935" i="25"/>
  <c r="D934" i="25"/>
  <c r="D933" i="25"/>
  <c r="D932" i="25"/>
  <c r="D931" i="25"/>
  <c r="D930" i="25"/>
  <c r="D929" i="25"/>
  <c r="D928" i="25"/>
  <c r="D927" i="25"/>
  <c r="D926" i="25"/>
  <c r="D925" i="25"/>
  <c r="D924" i="25"/>
  <c r="D923" i="25"/>
  <c r="D922" i="25"/>
  <c r="D921" i="25"/>
  <c r="D920" i="25"/>
  <c r="D919" i="25"/>
  <c r="D918" i="25"/>
  <c r="D917" i="25"/>
  <c r="D916" i="25"/>
  <c r="D915" i="25"/>
  <c r="D914" i="25"/>
  <c r="D913" i="25"/>
  <c r="D912" i="25"/>
  <c r="D911" i="25"/>
  <c r="D910" i="25"/>
  <c r="D909" i="25"/>
  <c r="D908" i="25"/>
  <c r="D907" i="25"/>
  <c r="D906" i="25"/>
  <c r="D905" i="25"/>
  <c r="D904" i="25"/>
  <c r="D903" i="25"/>
  <c r="D902" i="25"/>
  <c r="D901" i="25"/>
  <c r="D900" i="25"/>
  <c r="D899" i="25"/>
  <c r="D898" i="25"/>
  <c r="D897" i="25"/>
  <c r="D896" i="25"/>
  <c r="D895" i="25"/>
  <c r="D894" i="25"/>
  <c r="D893" i="25"/>
  <c r="D892" i="25"/>
  <c r="D891" i="25"/>
  <c r="D890" i="25"/>
  <c r="D889" i="25"/>
  <c r="D888" i="25"/>
  <c r="D887" i="25"/>
  <c r="D886" i="25"/>
  <c r="D885" i="25"/>
  <c r="D884" i="25"/>
  <c r="D883" i="25"/>
  <c r="D882" i="25"/>
  <c r="D881" i="25"/>
  <c r="D880" i="25"/>
  <c r="D879" i="25"/>
  <c r="D878" i="25"/>
  <c r="D877" i="25"/>
  <c r="D876" i="25"/>
  <c r="D875" i="25"/>
  <c r="D874" i="25"/>
  <c r="D873" i="25"/>
  <c r="D872" i="25"/>
  <c r="D871" i="25"/>
  <c r="D870" i="25"/>
  <c r="D869" i="25"/>
  <c r="D868" i="25"/>
  <c r="D867" i="25"/>
  <c r="D866" i="25"/>
  <c r="D865" i="25"/>
  <c r="D864" i="25"/>
  <c r="D863" i="25"/>
  <c r="D862" i="25"/>
  <c r="D861" i="25"/>
  <c r="D860" i="25"/>
  <c r="D859" i="25"/>
  <c r="D858" i="25"/>
  <c r="D857" i="25"/>
  <c r="D856" i="25"/>
  <c r="D855" i="25"/>
  <c r="D854" i="25"/>
  <c r="D853" i="25"/>
  <c r="D852" i="25"/>
  <c r="D851" i="25"/>
  <c r="D850" i="25"/>
  <c r="D849" i="25"/>
  <c r="D848" i="25"/>
  <c r="D847" i="25"/>
  <c r="D846" i="25"/>
  <c r="D845" i="25"/>
  <c r="D844" i="25"/>
  <c r="D843" i="25"/>
  <c r="D842" i="25"/>
  <c r="D841" i="25"/>
  <c r="D840" i="25"/>
  <c r="D839" i="25"/>
  <c r="D838" i="25"/>
  <c r="D837" i="25"/>
  <c r="D836" i="25"/>
  <c r="D835" i="25"/>
  <c r="D834" i="25"/>
  <c r="D833" i="25"/>
  <c r="D832" i="25"/>
  <c r="D831" i="25"/>
  <c r="D830" i="25"/>
  <c r="D829" i="25"/>
  <c r="D828" i="25"/>
  <c r="D827" i="25"/>
  <c r="D826" i="25"/>
  <c r="D825" i="25"/>
  <c r="D824" i="25"/>
  <c r="D823" i="25"/>
  <c r="D822" i="25"/>
  <c r="D821" i="25"/>
  <c r="D820" i="25"/>
  <c r="D819" i="25"/>
  <c r="D818" i="25"/>
  <c r="D817" i="25"/>
  <c r="D816" i="25"/>
  <c r="D815" i="25"/>
  <c r="D814" i="25"/>
  <c r="D813" i="25"/>
  <c r="D812" i="25"/>
  <c r="D811" i="25"/>
  <c r="D810" i="25"/>
  <c r="D809" i="25"/>
  <c r="D808" i="25"/>
  <c r="D807" i="25"/>
  <c r="D806" i="25"/>
  <c r="D805" i="25"/>
  <c r="D804" i="25"/>
  <c r="D803" i="25"/>
  <c r="D802" i="25"/>
  <c r="D801" i="25"/>
  <c r="D800" i="25"/>
  <c r="D799" i="25"/>
  <c r="D798" i="25"/>
  <c r="D797" i="25"/>
  <c r="D796" i="25"/>
  <c r="D795" i="25"/>
  <c r="D794" i="25"/>
  <c r="D793" i="25"/>
  <c r="D792" i="25"/>
  <c r="D791" i="25"/>
  <c r="D790" i="25"/>
  <c r="D789" i="25"/>
  <c r="D788" i="25"/>
  <c r="D787" i="25"/>
  <c r="D786" i="25"/>
  <c r="D785" i="25"/>
  <c r="D784" i="25"/>
  <c r="D783" i="25"/>
  <c r="D782" i="25"/>
  <c r="D781" i="25"/>
  <c r="D780" i="25"/>
  <c r="D779" i="25"/>
  <c r="D778" i="25"/>
  <c r="D777" i="25"/>
  <c r="D776" i="25"/>
  <c r="D775" i="25"/>
  <c r="D774" i="25"/>
  <c r="D773" i="25"/>
  <c r="D772" i="25"/>
  <c r="D771" i="25"/>
  <c r="D770" i="25"/>
  <c r="D769" i="25"/>
  <c r="D768" i="25"/>
  <c r="D767" i="25"/>
  <c r="D766" i="25"/>
  <c r="D765" i="25"/>
  <c r="D764" i="25"/>
  <c r="D763" i="25"/>
  <c r="D762" i="25"/>
  <c r="D761" i="25"/>
  <c r="D760" i="25"/>
  <c r="D759" i="25"/>
  <c r="D758" i="25"/>
  <c r="D757" i="25"/>
  <c r="D756" i="25"/>
  <c r="D755" i="25"/>
  <c r="D754" i="25"/>
  <c r="D753" i="25"/>
  <c r="D752" i="25"/>
  <c r="D751" i="25"/>
  <c r="D750" i="25"/>
  <c r="D749" i="25"/>
  <c r="D748" i="25"/>
  <c r="D747" i="25"/>
  <c r="D746" i="25"/>
  <c r="D745" i="25"/>
  <c r="D744" i="25"/>
  <c r="D743" i="25"/>
  <c r="D742" i="25"/>
  <c r="D741" i="25"/>
  <c r="D740" i="25"/>
  <c r="D739" i="25"/>
  <c r="D738" i="25"/>
  <c r="D737" i="25"/>
  <c r="D736" i="25"/>
  <c r="D735" i="25"/>
  <c r="D734" i="25"/>
  <c r="D733" i="25"/>
  <c r="D732" i="25"/>
  <c r="D731" i="25"/>
  <c r="D730" i="25"/>
  <c r="D729" i="25"/>
  <c r="D728" i="25"/>
  <c r="D727" i="25"/>
  <c r="D726" i="25"/>
  <c r="D725" i="25"/>
  <c r="D724" i="25"/>
  <c r="D723" i="25"/>
  <c r="D722" i="25"/>
  <c r="D721" i="25"/>
  <c r="D720" i="25"/>
  <c r="D719" i="25"/>
  <c r="D718" i="25"/>
  <c r="D717" i="25"/>
  <c r="D716" i="25"/>
  <c r="D715" i="25"/>
  <c r="D714" i="25"/>
  <c r="D713" i="25"/>
  <c r="D712" i="25"/>
  <c r="D711" i="25"/>
  <c r="D710" i="25"/>
  <c r="D709" i="25"/>
  <c r="D708" i="25"/>
  <c r="D707" i="25"/>
  <c r="D706" i="25"/>
  <c r="D705" i="25"/>
  <c r="D704" i="25"/>
  <c r="D703" i="25"/>
  <c r="D702" i="25"/>
  <c r="D701" i="25"/>
  <c r="D700" i="25"/>
  <c r="D699" i="25"/>
  <c r="D698" i="25"/>
  <c r="D697" i="25"/>
  <c r="D696" i="25"/>
  <c r="D695" i="25"/>
  <c r="D694" i="25"/>
  <c r="D693" i="25"/>
  <c r="D692" i="25"/>
  <c r="D691" i="25"/>
  <c r="D690" i="25"/>
  <c r="D689" i="25"/>
  <c r="D688" i="25"/>
  <c r="D687" i="25"/>
  <c r="D686" i="25"/>
  <c r="D685" i="25"/>
  <c r="D684" i="25"/>
  <c r="D683" i="25"/>
  <c r="D682" i="25"/>
  <c r="D681" i="25"/>
  <c r="D680" i="25"/>
  <c r="D679" i="25"/>
  <c r="D678" i="25"/>
  <c r="D677" i="25"/>
  <c r="D676" i="25"/>
  <c r="D675" i="25"/>
  <c r="D674" i="25"/>
  <c r="D673" i="25"/>
  <c r="D672" i="25"/>
  <c r="D671" i="25"/>
  <c r="D670" i="25"/>
  <c r="D669" i="25"/>
  <c r="D668" i="25"/>
  <c r="D667" i="25"/>
  <c r="D666" i="25"/>
  <c r="D665" i="25"/>
  <c r="D664" i="25"/>
  <c r="D663" i="25"/>
  <c r="D662" i="25"/>
  <c r="D661" i="25"/>
  <c r="D660" i="25"/>
  <c r="D659" i="25"/>
  <c r="D658" i="25"/>
  <c r="D657" i="25"/>
  <c r="D656" i="25"/>
  <c r="D655" i="25"/>
  <c r="D654" i="25"/>
  <c r="D653" i="25"/>
  <c r="D652" i="25"/>
  <c r="D651" i="25"/>
  <c r="D650" i="25"/>
  <c r="D649" i="25"/>
  <c r="D648" i="25"/>
  <c r="D647" i="25"/>
  <c r="D646" i="25"/>
  <c r="D645" i="25"/>
  <c r="D644" i="25"/>
  <c r="D643" i="25"/>
  <c r="D642" i="25"/>
  <c r="D641" i="25"/>
  <c r="D640" i="25"/>
  <c r="D639" i="25"/>
  <c r="D638" i="25"/>
  <c r="D637" i="25"/>
  <c r="D636" i="25"/>
  <c r="D635" i="25"/>
  <c r="D634" i="25"/>
  <c r="D633" i="25"/>
  <c r="D632" i="25"/>
  <c r="D631" i="25"/>
  <c r="D630" i="25"/>
  <c r="D629" i="25"/>
  <c r="D628" i="25"/>
  <c r="D627" i="25"/>
  <c r="D626" i="25"/>
  <c r="D625" i="25"/>
  <c r="D624" i="25"/>
  <c r="D623" i="25"/>
  <c r="D622" i="25"/>
  <c r="D621" i="25"/>
  <c r="D620" i="25"/>
  <c r="D619" i="25"/>
  <c r="D618" i="25"/>
  <c r="D617" i="25"/>
  <c r="D616" i="25"/>
  <c r="D615" i="25"/>
  <c r="D614" i="25"/>
  <c r="D613" i="25"/>
  <c r="D612" i="25"/>
  <c r="D611" i="25"/>
  <c r="D610" i="25"/>
  <c r="D609" i="25"/>
  <c r="D608" i="25"/>
  <c r="D607" i="25"/>
  <c r="D606" i="25"/>
  <c r="D605" i="25"/>
  <c r="D604" i="25"/>
  <c r="D603" i="25"/>
  <c r="D602" i="25"/>
  <c r="D601" i="25"/>
  <c r="D600" i="25"/>
  <c r="D599" i="25"/>
  <c r="D598" i="25"/>
  <c r="D597" i="25"/>
  <c r="D596" i="25"/>
  <c r="D595" i="25"/>
  <c r="D594" i="25"/>
  <c r="D593" i="25"/>
  <c r="D592" i="25"/>
  <c r="D591" i="25"/>
  <c r="D590" i="25"/>
  <c r="D589" i="25"/>
  <c r="D588" i="25"/>
  <c r="D587" i="25"/>
  <c r="D586" i="25"/>
  <c r="D585" i="25"/>
  <c r="D584" i="25"/>
  <c r="D583" i="25"/>
  <c r="D582" i="25"/>
  <c r="D581" i="25"/>
  <c r="D580" i="25"/>
  <c r="D579" i="25"/>
  <c r="D578" i="25"/>
  <c r="D577" i="25"/>
  <c r="D576" i="25"/>
  <c r="D575" i="25"/>
  <c r="D574" i="25"/>
  <c r="D573" i="25"/>
  <c r="D572" i="25"/>
  <c r="D571" i="25"/>
  <c r="D570" i="25"/>
  <c r="D569" i="25"/>
  <c r="D568" i="25"/>
  <c r="D567" i="25"/>
  <c r="D566" i="25"/>
  <c r="D565" i="25"/>
  <c r="D564" i="25"/>
  <c r="D563" i="25"/>
  <c r="D562" i="25"/>
  <c r="D561" i="25"/>
  <c r="D560" i="25"/>
  <c r="D559" i="25"/>
  <c r="D558" i="25"/>
  <c r="D557" i="25"/>
  <c r="D556" i="25"/>
  <c r="D555" i="25"/>
  <c r="D554" i="25"/>
  <c r="D553" i="25"/>
  <c r="D552" i="25"/>
  <c r="D551" i="25"/>
  <c r="D550" i="25"/>
  <c r="D549" i="25"/>
  <c r="D548" i="25"/>
  <c r="D547" i="25"/>
  <c r="D546" i="25"/>
  <c r="D545" i="25"/>
  <c r="D544" i="25"/>
  <c r="D543" i="25"/>
  <c r="D542" i="25"/>
  <c r="D541" i="25"/>
  <c r="D540" i="25"/>
  <c r="D539" i="25"/>
  <c r="D538" i="25"/>
  <c r="D537" i="25"/>
  <c r="D536" i="25"/>
  <c r="D535" i="25"/>
  <c r="D534" i="25"/>
  <c r="D533" i="25"/>
  <c r="D532" i="25"/>
  <c r="D531" i="25"/>
  <c r="D530" i="25"/>
  <c r="D529" i="25"/>
  <c r="D528" i="25"/>
  <c r="D527" i="25"/>
  <c r="D526" i="25"/>
  <c r="D525" i="25"/>
  <c r="D524" i="25"/>
  <c r="D523" i="25"/>
  <c r="D522" i="25"/>
  <c r="D521" i="25"/>
  <c r="D520" i="25"/>
  <c r="D519" i="25"/>
  <c r="D518" i="25"/>
  <c r="D517" i="25"/>
  <c r="D516" i="25"/>
  <c r="D515" i="25"/>
  <c r="D514" i="25"/>
  <c r="D513" i="25"/>
  <c r="D512" i="25"/>
  <c r="D511" i="25"/>
  <c r="D510" i="25"/>
  <c r="D509" i="25"/>
  <c r="D508" i="25"/>
  <c r="D507" i="25"/>
  <c r="D506" i="25"/>
  <c r="D505" i="25"/>
  <c r="D504" i="25"/>
  <c r="D503" i="25"/>
  <c r="D502" i="25"/>
  <c r="D501" i="25"/>
  <c r="D500" i="25"/>
  <c r="D499" i="25"/>
  <c r="D498" i="25"/>
  <c r="D497" i="25"/>
  <c r="D496" i="25"/>
  <c r="D495" i="25"/>
  <c r="D494" i="25"/>
  <c r="D493" i="25"/>
  <c r="D492" i="25"/>
  <c r="D491" i="25"/>
  <c r="D490" i="25"/>
  <c r="D489" i="25"/>
  <c r="D488" i="25"/>
  <c r="D487" i="25"/>
  <c r="D486" i="25"/>
  <c r="D485" i="25"/>
  <c r="D484" i="25"/>
  <c r="D483" i="25"/>
  <c r="D482" i="25"/>
  <c r="D481" i="25"/>
  <c r="D480" i="25"/>
  <c r="D479" i="25"/>
  <c r="D478" i="25"/>
  <c r="D477" i="25"/>
  <c r="D476" i="25"/>
  <c r="D475" i="25"/>
  <c r="D474" i="25"/>
  <c r="D473" i="25"/>
  <c r="D472" i="25"/>
  <c r="D471" i="25"/>
  <c r="D470" i="25"/>
  <c r="D469" i="25"/>
  <c r="D468" i="25"/>
  <c r="D467" i="25"/>
  <c r="D466" i="25"/>
  <c r="D465" i="25"/>
  <c r="D464" i="25"/>
  <c r="D463" i="25"/>
  <c r="D462" i="25"/>
  <c r="D461" i="25"/>
  <c r="D460" i="25"/>
  <c r="D459" i="25"/>
  <c r="D458" i="25"/>
  <c r="D457" i="25"/>
  <c r="D456" i="25"/>
  <c r="D455" i="25"/>
  <c r="D454" i="25"/>
  <c r="D453" i="25"/>
  <c r="D452" i="25"/>
  <c r="D451" i="25"/>
  <c r="D450" i="25"/>
  <c r="D449" i="25"/>
  <c r="D448" i="25"/>
  <c r="D447" i="25"/>
  <c r="D446" i="25"/>
  <c r="D445" i="25"/>
  <c r="D444" i="25"/>
  <c r="D443" i="25"/>
  <c r="D442" i="25"/>
  <c r="D441" i="25"/>
  <c r="D440" i="25"/>
  <c r="D439" i="25"/>
  <c r="D438" i="25"/>
  <c r="D437" i="25"/>
  <c r="D436" i="25"/>
  <c r="D435" i="25"/>
  <c r="D434" i="25"/>
  <c r="D433" i="25"/>
  <c r="D432" i="25"/>
  <c r="D431" i="25"/>
  <c r="D430" i="25"/>
  <c r="D429" i="25"/>
  <c r="D428" i="25"/>
  <c r="D427" i="25"/>
  <c r="D426" i="25"/>
  <c r="D425" i="25"/>
  <c r="D424" i="25"/>
  <c r="D423" i="25"/>
  <c r="D422" i="25"/>
  <c r="D421" i="25"/>
  <c r="D420" i="25"/>
  <c r="D419" i="25"/>
  <c r="D418" i="25"/>
  <c r="D417" i="25"/>
  <c r="D416" i="25"/>
  <c r="D415" i="25"/>
  <c r="D414" i="25"/>
  <c r="D413" i="25"/>
  <c r="D412" i="25"/>
  <c r="D411" i="25"/>
  <c r="D410" i="25"/>
  <c r="D409" i="25"/>
  <c r="D408" i="25"/>
  <c r="D407" i="25"/>
  <c r="D406" i="25"/>
  <c r="D405" i="25"/>
  <c r="D404" i="25"/>
  <c r="D403" i="25"/>
  <c r="D402" i="25"/>
  <c r="D401" i="25"/>
  <c r="D400" i="25"/>
  <c r="D399" i="25"/>
  <c r="D398" i="25"/>
  <c r="D397" i="25"/>
  <c r="D396" i="25"/>
  <c r="D395" i="25"/>
  <c r="D394" i="25"/>
  <c r="D393" i="25"/>
  <c r="D392" i="25"/>
  <c r="D391" i="25"/>
  <c r="D390" i="25"/>
  <c r="D389" i="25"/>
  <c r="D388" i="25"/>
  <c r="D387" i="25"/>
  <c r="D386" i="25"/>
  <c r="D385" i="25"/>
  <c r="D384" i="25"/>
  <c r="D383" i="25"/>
  <c r="D382" i="25"/>
  <c r="D381" i="25"/>
  <c r="D380" i="25"/>
  <c r="D379" i="25"/>
  <c r="D378" i="25"/>
  <c r="D377" i="25"/>
  <c r="D376" i="25"/>
  <c r="D375" i="25"/>
  <c r="D374" i="25"/>
  <c r="D373" i="25"/>
  <c r="D372" i="25"/>
  <c r="D371" i="25"/>
  <c r="D370" i="25"/>
  <c r="D369" i="25"/>
  <c r="D368" i="25"/>
  <c r="D367" i="25"/>
  <c r="D366" i="25"/>
  <c r="D365" i="25"/>
  <c r="D364" i="25"/>
  <c r="D363" i="25"/>
  <c r="D362" i="25"/>
  <c r="D361" i="25"/>
  <c r="D360" i="25"/>
  <c r="D359" i="25"/>
  <c r="D358" i="25"/>
  <c r="D357" i="25"/>
  <c r="D356" i="25"/>
  <c r="D355" i="25"/>
  <c r="D354" i="25"/>
  <c r="D353" i="25"/>
  <c r="D352" i="25"/>
  <c r="D351" i="25"/>
  <c r="D350" i="25"/>
  <c r="D349" i="25"/>
  <c r="D348" i="25"/>
  <c r="D347" i="25"/>
  <c r="D346" i="25"/>
  <c r="D345" i="25"/>
  <c r="D344" i="25"/>
  <c r="D343" i="25"/>
  <c r="D342" i="25"/>
  <c r="D341" i="25"/>
  <c r="D340" i="25"/>
  <c r="D339" i="25"/>
  <c r="D338" i="25"/>
  <c r="D337" i="25"/>
  <c r="D336" i="25"/>
  <c r="D335" i="25"/>
  <c r="D334" i="25"/>
  <c r="D333" i="25"/>
  <c r="D332" i="25"/>
  <c r="D331" i="25"/>
  <c r="D330" i="25"/>
  <c r="D329" i="25"/>
  <c r="D328" i="25"/>
  <c r="D327" i="25"/>
  <c r="D326" i="25"/>
  <c r="D325" i="25"/>
  <c r="D324" i="25"/>
  <c r="D323" i="25"/>
  <c r="D322" i="25"/>
  <c r="D321" i="25"/>
  <c r="D320" i="25"/>
  <c r="D319" i="25"/>
  <c r="D318" i="25"/>
  <c r="D317" i="25"/>
  <c r="D316" i="25"/>
  <c r="D315" i="25"/>
  <c r="D314" i="25"/>
  <c r="D313" i="25"/>
  <c r="D312" i="25"/>
  <c r="D311" i="25"/>
  <c r="D310" i="25"/>
  <c r="D309" i="25"/>
  <c r="D308" i="25"/>
  <c r="D307" i="25"/>
  <c r="D306" i="25"/>
  <c r="D305" i="25"/>
  <c r="D304" i="25"/>
  <c r="D303" i="25"/>
  <c r="D302" i="25"/>
  <c r="D301" i="25"/>
  <c r="D300" i="25"/>
  <c r="D299" i="25"/>
  <c r="D298" i="25"/>
  <c r="D297" i="25"/>
  <c r="D296" i="25"/>
  <c r="D295" i="25"/>
  <c r="D294" i="25"/>
  <c r="D293" i="25"/>
  <c r="D292" i="25"/>
  <c r="D291" i="25"/>
  <c r="D290" i="25"/>
  <c r="D289" i="25"/>
  <c r="D288" i="25"/>
  <c r="D287" i="25"/>
  <c r="D286" i="25"/>
  <c r="D285" i="25"/>
  <c r="D284" i="25"/>
  <c r="D283" i="25"/>
  <c r="D282" i="25"/>
  <c r="D281" i="25"/>
  <c r="D280" i="25"/>
  <c r="D279" i="25"/>
  <c r="D278" i="25"/>
  <c r="D277" i="25"/>
  <c r="D276" i="25"/>
  <c r="D275" i="25"/>
  <c r="D274" i="25"/>
  <c r="D273" i="25"/>
  <c r="D272" i="25"/>
  <c r="D271" i="25"/>
  <c r="D270" i="25"/>
  <c r="D269" i="25"/>
  <c r="D268" i="25"/>
  <c r="D267" i="25"/>
  <c r="D266" i="25"/>
  <c r="D265" i="25"/>
  <c r="D264" i="25"/>
  <c r="D263" i="25"/>
  <c r="D262" i="25"/>
  <c r="D261" i="25"/>
  <c r="D260" i="25"/>
  <c r="D259" i="25"/>
  <c r="D258" i="25"/>
  <c r="D257" i="25"/>
  <c r="D256" i="25"/>
  <c r="D255" i="25"/>
  <c r="D254" i="25"/>
  <c r="D253" i="25"/>
  <c r="D252" i="25"/>
  <c r="D251" i="25"/>
  <c r="D250" i="25"/>
  <c r="D249" i="25"/>
  <c r="D248" i="25"/>
  <c r="D247" i="25"/>
  <c r="D246" i="25"/>
  <c r="D245" i="25"/>
  <c r="D244" i="25"/>
  <c r="D243" i="25"/>
  <c r="D242" i="25"/>
  <c r="D241" i="25"/>
  <c r="D240" i="25"/>
  <c r="D239" i="25"/>
  <c r="D238" i="25"/>
  <c r="D237" i="25"/>
  <c r="D236" i="25"/>
  <c r="D235" i="25"/>
  <c r="D234" i="25"/>
  <c r="D233" i="25"/>
  <c r="D232" i="25"/>
  <c r="D231" i="25"/>
  <c r="D230" i="25"/>
  <c r="D229" i="25"/>
  <c r="D228" i="25"/>
  <c r="D227" i="25"/>
  <c r="D226" i="25"/>
  <c r="D225" i="25"/>
  <c r="D224" i="25"/>
  <c r="D223" i="25"/>
  <c r="D222" i="25"/>
  <c r="D221" i="25"/>
  <c r="D220" i="25"/>
  <c r="D219" i="25"/>
  <c r="D218" i="25"/>
  <c r="D217" i="25"/>
  <c r="D216" i="25"/>
  <c r="D215" i="25"/>
  <c r="D214" i="25"/>
  <c r="D213" i="25"/>
  <c r="D212" i="25"/>
  <c r="D211" i="25"/>
  <c r="D210" i="25"/>
  <c r="D209" i="25"/>
  <c r="D208" i="25"/>
  <c r="D207" i="25"/>
  <c r="D206" i="25"/>
  <c r="D205" i="25"/>
  <c r="D204" i="25"/>
  <c r="D203" i="25"/>
  <c r="D202" i="25"/>
  <c r="D201" i="25"/>
  <c r="D200" i="25"/>
  <c r="D199" i="25"/>
  <c r="D198" i="25"/>
  <c r="D197" i="25"/>
  <c r="D196" i="25"/>
  <c r="D195" i="25"/>
  <c r="D194" i="25"/>
  <c r="D193" i="25"/>
  <c r="D192" i="25"/>
  <c r="D191" i="25"/>
  <c r="D190" i="25"/>
  <c r="D189" i="25"/>
  <c r="D188" i="25"/>
  <c r="D187" i="25"/>
  <c r="D186" i="25"/>
  <c r="D185" i="25"/>
  <c r="D184" i="25"/>
  <c r="D183" i="25"/>
  <c r="D182" i="25"/>
  <c r="D181" i="25"/>
  <c r="D180" i="25"/>
  <c r="D179" i="25"/>
  <c r="D178" i="25"/>
  <c r="D177" i="25"/>
  <c r="D176" i="25"/>
  <c r="D175" i="25"/>
  <c r="D174" i="25"/>
  <c r="D173" i="25"/>
  <c r="D172" i="25"/>
  <c r="D171" i="25"/>
  <c r="D170" i="25"/>
  <c r="D169" i="25"/>
  <c r="D168" i="25"/>
  <c r="D167" i="25"/>
  <c r="D166" i="25"/>
  <c r="D165" i="25"/>
  <c r="D164" i="25"/>
  <c r="D163" i="25"/>
  <c r="D162" i="25"/>
  <c r="D161" i="25"/>
  <c r="D160" i="25"/>
  <c r="D159" i="25"/>
  <c r="D158" i="25"/>
  <c r="D157" i="25"/>
  <c r="D156" i="25"/>
  <c r="D155" i="25"/>
  <c r="D154" i="25"/>
  <c r="D153" i="25"/>
  <c r="D152" i="25"/>
  <c r="D151" i="25"/>
  <c r="D150" i="25"/>
  <c r="D149" i="25"/>
  <c r="D148" i="25"/>
  <c r="D147" i="25"/>
  <c r="D146" i="25"/>
  <c r="D145" i="25"/>
  <c r="D144" i="25"/>
  <c r="D143" i="25"/>
  <c r="D142" i="25"/>
  <c r="D141" i="25"/>
  <c r="D140" i="25"/>
  <c r="D139" i="25"/>
  <c r="D138" i="25"/>
  <c r="D137" i="25"/>
  <c r="D136" i="25"/>
  <c r="D135" i="25"/>
  <c r="D134" i="25"/>
  <c r="D133" i="25"/>
  <c r="D132" i="25"/>
  <c r="D131" i="25"/>
  <c r="D130" i="25"/>
  <c r="D129" i="25"/>
  <c r="D128" i="25"/>
  <c r="D127" i="25"/>
  <c r="D126" i="25"/>
  <c r="D125" i="25"/>
  <c r="D124" i="25"/>
  <c r="D123" i="25"/>
  <c r="D122" i="25"/>
  <c r="D121" i="25"/>
  <c r="D120" i="25"/>
  <c r="D119" i="25"/>
  <c r="D118" i="25"/>
  <c r="D117" i="25"/>
  <c r="D116" i="25"/>
  <c r="D115" i="25"/>
  <c r="D114" i="25"/>
  <c r="D113" i="25"/>
  <c r="D112" i="25"/>
  <c r="D111" i="25"/>
  <c r="D110" i="25"/>
  <c r="D109" i="25"/>
  <c r="D108" i="25"/>
  <c r="D107" i="25"/>
  <c r="D106" i="25"/>
  <c r="D105" i="25"/>
  <c r="D104" i="25"/>
  <c r="D103" i="25"/>
  <c r="D102" i="25"/>
  <c r="D101" i="25"/>
  <c r="D100" i="25"/>
  <c r="D99" i="25"/>
  <c r="D98" i="25"/>
  <c r="D97" i="25"/>
  <c r="D96" i="25"/>
  <c r="D95" i="25"/>
  <c r="D94" i="25"/>
  <c r="D93" i="25"/>
  <c r="D92" i="25"/>
  <c r="D91" i="25"/>
  <c r="D90" i="25"/>
  <c r="D89" i="25"/>
  <c r="D88" i="25"/>
  <c r="D87" i="25"/>
  <c r="D86" i="25"/>
  <c r="D85" i="25"/>
  <c r="D84" i="25"/>
  <c r="D83" i="25"/>
  <c r="D82" i="25"/>
  <c r="D81" i="25"/>
  <c r="D80" i="25"/>
  <c r="D79" i="25"/>
  <c r="D78" i="25"/>
  <c r="D77" i="25"/>
  <c r="D76" i="25"/>
  <c r="D75" i="25"/>
  <c r="D74" i="25"/>
  <c r="D73" i="25"/>
  <c r="D72" i="25"/>
  <c r="D71" i="25"/>
  <c r="D70" i="25"/>
  <c r="D69" i="25"/>
  <c r="D68" i="25"/>
  <c r="D67" i="25"/>
  <c r="D66" i="25"/>
  <c r="D65" i="25"/>
  <c r="D64" i="25"/>
  <c r="D63" i="25"/>
  <c r="D62" i="25"/>
  <c r="D61" i="25"/>
  <c r="D60" i="25"/>
  <c r="D59" i="25"/>
  <c r="D58" i="25"/>
  <c r="D57" i="25"/>
  <c r="D56" i="25"/>
  <c r="D55" i="25"/>
  <c r="D54" i="25"/>
  <c r="D53" i="25"/>
  <c r="D52" i="25"/>
  <c r="D51" i="25"/>
  <c r="D50" i="25"/>
  <c r="D49" i="25"/>
  <c r="D48" i="25"/>
  <c r="D47" i="25"/>
  <c r="D46" i="25"/>
  <c r="D45" i="25"/>
  <c r="D44" i="25"/>
  <c r="D43" i="25"/>
  <c r="D42" i="25"/>
  <c r="D41" i="25"/>
  <c r="D40" i="25"/>
  <c r="D39" i="25"/>
  <c r="D38" i="25"/>
  <c r="D37" i="25"/>
  <c r="D36" i="25"/>
  <c r="D35" i="25"/>
  <c r="D34" i="25"/>
  <c r="D33" i="25"/>
  <c r="D32" i="25"/>
  <c r="D31" i="25"/>
  <c r="D30" i="25"/>
  <c r="D29" i="25"/>
  <c r="D28" i="25"/>
  <c r="D27" i="25"/>
  <c r="D26" i="25"/>
  <c r="D25" i="25"/>
  <c r="D24" i="25"/>
  <c r="D23" i="25"/>
  <c r="D22" i="25"/>
  <c r="D21" i="25"/>
  <c r="D20" i="25"/>
  <c r="D19" i="25"/>
  <c r="D18" i="25"/>
  <c r="I17" i="25"/>
  <c r="J17" i="25" s="1"/>
  <c r="K17" i="25" s="1"/>
  <c r="H17" i="25"/>
  <c r="D17" i="25"/>
  <c r="I16" i="25"/>
  <c r="J16" i="25" s="1"/>
  <c r="K16" i="25" s="1"/>
  <c r="H16" i="25"/>
  <c r="D16" i="25"/>
  <c r="I15" i="25"/>
  <c r="J15" i="25" s="1"/>
  <c r="K15" i="25" s="1"/>
  <c r="H15" i="25"/>
  <c r="D15" i="25"/>
  <c r="D14" i="25"/>
  <c r="D13" i="25"/>
  <c r="D12" i="25"/>
  <c r="D11" i="25"/>
  <c r="D10" i="25"/>
  <c r="K9" i="25"/>
  <c r="D9" i="25"/>
  <c r="K8" i="25"/>
  <c r="D8" i="25"/>
  <c r="K7" i="25"/>
  <c r="D7" i="25"/>
  <c r="K6" i="25"/>
  <c r="D6" i="25"/>
  <c r="D5" i="25"/>
  <c r="J23" i="24"/>
  <c r="J24" i="24"/>
  <c r="J22" i="24"/>
  <c r="M10" i="24"/>
  <c r="M9" i="24"/>
  <c r="M8" i="24"/>
  <c r="M7" i="24"/>
  <c r="D269" i="24"/>
  <c r="D1836" i="24"/>
  <c r="D1224" i="24"/>
  <c r="D1632" i="24"/>
  <c r="D1581" i="24"/>
  <c r="D1123" i="24"/>
  <c r="D189" i="24"/>
  <c r="D1201" i="24"/>
  <c r="D736" i="24"/>
  <c r="D1518" i="24"/>
  <c r="D949" i="24"/>
  <c r="D760" i="24"/>
  <c r="D1874" i="24"/>
  <c r="D1468" i="24"/>
  <c r="D390" i="24"/>
  <c r="D619" i="24"/>
  <c r="D626" i="24"/>
  <c r="D1079" i="24"/>
  <c r="D1067" i="24"/>
  <c r="D612" i="24"/>
  <c r="D830" i="24"/>
  <c r="D570" i="24"/>
  <c r="D1532" i="24"/>
  <c r="D1137" i="24"/>
  <c r="D351" i="24"/>
  <c r="D146" i="24"/>
  <c r="D648" i="24"/>
  <c r="D646" i="24"/>
  <c r="D631" i="24"/>
  <c r="D622" i="24"/>
  <c r="D214" i="24"/>
  <c r="D457" i="24"/>
  <c r="D339" i="24"/>
  <c r="D1617" i="24"/>
  <c r="D1497" i="24"/>
  <c r="D903" i="24"/>
  <c r="D1370" i="24"/>
  <c r="D1262" i="24"/>
  <c r="D223" i="24"/>
  <c r="D1335" i="24"/>
  <c r="D1687" i="24"/>
  <c r="D618" i="24"/>
  <c r="D1823" i="24"/>
  <c r="D593" i="24"/>
  <c r="D1354" i="24"/>
  <c r="D633" i="24"/>
  <c r="D871" i="24"/>
  <c r="D902" i="24"/>
  <c r="D159" i="24"/>
  <c r="D639" i="24"/>
  <c r="D1449" i="24"/>
  <c r="D1635" i="24"/>
  <c r="D1191" i="24"/>
  <c r="D1302" i="24"/>
  <c r="D1249" i="24"/>
  <c r="D451" i="24"/>
  <c r="D931" i="24"/>
  <c r="D365" i="24"/>
  <c r="D420" i="24"/>
  <c r="D894" i="24"/>
  <c r="D1513" i="24"/>
  <c r="D577" i="24"/>
  <c r="D1404" i="24"/>
  <c r="D85" i="24"/>
  <c r="D1156" i="24"/>
  <c r="D1740" i="24"/>
  <c r="D1257" i="24"/>
  <c r="D740" i="24"/>
  <c r="D1403" i="24"/>
  <c r="D1474" i="24"/>
  <c r="D898" i="24"/>
  <c r="D604" i="24"/>
  <c r="D841" i="24"/>
  <c r="D775" i="24"/>
  <c r="D448" i="24"/>
  <c r="D78" i="24"/>
  <c r="D141" i="24"/>
  <c r="D352" i="24"/>
  <c r="D824" i="24"/>
  <c r="D118" i="24"/>
  <c r="D816" i="24"/>
  <c r="D1582" i="24"/>
  <c r="D1669" i="24"/>
  <c r="D753" i="24"/>
  <c r="D1765" i="24"/>
  <c r="D1047" i="24"/>
  <c r="D1641" i="24"/>
  <c r="D827" i="24"/>
  <c r="D1662" i="24"/>
  <c r="D1313" i="24"/>
  <c r="D709" i="24"/>
  <c r="D113" i="24"/>
  <c r="D1362" i="24"/>
  <c r="D1747" i="24"/>
  <c r="D226" i="24"/>
  <c r="D1175" i="24"/>
  <c r="D1750" i="24"/>
  <c r="D345" i="24"/>
  <c r="D1696" i="24"/>
  <c r="D1115" i="24"/>
  <c r="D1043" i="24"/>
  <c r="D1407" i="24"/>
  <c r="D1100" i="24"/>
  <c r="D1054" i="24"/>
  <c r="D1303" i="24"/>
  <c r="D1774" i="24"/>
  <c r="D1454" i="24"/>
  <c r="D1316" i="24"/>
  <c r="D1091" i="24"/>
  <c r="D1541" i="24"/>
  <c r="D1626" i="24"/>
  <c r="D1636" i="24"/>
  <c r="D355" i="24"/>
  <c r="D1521" i="24"/>
  <c r="D95" i="24"/>
  <c r="D596" i="24"/>
  <c r="D411" i="24"/>
  <c r="D584" i="24"/>
  <c r="D563" i="24"/>
  <c r="D273" i="24"/>
  <c r="D1057" i="24"/>
  <c r="D1549" i="24"/>
  <c r="D274" i="24"/>
  <c r="D735" i="24"/>
  <c r="D1028" i="24"/>
  <c r="D1039" i="24"/>
  <c r="D426" i="24"/>
  <c r="D624" i="24"/>
  <c r="D853" i="24"/>
  <c r="D90" i="24"/>
  <c r="D333" i="24"/>
  <c r="D587" i="24"/>
  <c r="D1876" i="24"/>
  <c r="D1707" i="24"/>
  <c r="D1044" i="24"/>
  <c r="D1072" i="24"/>
  <c r="D1304" i="24"/>
  <c r="D349" i="24"/>
  <c r="D656" i="24"/>
  <c r="D1411" i="24"/>
  <c r="D575" i="24"/>
  <c r="D565" i="24"/>
  <c r="D838" i="24"/>
  <c r="D1228" i="24"/>
  <c r="D1369" i="24"/>
  <c r="D1720" i="24"/>
  <c r="D495" i="24"/>
  <c r="D29" i="24"/>
  <c r="D79" i="24"/>
  <c r="D554" i="24"/>
  <c r="D1116" i="24"/>
  <c r="D132" i="24"/>
  <c r="D179" i="24"/>
  <c r="D1882" i="24"/>
  <c r="D1506" i="24"/>
  <c r="D917" i="24"/>
  <c r="D566" i="24"/>
  <c r="D1240" i="24"/>
  <c r="D1577" i="24"/>
  <c r="D1543" i="24"/>
  <c r="D915" i="24"/>
  <c r="D1554" i="24"/>
  <c r="D139" i="24"/>
  <c r="D661" i="24"/>
  <c r="D548" i="24"/>
  <c r="D184" i="24"/>
  <c r="D545" i="24"/>
  <c r="D460" i="24"/>
  <c r="D640" i="24"/>
  <c r="D112" i="24"/>
  <c r="D766" i="24"/>
  <c r="D1265" i="24"/>
  <c r="D306" i="24"/>
  <c r="D1130" i="24"/>
  <c r="D1216" i="24"/>
  <c r="D1818" i="24"/>
  <c r="D514" i="24"/>
  <c r="D828" i="24"/>
  <c r="D1547" i="24"/>
  <c r="D968" i="24"/>
  <c r="D1419" i="24"/>
  <c r="D1045" i="24"/>
  <c r="D793" i="24"/>
  <c r="D70" i="24"/>
  <c r="D447" i="24"/>
  <c r="D504" i="24"/>
  <c r="D1594" i="24"/>
  <c r="D681" i="24"/>
  <c r="D115" i="24"/>
  <c r="D1093" i="24"/>
  <c r="D733" i="24"/>
  <c r="D511" i="24"/>
  <c r="D869" i="24"/>
  <c r="D668" i="24"/>
  <c r="D1138" i="24"/>
  <c r="D901" i="24"/>
  <c r="D528" i="24"/>
  <c r="D629" i="24"/>
  <c r="D288" i="24"/>
  <c r="D823" i="24"/>
  <c r="D168" i="24"/>
  <c r="D1800" i="24"/>
  <c r="D1322" i="24"/>
  <c r="D758" i="24"/>
  <c r="D152" i="24"/>
  <c r="D208" i="24"/>
  <c r="D675" i="24"/>
  <c r="D1066" i="24"/>
  <c r="D6" i="24"/>
  <c r="D557" i="24"/>
  <c r="D534" i="24"/>
  <c r="D1813" i="24"/>
  <c r="D258" i="24"/>
  <c r="D46" i="24"/>
  <c r="D43" i="24"/>
  <c r="D805" i="24"/>
  <c r="D116" i="24"/>
  <c r="D859" i="24"/>
  <c r="D239" i="24"/>
  <c r="D361" i="24"/>
  <c r="D165" i="24"/>
  <c r="D1605" i="24"/>
  <c r="D703" i="24"/>
  <c r="D712" i="24"/>
  <c r="D1526" i="24"/>
  <c r="D1355" i="24"/>
  <c r="D1094" i="24"/>
  <c r="D1120" i="24"/>
  <c r="D458" i="24"/>
  <c r="D404" i="24"/>
  <c r="D510" i="24"/>
  <c r="D768" i="24"/>
  <c r="D1431" i="24"/>
  <c r="D877" i="24"/>
  <c r="D1816" i="24"/>
  <c r="D1700" i="24"/>
  <c r="D730" i="24"/>
  <c r="D1528" i="24"/>
  <c r="D284" i="24"/>
  <c r="D1364" i="24"/>
  <c r="D1000" i="24"/>
  <c r="D921" i="24"/>
  <c r="D1458" i="24"/>
  <c r="D88" i="24"/>
  <c r="D535" i="24"/>
  <c r="D1145" i="24"/>
  <c r="D1551" i="24"/>
  <c r="D737" i="24"/>
  <c r="D1465" i="24"/>
  <c r="D1268" i="24"/>
  <c r="D266" i="24"/>
  <c r="D1192" i="24"/>
  <c r="D1041" i="24"/>
  <c r="D551" i="24"/>
  <c r="D1674" i="24"/>
  <c r="D1631" i="24"/>
  <c r="D234" i="24"/>
  <c r="D265" i="24"/>
  <c r="D1455" i="24"/>
  <c r="D243" i="24"/>
  <c r="D268" i="24"/>
  <c r="D1332" i="24"/>
  <c r="D228" i="24"/>
  <c r="D1075" i="24"/>
  <c r="D1619" i="24"/>
  <c r="D1414" i="24"/>
  <c r="D953" i="24"/>
  <c r="D326" i="24"/>
  <c r="D1353" i="24"/>
  <c r="D1409" i="24"/>
  <c r="D1372" i="24"/>
  <c r="D1371" i="24"/>
  <c r="D1488" i="24"/>
  <c r="D1247" i="24"/>
  <c r="D477" i="24"/>
  <c r="D914" i="24"/>
  <c r="D1607" i="24"/>
  <c r="D651" i="24"/>
  <c r="D1146" i="24"/>
  <c r="D1323" i="24"/>
  <c r="D1155" i="24"/>
  <c r="D55" i="24"/>
  <c r="D1657" i="24"/>
  <c r="D1132" i="24"/>
  <c r="D430" i="24"/>
  <c r="D1258" i="24"/>
  <c r="D397" i="24"/>
  <c r="D317" i="24"/>
  <c r="D204" i="24"/>
  <c r="D1868" i="24"/>
  <c r="D1608" i="24"/>
  <c r="D812" i="24"/>
  <c r="D569" i="24"/>
  <c r="D285" i="24"/>
  <c r="D1279" i="24"/>
  <c r="D1472" i="24"/>
  <c r="D60" i="24"/>
  <c r="D1872" i="24"/>
  <c r="D1837" i="24"/>
  <c r="D1432" i="24"/>
  <c r="D86" i="24"/>
  <c r="D586" i="24"/>
  <c r="D966" i="24"/>
  <c r="D332" i="24"/>
  <c r="D87" i="24"/>
  <c r="D174" i="24"/>
  <c r="D867" i="24"/>
  <c r="D1644" i="24"/>
  <c r="D1198" i="24"/>
  <c r="D1073" i="24"/>
  <c r="D1150" i="24"/>
  <c r="D1462" i="24"/>
  <c r="D209" i="24"/>
  <c r="D194" i="24"/>
  <c r="D910" i="24"/>
  <c r="D837" i="24"/>
  <c r="D1758" i="24"/>
  <c r="D1477" i="24"/>
  <c r="D794" i="24"/>
  <c r="D1018" i="24"/>
  <c r="D948" i="24"/>
  <c r="D1721" i="24"/>
  <c r="D305" i="24"/>
  <c r="D183" i="24"/>
  <c r="D98" i="24"/>
  <c r="D892" i="24"/>
  <c r="D1366" i="24"/>
  <c r="D1485" i="24"/>
  <c r="D1537" i="24"/>
  <c r="D738" i="24"/>
  <c r="D486" i="24"/>
  <c r="D280" i="24"/>
  <c r="D1061" i="24"/>
  <c r="D1324" i="24"/>
  <c r="D1377" i="24"/>
  <c r="D1451" i="24"/>
  <c r="D630" i="24"/>
  <c r="D1820" i="24"/>
  <c r="D1438" i="24"/>
  <c r="D292" i="24"/>
  <c r="D472" i="24"/>
  <c r="D1695" i="24"/>
  <c r="D316" i="24"/>
  <c r="D1833" i="24"/>
  <c r="D1766" i="24"/>
  <c r="D1719" i="24"/>
  <c r="D1420" i="24"/>
  <c r="D980" i="24"/>
  <c r="D1647" i="24"/>
  <c r="D192" i="24"/>
  <c r="D1475" i="24"/>
  <c r="D293" i="24"/>
  <c r="D1481" i="24"/>
  <c r="D1499" i="24"/>
  <c r="D1391" i="24"/>
  <c r="D1510" i="24"/>
  <c r="D773" i="24"/>
  <c r="D462" i="24"/>
  <c r="D493" i="24"/>
  <c r="D1609" i="24"/>
  <c r="D895" i="24"/>
  <c r="D959" i="24"/>
  <c r="D1076" i="24"/>
  <c r="D783" i="24"/>
  <c r="D1158" i="24"/>
  <c r="D1665" i="24"/>
  <c r="D1486" i="24"/>
  <c r="D1133" i="24"/>
  <c r="D1147" i="24"/>
  <c r="D391" i="24"/>
  <c r="D1209" i="24"/>
  <c r="D1306" i="24"/>
  <c r="D394" i="24"/>
  <c r="D765" i="24"/>
  <c r="D1129" i="24"/>
  <c r="D790" i="24"/>
  <c r="D893" i="24"/>
  <c r="D323" i="24"/>
  <c r="D607" i="24"/>
  <c r="D1157" i="24"/>
  <c r="D1742" i="24"/>
  <c r="D276" i="24"/>
  <c r="D1154" i="24"/>
  <c r="D1025" i="24"/>
  <c r="D1509" i="24"/>
  <c r="D309" i="24"/>
  <c r="D685" i="24"/>
  <c r="D452" i="24"/>
  <c r="D413" i="24"/>
  <c r="D547" i="24"/>
  <c r="D1176" i="24"/>
  <c r="D1204" i="24"/>
  <c r="D922" i="24"/>
  <c r="D1099" i="24"/>
  <c r="D1022" i="24"/>
  <c r="D302" i="24"/>
  <c r="D496" i="24"/>
  <c r="D501" i="24"/>
  <c r="D42" i="24"/>
  <c r="D1387" i="24"/>
  <c r="D699" i="24"/>
  <c r="D1379" i="24"/>
  <c r="D1164" i="24"/>
  <c r="D985" i="24"/>
  <c r="D1139" i="24"/>
  <c r="D1493" i="24"/>
  <c r="D780" i="24"/>
  <c r="D335" i="24"/>
  <c r="D1088" i="24"/>
  <c r="D499" i="24"/>
  <c r="D617" i="24"/>
  <c r="D1373" i="24"/>
  <c r="D432" i="24"/>
  <c r="D1006" i="24"/>
  <c r="D919" i="24"/>
  <c r="D414" i="24"/>
  <c r="D647" i="24"/>
  <c r="D1701" i="24"/>
  <c r="D1616" i="24"/>
  <c r="D641" i="24"/>
  <c r="D1397" i="24"/>
  <c r="D1683" i="24"/>
  <c r="D357" i="24"/>
  <c r="D1612" i="24"/>
  <c r="D907" i="24"/>
  <c r="D1020" i="24"/>
  <c r="D1263" i="24"/>
  <c r="D1243" i="24"/>
  <c r="D674" i="24"/>
  <c r="D1225" i="24"/>
  <c r="D900" i="24"/>
  <c r="D835" i="24"/>
  <c r="D932" i="24"/>
  <c r="D1494" i="24"/>
  <c r="D1385" i="24"/>
  <c r="D1580" i="24"/>
  <c r="D989" i="24"/>
  <c r="D928" i="24"/>
  <c r="D971" i="24"/>
  <c r="D1049" i="24"/>
  <c r="D1021" i="24"/>
  <c r="D744" i="24"/>
  <c r="D653" i="24"/>
  <c r="D649" i="24"/>
  <c r="D310" i="24"/>
  <c r="D1638" i="24"/>
  <c r="D195" i="24"/>
  <c r="D682" i="24"/>
  <c r="D550" i="24"/>
  <c r="D376" i="24"/>
  <c r="D746" i="24"/>
  <c r="D215" i="24"/>
  <c r="D1623" i="24"/>
  <c r="D1087" i="24"/>
  <c r="D1556" i="24"/>
  <c r="D855" i="24"/>
  <c r="D482" i="24"/>
  <c r="D585" i="24"/>
  <c r="D777" i="24"/>
  <c r="D1809" i="24"/>
  <c r="D1496" i="24"/>
  <c r="D999" i="24"/>
  <c r="D1336" i="24"/>
  <c r="D1038" i="24"/>
  <c r="D520" i="24"/>
  <c r="D594" i="24"/>
  <c r="D969" i="24"/>
  <c r="D405" i="24"/>
  <c r="D246" i="24"/>
  <c r="D961" i="24"/>
  <c r="D769" i="24"/>
  <c r="D845" i="24"/>
  <c r="D1575" i="24"/>
  <c r="D307" i="24"/>
  <c r="D1305" i="24"/>
  <c r="D888" i="24"/>
  <c r="D772" i="24"/>
  <c r="D1214" i="24"/>
  <c r="D1239" i="24"/>
  <c r="D849" i="24"/>
  <c r="D1430" i="24"/>
  <c r="D705" i="24"/>
  <c r="D1640" i="24"/>
  <c r="D1646" i="24"/>
  <c r="D1584" i="24"/>
  <c r="D556" i="24"/>
  <c r="D1270" i="24"/>
  <c r="D522" i="24"/>
  <c r="D1255" i="24"/>
  <c r="D1036" i="24"/>
  <c r="D1386" i="24"/>
  <c r="D1065" i="24"/>
  <c r="D782" i="24"/>
  <c r="D403" i="24"/>
  <c r="D343" i="24"/>
  <c r="D513" i="24"/>
  <c r="D636" i="24"/>
  <c r="D1051" i="24"/>
  <c r="D762" i="24"/>
  <c r="D358" i="24"/>
  <c r="D743" i="24"/>
  <c r="D582" i="24"/>
  <c r="D757" i="24"/>
  <c r="D1415" i="24"/>
  <c r="D1233" i="24"/>
  <c r="D650" i="24"/>
  <c r="D1394" i="24"/>
  <c r="D1070" i="24"/>
  <c r="D819" i="24"/>
  <c r="D880" i="24"/>
  <c r="D576" i="24"/>
  <c r="D1321" i="24"/>
  <c r="D449" i="24"/>
  <c r="D84" i="24"/>
  <c r="D1174" i="24"/>
  <c r="D1149" i="24"/>
  <c r="D634" i="24"/>
  <c r="D1568" i="24"/>
  <c r="D417" i="24"/>
  <c r="D829" i="24"/>
  <c r="D866" i="24"/>
  <c r="D464" i="24"/>
  <c r="D778" i="24"/>
  <c r="D643" i="24"/>
  <c r="D235" i="24"/>
  <c r="D1693" i="24"/>
  <c r="D1266" i="24"/>
  <c r="D1735" i="24"/>
  <c r="D250" i="24"/>
  <c r="D120" i="24"/>
  <c r="D264" i="24"/>
  <c r="D1089" i="24"/>
  <c r="D127" i="24"/>
  <c r="D1828" i="24"/>
  <c r="D1864" i="24"/>
  <c r="D1300" i="24"/>
  <c r="D1489" i="24"/>
  <c r="D886" i="24"/>
  <c r="D1699" i="24"/>
  <c r="D975" i="24"/>
  <c r="D1184" i="24"/>
  <c r="D792" i="24"/>
  <c r="D1015" i="24"/>
  <c r="D1358" i="24"/>
  <c r="D1346" i="24"/>
  <c r="D436" i="24"/>
  <c r="D996" i="24"/>
  <c r="D954" i="24"/>
  <c r="D1633" i="24"/>
  <c r="D1023" i="24"/>
  <c r="D874" i="24"/>
  <c r="D1058" i="24"/>
  <c r="D1360" i="24"/>
  <c r="D1318" i="24"/>
  <c r="D478" i="24"/>
  <c r="D175" i="24"/>
  <c r="D369" i="24"/>
  <c r="D41" i="24"/>
  <c r="D573" i="24"/>
  <c r="D1361" i="24"/>
  <c r="D1121" i="24"/>
  <c r="D663" i="24"/>
  <c r="D1675" i="24"/>
  <c r="D1134" i="24"/>
  <c r="D1349" i="24"/>
  <c r="D1055" i="24"/>
  <c r="D1393" i="24"/>
  <c r="D1111" i="24"/>
  <c r="D1440" i="24"/>
  <c r="D857" i="24"/>
  <c r="D909" i="24"/>
  <c r="D1112" i="24"/>
  <c r="D558" i="24"/>
  <c r="D1024" i="24"/>
  <c r="D503" i="24"/>
  <c r="D1086" i="24"/>
  <c r="D863" i="24"/>
  <c r="D1327" i="24"/>
  <c r="D1229" i="24"/>
  <c r="D988" i="24"/>
  <c r="D353" i="24"/>
  <c r="D36" i="24"/>
  <c r="D1739" i="24"/>
  <c r="D1834" i="24"/>
  <c r="D1682" i="24"/>
  <c r="D1083" i="24"/>
  <c r="D1095" i="24"/>
  <c r="D301" i="24"/>
  <c r="D691" i="24"/>
  <c r="D1131" i="24"/>
  <c r="D993" i="24"/>
  <c r="D798" i="24"/>
  <c r="D1586" i="24"/>
  <c r="D203" i="24"/>
  <c r="D1492" i="24"/>
  <c r="D713" i="24"/>
  <c r="D916" i="24"/>
  <c r="D387" i="24"/>
  <c r="D832" i="24"/>
  <c r="D1069" i="24"/>
  <c r="D334" i="24"/>
  <c r="D559" i="24"/>
  <c r="D1245" i="24"/>
  <c r="D992" i="24"/>
  <c r="D1278" i="24"/>
  <c r="D197" i="24"/>
  <c r="D809" i="24"/>
  <c r="D1252" i="24"/>
  <c r="D613" i="24"/>
  <c r="D581" i="24"/>
  <c r="D549" i="24"/>
  <c r="D1050" i="24"/>
  <c r="D982" i="24"/>
  <c r="D865" i="24"/>
  <c r="D1613" i="24"/>
  <c r="D749" i="24"/>
  <c r="D870" i="24"/>
  <c r="D1193" i="24"/>
  <c r="D1287" i="24"/>
  <c r="D1205" i="24"/>
  <c r="D920" i="24"/>
  <c r="D521" i="24"/>
  <c r="D479" i="24"/>
  <c r="D337" i="24"/>
  <c r="D1504" i="24"/>
  <c r="D371" i="24"/>
  <c r="D690" i="24"/>
  <c r="D1491" i="24"/>
  <c r="D956" i="24"/>
  <c r="D1688" i="24"/>
  <c r="D177" i="24"/>
  <c r="D324" i="24"/>
  <c r="D171" i="24"/>
  <c r="D412" i="24"/>
  <c r="D1106" i="24"/>
  <c r="D30" i="24"/>
  <c r="D374" i="24"/>
  <c r="D1402" i="24"/>
  <c r="D861" i="24"/>
  <c r="D896" i="24"/>
  <c r="D1392" i="24"/>
  <c r="D722" i="24"/>
  <c r="D263" i="24"/>
  <c r="D77" i="24"/>
  <c r="D779" i="24"/>
  <c r="D984" i="24"/>
  <c r="D134" i="24"/>
  <c r="D1810" i="24"/>
  <c r="D330" i="24"/>
  <c r="D1381" i="24"/>
  <c r="D1822" i="24"/>
  <c r="D395" i="24"/>
  <c r="D248" i="24"/>
  <c r="D162" i="24"/>
  <c r="D923" i="24"/>
  <c r="D1709" i="24"/>
  <c r="D33" i="24"/>
  <c r="D687" i="24"/>
  <c r="D1679" i="24"/>
  <c r="D1471" i="24"/>
  <c r="D1500" i="24"/>
  <c r="D505" i="24"/>
  <c r="D409" i="24"/>
  <c r="D1196" i="24"/>
  <c r="D1357" i="24"/>
  <c r="D1236" i="24"/>
  <c r="D469" i="24"/>
  <c r="D1185" i="24"/>
  <c r="D1550" i="24"/>
  <c r="D1527" i="24"/>
  <c r="D978" i="24"/>
  <c r="D287" i="24"/>
  <c r="D1117" i="24"/>
  <c r="D924" i="24"/>
  <c r="D1622" i="24"/>
  <c r="D580" i="24"/>
  <c r="D461" i="24"/>
  <c r="D298" i="24"/>
  <c r="D433" i="24"/>
  <c r="D416" i="24"/>
  <c r="D578" i="24"/>
  <c r="D796" i="24"/>
  <c r="D673" i="24"/>
  <c r="D750" i="24"/>
  <c r="D1014" i="24"/>
  <c r="D603" i="24"/>
  <c r="D940" i="24"/>
  <c r="D364" i="24"/>
  <c r="D261" i="24"/>
  <c r="D1109" i="24"/>
  <c r="D1342" i="24"/>
  <c r="D1343" i="24"/>
  <c r="D1190" i="24"/>
  <c r="D797" i="24"/>
  <c r="D1505" i="24"/>
  <c r="D1288" i="24"/>
  <c r="D754" i="24"/>
  <c r="D63" i="24"/>
  <c r="D878" i="24"/>
  <c r="D455" i="24"/>
  <c r="D601" i="24"/>
  <c r="D212" i="24"/>
  <c r="D938" i="24"/>
  <c r="D1480" i="24"/>
  <c r="D314" i="24"/>
  <c r="D1328" i="24"/>
  <c r="D1479" i="24"/>
  <c r="D1783" i="24"/>
  <c r="D247" i="24"/>
  <c r="D1333" i="24"/>
  <c r="D202" i="24"/>
  <c r="D1035" i="24"/>
  <c r="D319" i="24"/>
  <c r="D1741" i="24"/>
  <c r="D474" i="24"/>
  <c r="D950" i="24"/>
  <c r="D1189" i="24"/>
  <c r="D35" i="24"/>
  <c r="D1423" i="24"/>
  <c r="D756" i="24"/>
  <c r="D1705" i="24"/>
  <c r="D689" i="24"/>
  <c r="D684" i="24"/>
  <c r="D109" i="24"/>
  <c r="D694" i="24"/>
  <c r="D942" i="24"/>
  <c r="D1068" i="24"/>
  <c r="D1312" i="24"/>
  <c r="D1681" i="24"/>
  <c r="D1199" i="24"/>
  <c r="D1565" i="24"/>
  <c r="D1352" i="24"/>
  <c r="D1437" i="24"/>
  <c r="D1012" i="24"/>
  <c r="D91" i="24"/>
  <c r="D256" i="24"/>
  <c r="D1511" i="24"/>
  <c r="D883" i="24"/>
  <c r="D1546" i="24"/>
  <c r="D1520" i="24"/>
  <c r="D1241" i="24"/>
  <c r="D943" i="24"/>
  <c r="D1161" i="24"/>
  <c r="D839" i="24"/>
  <c r="D759" i="24"/>
  <c r="D850" i="24"/>
  <c r="D408" i="24"/>
  <c r="D1544" i="24"/>
  <c r="D1689" i="24"/>
  <c r="D1795" i="24"/>
  <c r="D1599" i="24"/>
  <c r="D130" i="24"/>
  <c r="D1634" i="24"/>
  <c r="D252" i="24"/>
  <c r="D1752" i="24"/>
  <c r="D717" i="24"/>
  <c r="D741" i="24"/>
  <c r="D1194" i="24"/>
  <c r="D960" i="24"/>
  <c r="D1424" i="24"/>
  <c r="D1001" i="24"/>
  <c r="D122" i="24"/>
  <c r="D1447" i="24"/>
  <c r="D1692" i="24"/>
  <c r="D1558" i="24"/>
  <c r="D1824" i="24"/>
  <c r="D1817" i="24"/>
  <c r="D1759" i="24"/>
  <c r="D658" i="24"/>
  <c r="D406" i="24"/>
  <c r="D450" i="24"/>
  <c r="D1659" i="24"/>
  <c r="D873" i="24"/>
  <c r="D525" i="24"/>
  <c r="D348" i="24"/>
  <c r="D470" i="24"/>
  <c r="D1452" i="24"/>
  <c r="D1218" i="24"/>
  <c r="D12" i="24"/>
  <c r="D1219" i="24"/>
  <c r="D1148" i="24"/>
  <c r="D745" i="24"/>
  <c r="D147" i="24"/>
  <c r="D225" i="24"/>
  <c r="D1703" i="24"/>
  <c r="D1119" i="24"/>
  <c r="D813" i="24"/>
  <c r="D182" i="24"/>
  <c r="D467" i="24"/>
  <c r="D696" i="24"/>
  <c r="D150" i="24"/>
  <c r="D1838" i="24"/>
  <c r="D1854" i="24"/>
  <c r="D1406" i="24"/>
  <c r="D800" i="24"/>
  <c r="D229" i="24"/>
  <c r="D1686" i="24"/>
  <c r="D299" i="24"/>
  <c r="D1165" i="24"/>
  <c r="D342" i="24"/>
  <c r="D1037" i="24"/>
  <c r="D1723" i="24"/>
  <c r="D1881" i="24"/>
  <c r="D378" i="24"/>
  <c r="D206" i="24"/>
  <c r="D187" i="24"/>
  <c r="D92" i="24"/>
  <c r="D49" i="24"/>
  <c r="D8" i="24"/>
  <c r="D1645" i="24"/>
  <c r="D103" i="24"/>
  <c r="D1400" i="24"/>
  <c r="D216" i="24"/>
  <c r="D1456" i="24"/>
  <c r="D279" i="24"/>
  <c r="D1502" i="24"/>
  <c r="D456" i="24"/>
  <c r="D912" i="24"/>
  <c r="D615" i="24"/>
  <c r="D1446" i="24"/>
  <c r="D399" i="24"/>
  <c r="D508" i="24"/>
  <c r="D967" i="24"/>
  <c r="D218" i="24"/>
  <c r="D1264" i="24"/>
  <c r="D761" i="24"/>
  <c r="D1507" i="24"/>
  <c r="D826" i="24"/>
  <c r="D974" i="24"/>
  <c r="D1256" i="24"/>
  <c r="D1642" i="24"/>
  <c r="D1308" i="24"/>
  <c r="D533" i="24"/>
  <c r="D875" i="24"/>
  <c r="D1048" i="24"/>
  <c r="D439" i="24"/>
  <c r="D385" i="24"/>
  <c r="D1374" i="24"/>
  <c r="D446" i="24"/>
  <c r="D166" i="24"/>
  <c r="D1234" i="24"/>
  <c r="D321" i="24"/>
  <c r="D1545" i="24"/>
  <c r="D574" i="24"/>
  <c r="D1297" i="24"/>
  <c r="D1604" i="24"/>
  <c r="D597" i="24"/>
  <c r="D1771" i="24"/>
  <c r="D107" i="24"/>
  <c r="D51" i="24"/>
  <c r="D702" i="24"/>
  <c r="D431" i="24"/>
  <c r="D1792" i="24"/>
  <c r="D1832" i="24"/>
  <c r="D40" i="24"/>
  <c r="D1356" i="24"/>
  <c r="D1533" i="24"/>
  <c r="D1242" i="24"/>
  <c r="D438" i="24"/>
  <c r="D1569" i="24"/>
  <c r="D562" i="24"/>
  <c r="D1714" i="24"/>
  <c r="D50" i="24"/>
  <c r="D666" i="24"/>
  <c r="D1811" i="24"/>
  <c r="D763" i="24"/>
  <c r="D325" i="24"/>
  <c r="D818" i="24"/>
  <c r="D329" i="24"/>
  <c r="D173" i="24"/>
  <c r="D1077" i="24"/>
  <c r="D1726" i="24"/>
  <c r="D1380" i="24"/>
  <c r="D1108" i="24"/>
  <c r="D543" i="24"/>
  <c r="D1539" i="24"/>
  <c r="D11" i="24"/>
  <c r="D44" i="24"/>
  <c r="D935" i="24"/>
  <c r="D1388" i="24"/>
  <c r="D1376" i="24"/>
  <c r="D1611" i="24"/>
  <c r="D1573" i="24"/>
  <c r="D660" i="24"/>
  <c r="D19" i="24"/>
  <c r="D117" i="24"/>
  <c r="D207" i="24"/>
  <c r="D1227" i="24"/>
  <c r="D1140" i="24"/>
  <c r="D517" i="24"/>
  <c r="D1113" i="24"/>
  <c r="D1348" i="24"/>
  <c r="D1289" i="24"/>
  <c r="D468" i="24"/>
  <c r="D538" i="24"/>
  <c r="D1443" i="24"/>
  <c r="D1350" i="24"/>
  <c r="D714" i="24"/>
  <c r="D836" i="24"/>
  <c r="D1540" i="24"/>
  <c r="D592" i="24"/>
  <c r="D267" i="24"/>
  <c r="D473" i="24"/>
  <c r="D842" i="24"/>
  <c r="D341" i="24"/>
  <c r="D1408" i="24"/>
  <c r="D602" i="24"/>
  <c r="D657" i="24"/>
  <c r="D1004" i="24"/>
  <c r="D1769" i="24"/>
  <c r="D1525" i="24"/>
  <c r="D39" i="24"/>
  <c r="D1118" i="24"/>
  <c r="D1628" i="24"/>
  <c r="D742" i="24"/>
  <c r="D1325" i="24"/>
  <c r="D463" i="24"/>
  <c r="D61" i="24"/>
  <c r="D1071" i="24"/>
  <c r="D1330" i="24"/>
  <c r="D1105" i="24"/>
  <c r="D27" i="24"/>
  <c r="D492" i="24"/>
  <c r="D1363" i="24"/>
  <c r="D1450" i="24"/>
  <c r="D415" i="24"/>
  <c r="D1578" i="24"/>
  <c r="D1309" i="24"/>
  <c r="D1827" i="24"/>
  <c r="D1029" i="24"/>
  <c r="D571" i="24"/>
  <c r="D1365" i="24"/>
  <c r="D1757" i="24"/>
  <c r="D1293" i="24"/>
  <c r="D303" i="24"/>
  <c r="D507" i="24"/>
  <c r="D381" i="24"/>
  <c r="D1793" i="24"/>
  <c r="D1803" i="24"/>
  <c r="D129" i="24"/>
  <c r="D937" i="24"/>
  <c r="D282" i="24"/>
  <c r="D81" i="24"/>
  <c r="D100" i="24"/>
  <c r="D7" i="24"/>
  <c r="D1815" i="24"/>
  <c r="D1877" i="24"/>
  <c r="D1159" i="24"/>
  <c r="D1875" i="24"/>
  <c r="D1677" i="24"/>
  <c r="D1673" i="24"/>
  <c r="D485" i="24"/>
  <c r="D930" i="24"/>
  <c r="D1203" i="24"/>
  <c r="D751" i="24"/>
  <c r="D918" i="24"/>
  <c r="D308" i="24"/>
  <c r="D289" i="24"/>
  <c r="D523" i="24"/>
  <c r="D1090" i="24"/>
  <c r="D1294" i="24"/>
  <c r="D1135" i="24"/>
  <c r="D1007" i="24"/>
  <c r="D1730" i="24"/>
  <c r="D1802" i="24"/>
  <c r="D1712" i="24"/>
  <c r="D973" i="24"/>
  <c r="D1177" i="24"/>
  <c r="D1092" i="24"/>
  <c r="D1170" i="24"/>
  <c r="D860" i="24"/>
  <c r="D1160" i="24"/>
  <c r="D692" i="24"/>
  <c r="D1223" i="24"/>
  <c r="D360" i="24"/>
  <c r="D1127" i="24"/>
  <c r="D1593" i="24"/>
  <c r="D1517" i="24"/>
  <c r="D731" i="24"/>
  <c r="D1555" i="24"/>
  <c r="D1670" i="24"/>
  <c r="D1384" i="24"/>
  <c r="D1341" i="24"/>
  <c r="D817" i="24"/>
  <c r="D1172" i="24"/>
  <c r="D946" i="24"/>
  <c r="D1427" i="24"/>
  <c r="D1382" i="24"/>
  <c r="D882" i="24"/>
  <c r="D1124" i="24"/>
  <c r="D1331" i="24"/>
  <c r="D833" i="24"/>
  <c r="D459" i="24"/>
  <c r="D539" i="24"/>
  <c r="D1307" i="24"/>
  <c r="D1615" i="24"/>
  <c r="D957" i="24"/>
  <c r="D897" i="24"/>
  <c r="D1151" i="24"/>
  <c r="D771" i="24"/>
  <c r="D1179" i="24"/>
  <c r="D1655" i="24"/>
  <c r="D1186" i="24"/>
  <c r="D933" i="24"/>
  <c r="D1643" i="24"/>
  <c r="D645" i="24"/>
  <c r="D1267" i="24"/>
  <c r="D899" i="24"/>
  <c r="D567" i="24"/>
  <c r="D1027" i="24"/>
  <c r="D512" i="24"/>
  <c r="D752" i="24"/>
  <c r="D815" i="24"/>
  <c r="D1383" i="24"/>
  <c r="D995" i="24"/>
  <c r="D1503" i="24"/>
  <c r="D905" i="24"/>
  <c r="D509" i="24"/>
  <c r="D1678" i="24"/>
  <c r="D240" i="24"/>
  <c r="D1202" i="24"/>
  <c r="D795" i="24"/>
  <c r="D1142" i="24"/>
  <c r="D236" i="24"/>
  <c r="D1624" i="24"/>
  <c r="D821" i="24"/>
  <c r="D1396" i="24"/>
  <c r="D561" i="24"/>
  <c r="D318" i="24"/>
  <c r="D1716" i="24"/>
  <c r="D1755" i="24"/>
  <c r="D621" i="24"/>
  <c r="D927" i="24"/>
  <c r="D1188" i="24"/>
  <c r="D781" i="24"/>
  <c r="D799" i="24"/>
  <c r="D1003" i="24"/>
  <c r="D1819" i="24"/>
  <c r="D1292" i="24"/>
  <c r="D540" i="24"/>
  <c r="D1560" i="24"/>
  <c r="D864" i="24"/>
  <c r="D172" i="24"/>
  <c r="D801" i="24"/>
  <c r="D1658" i="24"/>
  <c r="D1046" i="24"/>
  <c r="D1074" i="24"/>
  <c r="D904" i="24"/>
  <c r="D480" i="24"/>
  <c r="D1861" i="24"/>
  <c r="D1627" i="24"/>
  <c r="D718" i="24"/>
  <c r="D1040" i="24"/>
  <c r="D890" i="24"/>
  <c r="D311" i="24"/>
  <c r="D1260" i="24"/>
  <c r="D1002" i="24"/>
  <c r="D1237" i="24"/>
  <c r="D331" i="24"/>
  <c r="D1574" i="24"/>
  <c r="D241" i="24"/>
  <c r="D435" i="24"/>
  <c r="D1806" i="24"/>
  <c r="D1282" i="24"/>
  <c r="D1789" i="24"/>
  <c r="D848" i="24"/>
  <c r="D190" i="24"/>
  <c r="D143" i="24"/>
  <c r="D160" i="24"/>
  <c r="D774" i="24"/>
  <c r="D1779" i="24"/>
  <c r="D1271" i="24"/>
  <c r="D34" i="24"/>
  <c r="D1136" i="24"/>
  <c r="D1570" i="24"/>
  <c r="D1585" i="24"/>
  <c r="D862" i="24"/>
  <c r="D178" i="24"/>
  <c r="D1621" i="24"/>
  <c r="D1310" i="24"/>
  <c r="D610" i="24"/>
  <c r="D1664" i="24"/>
  <c r="D205" i="24"/>
  <c r="D131" i="24"/>
  <c r="D1620" i="24"/>
  <c r="D123" i="24"/>
  <c r="D154" i="24"/>
  <c r="D1277" i="24"/>
  <c r="D242" i="24"/>
  <c r="D379" i="24"/>
  <c r="D598" i="24"/>
  <c r="D530" i="24"/>
  <c r="D990" i="24"/>
  <c r="D372" i="24"/>
  <c r="D106" i="24"/>
  <c r="D1777" i="24"/>
  <c r="D1125" i="24"/>
  <c r="D1753" i="24"/>
  <c r="D1863" i="24"/>
  <c r="D110" i="24"/>
  <c r="D89" i="24"/>
  <c r="D286" i="24"/>
  <c r="D726" i="24"/>
  <c r="D1859" i="24"/>
  <c r="D66" i="24"/>
  <c r="D518" i="24"/>
  <c r="D224" i="24"/>
  <c r="D1625" i="24"/>
  <c r="D1738" i="24"/>
  <c r="D1808" i="24"/>
  <c r="D546" i="24"/>
  <c r="D642" i="24"/>
  <c r="D1524" i="24"/>
  <c r="D217" i="24"/>
  <c r="D1478" i="24"/>
  <c r="D678" i="24"/>
  <c r="D1743" i="24"/>
  <c r="D1085" i="24"/>
  <c r="D1652" i="24"/>
  <c r="D1866" i="24"/>
  <c r="D18" i="24"/>
  <c r="D611" i="24"/>
  <c r="D491" i="24"/>
  <c r="D488" i="24"/>
  <c r="D1858" i="24"/>
  <c r="D275" i="24"/>
  <c r="D669" i="24"/>
  <c r="D1464" i="24"/>
  <c r="D126" i="24"/>
  <c r="D138" i="24"/>
  <c r="D429" i="24"/>
  <c r="D156" i="24"/>
  <c r="D1173" i="24"/>
  <c r="D1248" i="24"/>
  <c r="D1567" i="24"/>
  <c r="D1052" i="24"/>
  <c r="D142" i="24"/>
  <c r="D1763" i="24"/>
  <c r="D1807" i="24"/>
  <c r="D1375" i="24"/>
  <c r="D1756" i="24"/>
  <c r="D1230" i="24"/>
  <c r="D683" i="24"/>
  <c r="D1032" i="24"/>
  <c r="D1162" i="24"/>
  <c r="D1501" i="24"/>
  <c r="D201" i="24"/>
  <c r="D1596" i="24"/>
  <c r="D1761" i="24"/>
  <c r="D125" i="24"/>
  <c r="D664" i="24"/>
  <c r="D384" i="24"/>
  <c r="D667" i="24"/>
  <c r="D1698" i="24"/>
  <c r="D856" i="24"/>
  <c r="D444" i="24"/>
  <c r="D1846" i="24"/>
  <c r="D1786" i="24"/>
  <c r="D396" i="24"/>
  <c r="D1261" i="24"/>
  <c r="D1463" i="24"/>
  <c r="D1865" i="24"/>
  <c r="D65" i="24"/>
  <c r="D1210" i="24"/>
  <c r="D531" i="24"/>
  <c r="D1340" i="24"/>
  <c r="D476" i="24"/>
  <c r="D720" i="24"/>
  <c r="D1296" i="24"/>
  <c r="D163" i="24"/>
  <c r="D1654" i="24"/>
  <c r="D583" i="24"/>
  <c r="D979" i="24"/>
  <c r="D1548" i="24"/>
  <c r="D1563" i="24"/>
  <c r="D1495" i="24"/>
  <c r="D1232" i="24"/>
  <c r="D729" i="24"/>
  <c r="D1796" i="24"/>
  <c r="D1017" i="24"/>
  <c r="D304" i="24"/>
  <c r="D382" i="24"/>
  <c r="D1461" i="24"/>
  <c r="D1746" i="24"/>
  <c r="D1538" i="24"/>
  <c r="D1482" i="24"/>
  <c r="D1315" i="24"/>
  <c r="D1368" i="24"/>
  <c r="D108" i="24"/>
  <c r="D1691" i="24"/>
  <c r="D1862" i="24"/>
  <c r="D1114" i="24"/>
  <c r="D1019" i="24"/>
  <c r="D846" i="24"/>
  <c r="D367" i="24"/>
  <c r="D128" i="24"/>
  <c r="D734" i="24"/>
  <c r="D911" i="24"/>
  <c r="D536" i="24"/>
  <c r="D354" i="24"/>
  <c r="D74" i="24"/>
  <c r="D519" i="24"/>
  <c r="D1767" i="24"/>
  <c r="D1457" i="24"/>
  <c r="D1082" i="24"/>
  <c r="D1725" i="24"/>
  <c r="D728" i="24"/>
  <c r="D1096" i="24"/>
  <c r="D170" i="24"/>
  <c r="D157" i="24"/>
  <c r="D1187" i="24"/>
  <c r="D1011" i="24"/>
  <c r="D925" i="24"/>
  <c r="D375" i="24"/>
  <c r="D72" i="24"/>
  <c r="D972" i="24"/>
  <c r="D1286" i="24"/>
  <c r="D424" i="24"/>
  <c r="D599" i="24"/>
  <c r="D1168" i="24"/>
  <c r="D386" i="24"/>
  <c r="D1724" i="24"/>
  <c r="D437" i="24"/>
  <c r="D704" i="24"/>
  <c r="D96" i="24"/>
  <c r="D137" i="24"/>
  <c r="D380" i="24"/>
  <c r="D1748" i="24"/>
  <c r="D1814" i="24"/>
  <c r="D716" i="24"/>
  <c r="D401" i="24"/>
  <c r="D1345" i="24"/>
  <c r="D1110" i="24"/>
  <c r="D1762" i="24"/>
  <c r="D1220" i="24"/>
  <c r="D347" i="24"/>
  <c r="D1601" i="24"/>
  <c r="D1602" i="24"/>
  <c r="D1298" i="24"/>
  <c r="D440" i="24"/>
  <c r="D628" i="24"/>
  <c r="D620" i="24"/>
  <c r="D884" i="24"/>
  <c r="D1782" i="24"/>
  <c r="D1515" i="24"/>
  <c r="D1442" i="24"/>
  <c r="D680" i="24"/>
  <c r="D881" i="24"/>
  <c r="D1469" i="24"/>
  <c r="D789" i="24"/>
  <c r="D82" i="24"/>
  <c r="D686" i="24"/>
  <c r="D1778" i="24"/>
  <c r="D1426" i="24"/>
  <c r="D1529" i="24"/>
  <c r="D506" i="24"/>
  <c r="D9" i="24"/>
  <c r="D723" i="24"/>
  <c r="D64" i="24"/>
  <c r="D52" i="24"/>
  <c r="D987" i="24"/>
  <c r="D952" i="24"/>
  <c r="D251" i="24"/>
  <c r="D1587" i="24"/>
  <c r="D1514" i="24"/>
  <c r="D807" i="24"/>
  <c r="D1080" i="24"/>
  <c r="D383" i="24"/>
  <c r="D1445" i="24"/>
  <c r="D843" i="24"/>
  <c r="D671" i="24"/>
  <c r="D181" i="24"/>
  <c r="D891" i="24"/>
  <c r="D1152" i="24"/>
  <c r="D637" i="24"/>
  <c r="D1213" i="24"/>
  <c r="D1171" i="24"/>
  <c r="D133" i="24"/>
  <c r="D1579" i="24"/>
  <c r="D340" i="24"/>
  <c r="D747" i="24"/>
  <c r="D1311" i="24"/>
  <c r="D887" i="24"/>
  <c r="D114" i="24"/>
  <c r="D294" i="24"/>
  <c r="D1791" i="24"/>
  <c r="D1732" i="24"/>
  <c r="D338" i="24"/>
  <c r="D1770" i="24"/>
  <c r="D1571" i="24"/>
  <c r="D262" i="24"/>
  <c r="D1844" i="24"/>
  <c r="D58" i="24"/>
  <c r="D31" i="24"/>
  <c r="D104" i="24"/>
  <c r="D1274" i="24"/>
  <c r="D1851" i="24"/>
  <c r="D1490" i="24"/>
  <c r="D398" i="24"/>
  <c r="D1153" i="24"/>
  <c r="D388" i="24"/>
  <c r="D1666" i="24"/>
  <c r="D698" i="24"/>
  <c r="D1715" i="24"/>
  <c r="D1773" i="24"/>
  <c r="D1101" i="24"/>
  <c r="D425" i="24"/>
  <c r="D59" i="24"/>
  <c r="D38" i="24"/>
  <c r="D1590" i="24"/>
  <c r="D1588" i="24"/>
  <c r="D544" i="24"/>
  <c r="D1244" i="24"/>
  <c r="D1102" i="24"/>
  <c r="D1251" i="24"/>
  <c r="D1690" i="24"/>
  <c r="D541" i="24"/>
  <c r="D1648" i="24"/>
  <c r="D1787" i="24"/>
  <c r="D221" i="24"/>
  <c r="D47" i="24"/>
  <c r="D22" i="24"/>
  <c r="D1850" i="24"/>
  <c r="D1852" i="24"/>
  <c r="D1848" i="24"/>
  <c r="D555" i="24"/>
  <c r="D32" i="24"/>
  <c r="D1784" i="24"/>
  <c r="D1589" i="24"/>
  <c r="D1829" i="24"/>
  <c r="D1853" i="24"/>
  <c r="D1849" i="24"/>
  <c r="D605" i="24"/>
  <c r="D21" i="24"/>
  <c r="D1847" i="24"/>
  <c r="D24" i="24"/>
  <c r="D25" i="24"/>
  <c r="D1473" i="24"/>
  <c r="D26" i="24"/>
  <c r="D1841" i="24"/>
  <c r="D23" i="24"/>
  <c r="D272" i="24"/>
  <c r="D37" i="24"/>
  <c r="D810" i="24"/>
  <c r="D1676" i="24"/>
  <c r="D300" i="24"/>
  <c r="D1033" i="24"/>
  <c r="D45" i="24"/>
  <c r="D1031" i="24"/>
  <c r="D281" i="24"/>
  <c r="D1444" i="24"/>
  <c r="D155" i="24"/>
  <c r="D94" i="24"/>
  <c r="D1564" i="24"/>
  <c r="D1710" i="24"/>
  <c r="D1429" i="24"/>
  <c r="D111" i="24"/>
  <c r="D16" i="24"/>
  <c r="D1708" i="24"/>
  <c r="D1794" i="24"/>
  <c r="D62" i="24"/>
  <c r="D1878" i="24"/>
  <c r="D770" i="24"/>
  <c r="D1651" i="24"/>
  <c r="D1831" i="24"/>
  <c r="D1436" i="24"/>
  <c r="D1797" i="24"/>
  <c r="D57" i="24"/>
  <c r="D1812" i="24"/>
  <c r="D1805" i="24"/>
  <c r="D1685" i="24"/>
  <c r="D418" i="24"/>
  <c r="D1016" i="24"/>
  <c r="D1467" i="24"/>
  <c r="D1211" i="24"/>
  <c r="D998" i="24"/>
  <c r="D368" i="24"/>
  <c r="D124" i="24"/>
  <c r="D1684" i="24"/>
  <c r="D1273" i="24"/>
  <c r="D1010" i="24"/>
  <c r="D1339" i="24"/>
  <c r="D1649" i="24"/>
  <c r="D825" i="24"/>
  <c r="D1737" i="24"/>
  <c r="D1299" i="24"/>
  <c r="D1519" i="24"/>
  <c r="D105" i="24"/>
  <c r="D1422" i="24"/>
  <c r="D806" i="24"/>
  <c r="D638" i="24"/>
  <c r="D158" i="24"/>
  <c r="D191" i="24"/>
  <c r="D1060" i="24"/>
  <c r="D1295" i="24"/>
  <c r="D532" i="24"/>
  <c r="D1030" i="24"/>
  <c r="D526" i="24"/>
  <c r="D1448" i="24"/>
  <c r="D1562" i="24"/>
  <c r="D1869" i="24"/>
  <c r="D590" i="24"/>
  <c r="D1064" i="24"/>
  <c r="D1760" i="24"/>
  <c r="D579" i="24"/>
  <c r="D153" i="24"/>
  <c r="D400" i="24"/>
  <c r="D362" i="24"/>
  <c r="D497" i="24"/>
  <c r="D1180" i="24"/>
  <c r="D1231" i="24"/>
  <c r="D389" i="24"/>
  <c r="D872" i="24"/>
  <c r="D1768" i="24"/>
  <c r="D119" i="24"/>
  <c r="D945" i="24"/>
  <c r="D1405" i="24"/>
  <c r="D715" i="24"/>
  <c r="D516" i="24"/>
  <c r="D1283" i="24"/>
  <c r="D186" i="24"/>
  <c r="D140" i="24"/>
  <c r="D211" i="24"/>
  <c r="D764" i="24"/>
  <c r="D851" i="24"/>
  <c r="D466" i="24"/>
  <c r="D1178" i="24"/>
  <c r="D986" i="24"/>
  <c r="D1412" i="24"/>
  <c r="D659" i="24"/>
  <c r="D328" i="24"/>
  <c r="D1390" i="24"/>
  <c r="D1598" i="24"/>
  <c r="D1484" i="24"/>
  <c r="D1603" i="24"/>
  <c r="D697" i="24"/>
  <c r="D695" i="24"/>
  <c r="D591" i="24"/>
  <c r="D627" i="24"/>
  <c r="D908" i="24"/>
  <c r="D1749" i="24"/>
  <c r="D1597" i="24"/>
  <c r="D1246" i="24"/>
  <c r="D529" i="24"/>
  <c r="D1460" i="24"/>
  <c r="D964" i="24"/>
  <c r="D320" i="24"/>
  <c r="D148" i="24"/>
  <c r="D1200" i="24"/>
  <c r="D625" i="24"/>
  <c r="D1629" i="24"/>
  <c r="D249" i="24"/>
  <c r="D1338" i="24"/>
  <c r="D373" i="24"/>
  <c r="D1453" i="24"/>
  <c r="D232" i="24"/>
  <c r="D1880" i="24"/>
  <c r="D1879" i="24"/>
  <c r="D270" i="24"/>
  <c r="D1729" i="24"/>
  <c r="D1163" i="24"/>
  <c r="D1592" i="24"/>
  <c r="D977" i="24"/>
  <c r="D831" i="24"/>
  <c r="D1009" i="24"/>
  <c r="D1711" i="24"/>
  <c r="D1212" i="24"/>
  <c r="D820" i="24"/>
  <c r="D1439" i="24"/>
  <c r="D48" i="24"/>
  <c r="D1559" i="24"/>
  <c r="D719" i="24"/>
  <c r="D1470" i="24"/>
  <c r="D1042" i="24"/>
  <c r="D1821" i="24"/>
  <c r="D428" i="24"/>
  <c r="D1081" i="24"/>
  <c r="D1181" i="24"/>
  <c r="D222" i="24"/>
  <c r="D1326" i="24"/>
  <c r="D1008" i="24"/>
  <c r="D1653" i="24"/>
  <c r="D1290" i="24"/>
  <c r="D1530" i="24"/>
  <c r="D767" i="24"/>
  <c r="D54" i="24"/>
  <c r="D947" i="24"/>
  <c r="D290" i="24"/>
  <c r="D1656" i="24"/>
  <c r="D970" i="24"/>
  <c r="D1566" i="24"/>
  <c r="D1285" i="24"/>
  <c r="D1600" i="24"/>
  <c r="D1122" i="24"/>
  <c r="D787" i="24"/>
  <c r="D1557" i="24"/>
  <c r="D422" i="24"/>
  <c r="D1435" i="24"/>
  <c r="D136" i="24"/>
  <c r="D271" i="24"/>
  <c r="D941" i="24"/>
  <c r="D1722" i="24"/>
  <c r="D1842" i="24"/>
  <c r="D453" i="24"/>
  <c r="D1583" i="24"/>
  <c r="D257" i="24"/>
  <c r="D356" i="24"/>
  <c r="D1727" i="24"/>
  <c r="D15" i="24"/>
  <c r="D238" i="24"/>
  <c r="D1378" i="24"/>
  <c r="D1516" i="24"/>
  <c r="D1650" i="24"/>
  <c r="D1215" i="24"/>
  <c r="D1053" i="24"/>
  <c r="D1826" i="24"/>
  <c r="D991" i="24"/>
  <c r="D1280" i="24"/>
  <c r="D392" i="24"/>
  <c r="D951" i="24"/>
  <c r="D676" i="24"/>
  <c r="D1781" i="24"/>
  <c r="D149" i="24"/>
  <c r="D1639" i="24"/>
  <c r="D706" i="24"/>
  <c r="D1417" i="24"/>
  <c r="D814" i="24"/>
  <c r="D1063" i="24"/>
  <c r="D291" i="24"/>
  <c r="D402" i="24"/>
  <c r="D635" i="24"/>
  <c r="D1476" i="24"/>
  <c r="D1531" i="24"/>
  <c r="D803" i="24"/>
  <c r="D788" i="24"/>
  <c r="D1572" i="24"/>
  <c r="D53" i="24"/>
  <c r="D1745" i="24"/>
  <c r="D1104" i="24"/>
  <c r="D1667" i="24"/>
  <c r="D69" i="24"/>
  <c r="D1871" i="24"/>
  <c r="D297" i="24"/>
  <c r="D1483" i="24"/>
  <c r="D443" i="24"/>
  <c r="D854" i="24"/>
  <c r="D981" i="24"/>
  <c r="D889" i="24"/>
  <c r="D1195" i="24"/>
  <c r="D553" i="24"/>
  <c r="D1166" i="24"/>
  <c r="D442" i="24"/>
  <c r="D811" i="24"/>
  <c r="D164" i="24"/>
  <c r="D701" i="24"/>
  <c r="D213" i="24"/>
  <c r="D808" i="24"/>
  <c r="D1790" i="24"/>
  <c r="D99" i="24"/>
  <c r="D151" i="24"/>
  <c r="D56" i="24"/>
  <c r="D97" i="24"/>
  <c r="D527" i="24"/>
  <c r="D665" i="24"/>
  <c r="D83" i="24"/>
  <c r="D1702" i="24"/>
  <c r="D1097" i="24"/>
  <c r="D1680" i="24"/>
  <c r="D1143" i="24"/>
  <c r="D161" i="24"/>
  <c r="D465" i="24"/>
  <c r="D926" i="24"/>
  <c r="D1536" i="24"/>
  <c r="D876" i="24"/>
  <c r="D677" i="24"/>
  <c r="D983" i="24"/>
  <c r="D1182" i="24"/>
  <c r="D193" i="24"/>
  <c r="D1522" i="24"/>
  <c r="D1026" i="24"/>
  <c r="D962" i="24"/>
  <c r="D944" i="24"/>
  <c r="D1314" i="24"/>
  <c r="D176" i="24"/>
  <c r="D614" i="24"/>
  <c r="D1630" i="24"/>
  <c r="D1672" i="24"/>
  <c r="D670" i="24"/>
  <c r="D500" i="24"/>
  <c r="D868" i="24"/>
  <c r="D1421" i="24"/>
  <c r="D963" i="24"/>
  <c r="D1141" i="24"/>
  <c r="D350" i="24"/>
  <c r="D253" i="24"/>
  <c r="D1221" i="24"/>
  <c r="D1618" i="24"/>
  <c r="D537" i="24"/>
  <c r="D1733" i="24"/>
  <c r="D198" i="24"/>
  <c r="D885" i="24"/>
  <c r="D1713" i="24"/>
  <c r="D475" i="24"/>
  <c r="D609" i="24"/>
  <c r="D255" i="24"/>
  <c r="D366" i="24"/>
  <c r="D419" i="24"/>
  <c r="D1734" i="24"/>
  <c r="D844" i="24"/>
  <c r="D1668" i="24"/>
  <c r="D1845" i="24"/>
  <c r="D958" i="24"/>
  <c r="D564" i="24"/>
  <c r="D1351" i="24"/>
  <c r="D1208" i="24"/>
  <c r="D237" i="24"/>
  <c r="D711" i="24"/>
  <c r="D1744" i="24"/>
  <c r="D1197" i="24"/>
  <c r="D169" i="24"/>
  <c r="D1433" i="24"/>
  <c r="D244" i="24"/>
  <c r="D1062" i="24"/>
  <c r="D644" i="24"/>
  <c r="D5" i="24"/>
  <c r="D441" i="24"/>
  <c r="D662" i="24"/>
  <c r="D1535" i="24"/>
  <c r="D976" i="24"/>
  <c r="D707" i="24"/>
  <c r="D994" i="24"/>
  <c r="D1401" i="24"/>
  <c r="D231" i="24"/>
  <c r="D454" i="24"/>
  <c r="D102" i="24"/>
  <c r="D1860" i="24"/>
  <c r="D1398" i="24"/>
  <c r="D1253" i="24"/>
  <c r="D10" i="24"/>
  <c r="D997" i="24"/>
  <c r="D785" i="24"/>
  <c r="D427" i="24"/>
  <c r="D1764" i="24"/>
  <c r="D1498" i="24"/>
  <c r="D1301" i="24"/>
  <c r="D1534" i="24"/>
  <c r="D1347" i="24"/>
  <c r="D1697" i="24"/>
  <c r="D822" i="24"/>
  <c r="D1434" i="24"/>
  <c r="D724" i="24"/>
  <c r="D1441" i="24"/>
  <c r="D1235" i="24"/>
  <c r="D445" i="24"/>
  <c r="D1801" i="24"/>
  <c r="D727" i="24"/>
  <c r="D1731" i="24"/>
  <c r="D1329" i="24"/>
  <c r="D377" i="24"/>
  <c r="D572" i="24"/>
  <c r="D1269" i="24"/>
  <c r="D929" i="24"/>
  <c r="D1606" i="24"/>
  <c r="D906" i="24"/>
  <c r="D1238" i="24"/>
  <c r="D1183" i="24"/>
  <c r="D370" i="24"/>
  <c r="D748" i="24"/>
  <c r="D233" i="24"/>
  <c r="D515" i="24"/>
  <c r="D245" i="24"/>
  <c r="D1873" i="24"/>
  <c r="D1661" i="24"/>
  <c r="D1855" i="24"/>
  <c r="D336" i="24"/>
  <c r="D1857" i="24"/>
  <c r="D1772" i="24"/>
  <c r="D1576" i="24"/>
  <c r="D1751" i="24"/>
  <c r="D28" i="24"/>
  <c r="D71" i="24"/>
  <c r="D14" i="24"/>
  <c r="D199" i="24"/>
  <c r="D1222" i="24"/>
  <c r="D13" i="24"/>
  <c r="D1870" i="24"/>
  <c r="D67" i="24"/>
  <c r="D1005" i="24"/>
  <c r="D1856" i="24"/>
  <c r="D219" i="24"/>
  <c r="D410" i="24"/>
  <c r="D1785" i="24"/>
  <c r="D68" i="24"/>
  <c r="D76" i="24"/>
  <c r="D608" i="24"/>
  <c r="D407" i="24"/>
  <c r="D693" i="24"/>
  <c r="D283" i="24"/>
  <c r="D75" i="24"/>
  <c r="D498" i="24"/>
  <c r="D363" i="24"/>
  <c r="D1276" i="24"/>
  <c r="D595" i="24"/>
  <c r="D1334" i="24"/>
  <c r="D1416" i="24"/>
  <c r="D359" i="24"/>
  <c r="D185" i="24"/>
  <c r="D955" i="24"/>
  <c r="D802" i="24"/>
  <c r="D623" i="24"/>
  <c r="D227" i="24"/>
  <c r="D939" i="24"/>
  <c r="D1319" i="24"/>
  <c r="D588" i="24"/>
  <c r="D1284" i="24"/>
  <c r="D1084" i="24"/>
  <c r="D1614" i="24"/>
  <c r="D1107" i="24"/>
  <c r="D210" i="24"/>
  <c r="D278" i="24"/>
  <c r="D840" i="24"/>
  <c r="D1780" i="24"/>
  <c r="D655" i="24"/>
  <c r="D1128" i="24"/>
  <c r="D313" i="24"/>
  <c r="D312" i="24"/>
  <c r="D487" i="24"/>
  <c r="D1034" i="24"/>
  <c r="D600" i="24"/>
  <c r="D483" i="24"/>
  <c r="D755" i="24"/>
  <c r="D542" i="24"/>
  <c r="D1367" i="24"/>
  <c r="D1799" i="24"/>
  <c r="D1610" i="24"/>
  <c r="D1275" i="24"/>
  <c r="D710" i="24"/>
  <c r="D632" i="24"/>
  <c r="D1718" i="24"/>
  <c r="D1281" i="24"/>
  <c r="D913" i="24"/>
  <c r="D230" i="24"/>
  <c r="D606" i="24"/>
  <c r="D1359" i="24"/>
  <c r="D254" i="24"/>
  <c r="D568" i="24"/>
  <c r="D652" i="24"/>
  <c r="D852" i="24"/>
  <c r="D1671" i="24"/>
  <c r="D784" i="24"/>
  <c r="D1508" i="24"/>
  <c r="D1217" i="24"/>
  <c r="D1425" i="24"/>
  <c r="D791" i="24"/>
  <c r="D1728" i="24"/>
  <c r="D1788" i="24"/>
  <c r="D393" i="24"/>
  <c r="D421" i="24"/>
  <c r="D524" i="24"/>
  <c r="D484" i="24"/>
  <c r="D1078" i="24"/>
  <c r="D1169" i="24"/>
  <c r="D879" i="24"/>
  <c r="D144" i="24"/>
  <c r="D552" i="24"/>
  <c r="D200" i="24"/>
  <c r="D259" i="24"/>
  <c r="D560" i="24"/>
  <c r="D1344" i="24"/>
  <c r="D965" i="24"/>
  <c r="D1704" i="24"/>
  <c r="D1694" i="24"/>
  <c r="D1835" i="24"/>
  <c r="D188" i="24"/>
  <c r="D101" i="24"/>
  <c r="D135" i="24"/>
  <c r="D1144" i="24"/>
  <c r="D1512" i="24"/>
  <c r="D1399" i="24"/>
  <c r="D1660" i="24"/>
  <c r="D1867" i="24"/>
  <c r="D1798" i="24"/>
  <c r="D295" i="24"/>
  <c r="D1717" i="24"/>
  <c r="D20" i="24"/>
  <c r="D17" i="24"/>
  <c r="D934" i="24"/>
  <c r="D1272" i="24"/>
  <c r="D1825" i="24"/>
  <c r="D220" i="24"/>
  <c r="D834" i="24"/>
  <c r="D1259" i="24"/>
  <c r="D346" i="24"/>
  <c r="D1013" i="24"/>
  <c r="D315" i="24"/>
  <c r="D739" i="24"/>
  <c r="D804" i="24"/>
  <c r="D1126" i="24"/>
  <c r="D1207" i="24"/>
  <c r="D1250" i="24"/>
  <c r="D721" i="24"/>
  <c r="D1103" i="24"/>
  <c r="D481" i="24"/>
  <c r="D1389" i="24"/>
  <c r="D490" i="24"/>
  <c r="D786" i="24"/>
  <c r="D471" i="24"/>
  <c r="D1595" i="24"/>
  <c r="D1337" i="24"/>
  <c r="D847" i="24"/>
  <c r="D858" i="24"/>
  <c r="D423" i="24"/>
  <c r="D1776" i="24"/>
  <c r="D1523" i="24"/>
  <c r="D1487" i="24"/>
  <c r="D1754" i="24"/>
  <c r="D732" i="24"/>
  <c r="D1206" i="24"/>
  <c r="D1706" i="24"/>
  <c r="D180" i="24"/>
  <c r="D1410" i="24"/>
  <c r="D1839" i="24"/>
  <c r="D93" i="24"/>
  <c r="D327" i="24"/>
  <c r="D654" i="24"/>
  <c r="D1098" i="24"/>
  <c r="D260" i="24"/>
  <c r="D1167" i="24"/>
  <c r="D1428" i="24"/>
  <c r="D1226" i="24"/>
  <c r="D1591" i="24"/>
  <c r="D1291" i="24"/>
  <c r="D1413" i="24"/>
  <c r="D700" i="24"/>
  <c r="D196" i="24"/>
  <c r="D1395" i="24"/>
  <c r="D936" i="24"/>
  <c r="D145" i="24"/>
  <c r="D672" i="24"/>
  <c r="D1843" i="24"/>
  <c r="D589" i="24"/>
  <c r="D1840" i="24"/>
  <c r="D1059" i="24"/>
  <c r="D1830" i="24"/>
  <c r="D1552" i="24"/>
  <c r="D725" i="24"/>
  <c r="D494" i="24"/>
  <c r="D322" i="24"/>
  <c r="D1459" i="24"/>
  <c r="D1320" i="24"/>
  <c r="D1418" i="24"/>
  <c r="D1804" i="24"/>
  <c r="D1553" i="24"/>
  <c r="D434" i="24"/>
  <c r="D296" i="24"/>
  <c r="D80" i="24"/>
  <c r="D688" i="24"/>
  <c r="D708" i="24"/>
  <c r="D1056" i="24"/>
  <c r="D1637" i="24"/>
  <c r="D1542" i="24"/>
  <c r="D167" i="24"/>
  <c r="D616" i="24"/>
  <c r="D1736" i="24"/>
  <c r="D1317" i="24"/>
  <c r="D121" i="24"/>
  <c r="D277" i="24"/>
  <c r="D73" i="24"/>
  <c r="D679" i="24"/>
  <c r="D502" i="24"/>
  <c r="D776" i="24"/>
  <c r="D1466" i="24"/>
  <c r="D1254" i="24"/>
  <c r="D344" i="24"/>
  <c r="D1775" i="24"/>
  <c r="D1561" i="24"/>
  <c r="D1663" i="24"/>
  <c r="D489" i="24"/>
  <c r="L6" i="21"/>
  <c r="J6" i="21"/>
  <c r="E6" i="21"/>
  <c r="N35" i="21" s="1"/>
  <c r="D6" i="21"/>
  <c r="B6" i="21"/>
  <c r="L8" i="21"/>
  <c r="L9" i="21"/>
  <c r="L10" i="21"/>
  <c r="L11" i="21"/>
  <c r="L12" i="21"/>
  <c r="L13" i="21"/>
  <c r="L14" i="21"/>
  <c r="L15" i="21"/>
  <c r="L16" i="21"/>
  <c r="L17" i="21"/>
  <c r="L18" i="21"/>
  <c r="L19" i="21"/>
  <c r="L20" i="21"/>
  <c r="L7" i="21"/>
  <c r="J8" i="21"/>
  <c r="J9" i="21"/>
  <c r="J10" i="21"/>
  <c r="J11" i="21"/>
  <c r="J12" i="21"/>
  <c r="J13" i="21"/>
  <c r="J14" i="21"/>
  <c r="J15" i="21"/>
  <c r="J16" i="21"/>
  <c r="J17" i="21"/>
  <c r="J18" i="21"/>
  <c r="J19" i="21"/>
  <c r="J20" i="21"/>
  <c r="J7" i="21"/>
  <c r="I4" i="22"/>
  <c r="G6" i="21" s="1"/>
  <c r="N33" i="21" s="1"/>
  <c r="I5" i="22"/>
  <c r="G8" i="21" s="1"/>
  <c r="I6" i="22"/>
  <c r="G9" i="21" s="1"/>
  <c r="I7" i="22"/>
  <c r="G10" i="21" s="1"/>
  <c r="I8" i="22"/>
  <c r="G11" i="21" s="1"/>
  <c r="I9" i="22"/>
  <c r="G12" i="21" s="1"/>
  <c r="I10" i="22"/>
  <c r="G13" i="21" s="1"/>
  <c r="I11" i="22"/>
  <c r="G14" i="21" s="1"/>
  <c r="I12" i="22"/>
  <c r="G15" i="21" s="1"/>
  <c r="I13" i="22"/>
  <c r="G16" i="21" s="1"/>
  <c r="I14" i="22"/>
  <c r="G17" i="21" s="1"/>
  <c r="I15" i="22"/>
  <c r="G18" i="21" s="1"/>
  <c r="I16" i="22"/>
  <c r="G19" i="21" s="1"/>
  <c r="I17" i="22"/>
  <c r="G20" i="21" s="1"/>
  <c r="I3" i="22"/>
  <c r="G7" i="21" s="1"/>
  <c r="D8" i="21"/>
  <c r="E8" i="21"/>
  <c r="D9" i="21"/>
  <c r="E9" i="21"/>
  <c r="D10" i="21"/>
  <c r="E10" i="21"/>
  <c r="D11" i="21"/>
  <c r="E11" i="21"/>
  <c r="D12" i="21"/>
  <c r="E12" i="21"/>
  <c r="D13" i="21"/>
  <c r="E13" i="21"/>
  <c r="D14" i="21"/>
  <c r="E14" i="21"/>
  <c r="D15" i="21"/>
  <c r="E15" i="21"/>
  <c r="D16" i="21"/>
  <c r="E16" i="21"/>
  <c r="D17" i="21"/>
  <c r="E17" i="21"/>
  <c r="D18" i="21"/>
  <c r="E18" i="21"/>
  <c r="D19" i="21"/>
  <c r="E19" i="21"/>
  <c r="D20" i="21"/>
  <c r="E20" i="21"/>
  <c r="E7" i="21"/>
  <c r="D7" i="21"/>
  <c r="B8" i="21"/>
  <c r="B9" i="21"/>
  <c r="B10" i="21"/>
  <c r="B11" i="21"/>
  <c r="B12" i="21"/>
  <c r="B13" i="21"/>
  <c r="B14" i="21"/>
  <c r="B15" i="21"/>
  <c r="B16" i="21"/>
  <c r="B17" i="21"/>
  <c r="B18" i="21"/>
  <c r="B19" i="21"/>
  <c r="B20" i="21"/>
  <c r="B7" i="21"/>
  <c r="F4" i="22"/>
  <c r="J4" i="22" s="1"/>
  <c r="P4" i="22" s="1"/>
  <c r="K6" i="21" s="1"/>
  <c r="F5" i="22"/>
  <c r="J5" i="22" s="1"/>
  <c r="P5" i="22" s="1"/>
  <c r="K8" i="21" s="1"/>
  <c r="F6" i="22"/>
  <c r="J6" i="22" s="1"/>
  <c r="P6" i="22" s="1"/>
  <c r="K9" i="21" s="1"/>
  <c r="F7" i="22"/>
  <c r="J7" i="22" s="1"/>
  <c r="P7" i="22" s="1"/>
  <c r="K10" i="21" s="1"/>
  <c r="F8" i="22"/>
  <c r="J8" i="22" s="1"/>
  <c r="P8" i="22" s="1"/>
  <c r="K11" i="21" s="1"/>
  <c r="F9" i="22"/>
  <c r="J9" i="22" s="1"/>
  <c r="P9" i="22" s="1"/>
  <c r="K12" i="21" s="1"/>
  <c r="F10" i="22"/>
  <c r="J10" i="22" s="1"/>
  <c r="P10" i="22" s="1"/>
  <c r="K13" i="21" s="1"/>
  <c r="F11" i="22"/>
  <c r="J11" i="22" s="1"/>
  <c r="P11" i="22" s="1"/>
  <c r="K14" i="21" s="1"/>
  <c r="F12" i="22"/>
  <c r="J12" i="22" s="1"/>
  <c r="P12" i="22" s="1"/>
  <c r="K15" i="21" s="1"/>
  <c r="F13" i="22"/>
  <c r="J13" i="22" s="1"/>
  <c r="P13" i="22" s="1"/>
  <c r="K16" i="21" s="1"/>
  <c r="F14" i="22"/>
  <c r="J14" i="22" s="1"/>
  <c r="P14" i="22" s="1"/>
  <c r="K17" i="21" s="1"/>
  <c r="F15" i="22"/>
  <c r="J15" i="22" s="1"/>
  <c r="P15" i="22" s="1"/>
  <c r="K18" i="21" s="1"/>
  <c r="F16" i="22"/>
  <c r="J16" i="22" s="1"/>
  <c r="P16" i="22" s="1"/>
  <c r="K19" i="21" s="1"/>
  <c r="F17" i="22"/>
  <c r="J17" i="22" s="1"/>
  <c r="P17" i="22" s="1"/>
  <c r="K20" i="21" s="1"/>
  <c r="F3" i="22"/>
  <c r="J3" i="22" s="1"/>
  <c r="P3" i="22" s="1"/>
  <c r="K7" i="21" s="1"/>
  <c r="C32" i="20"/>
  <c r="C31" i="20"/>
  <c r="C21" i="20"/>
  <c r="E22" i="20" s="1"/>
  <c r="G9" i="20"/>
  <c r="H9" i="20" s="1"/>
  <c r="I9" i="20" s="1"/>
  <c r="F5" i="20"/>
  <c r="G5" i="20"/>
  <c r="H5" i="20"/>
  <c r="I5" i="20"/>
  <c r="J5" i="20"/>
  <c r="E5" i="20"/>
  <c r="E2" i="20"/>
  <c r="F2" i="20" s="1"/>
  <c r="G2" i="20" s="1"/>
  <c r="H2" i="20" s="1"/>
  <c r="I2" i="20" s="1"/>
  <c r="J2" i="20" s="1"/>
  <c r="F37" i="19"/>
  <c r="G37" i="19"/>
  <c r="H37" i="19"/>
  <c r="I37" i="19"/>
  <c r="E37" i="19"/>
  <c r="E18" i="19"/>
  <c r="F18" i="19"/>
  <c r="G18" i="19"/>
  <c r="H18" i="19"/>
  <c r="I18" i="19"/>
  <c r="E19" i="19"/>
  <c r="F19" i="19"/>
  <c r="G19" i="19"/>
  <c r="H19" i="19"/>
  <c r="I19" i="19"/>
  <c r="E20" i="19"/>
  <c r="F20" i="19"/>
  <c r="G20" i="19"/>
  <c r="H20" i="19"/>
  <c r="I20" i="19"/>
  <c r="E21" i="19"/>
  <c r="F21" i="19"/>
  <c r="G21" i="19"/>
  <c r="H21" i="19"/>
  <c r="I21" i="19"/>
  <c r="E22" i="19"/>
  <c r="F22" i="19"/>
  <c r="G22" i="19"/>
  <c r="H22" i="19"/>
  <c r="I22" i="19"/>
  <c r="E23" i="19"/>
  <c r="F23" i="19"/>
  <c r="G23" i="19"/>
  <c r="H23" i="19"/>
  <c r="I23" i="19"/>
  <c r="E24" i="19"/>
  <c r="F24" i="19"/>
  <c r="G24" i="19"/>
  <c r="H24" i="19"/>
  <c r="I24" i="19"/>
  <c r="E25" i="19"/>
  <c r="F25" i="19"/>
  <c r="G25" i="19"/>
  <c r="H25" i="19"/>
  <c r="I25" i="19"/>
  <c r="E27" i="19"/>
  <c r="F27" i="19"/>
  <c r="G27" i="19"/>
  <c r="H27" i="19"/>
  <c r="I27" i="19"/>
  <c r="B54" i="19"/>
  <c r="I35" i="19"/>
  <c r="I51" i="19" s="1"/>
  <c r="H35" i="19"/>
  <c r="H51" i="19" s="1"/>
  <c r="G35" i="19"/>
  <c r="G51" i="19" s="1"/>
  <c r="F35" i="19"/>
  <c r="F51" i="19" s="1"/>
  <c r="E35" i="19"/>
  <c r="E51" i="19" s="1"/>
  <c r="K64" i="27" l="1"/>
  <c r="G64" i="27"/>
  <c r="I64" i="27"/>
  <c r="J64" i="27"/>
  <c r="D64" i="27"/>
  <c r="C51" i="27"/>
  <c r="H64" i="27"/>
  <c r="E64" i="27"/>
  <c r="J51" i="27"/>
  <c r="E51" i="27"/>
  <c r="D51" i="27"/>
  <c r="K57" i="27"/>
  <c r="K58" i="27" s="1"/>
  <c r="J57" i="27"/>
  <c r="J58" i="27" s="1"/>
  <c r="G51" i="27"/>
  <c r="F51" i="27"/>
  <c r="H57" i="27"/>
  <c r="I57" i="27"/>
  <c r="G46" i="27"/>
  <c r="K51" i="27"/>
  <c r="G57" i="27"/>
  <c r="F57" i="27"/>
  <c r="C57" i="27"/>
  <c r="I51" i="27"/>
  <c r="E57" i="27"/>
  <c r="E58" i="27" s="1"/>
  <c r="H51" i="27"/>
  <c r="D57" i="27"/>
  <c r="I46" i="27"/>
  <c r="H46" i="27"/>
  <c r="C46" i="27"/>
  <c r="K46" i="27"/>
  <c r="J46" i="27"/>
  <c r="K69" i="27"/>
  <c r="K75" i="27" s="1"/>
  <c r="J72" i="27"/>
  <c r="K72" i="27"/>
  <c r="D46" i="27"/>
  <c r="I69" i="27"/>
  <c r="I75" i="27" s="1"/>
  <c r="J69" i="27"/>
  <c r="J75" i="27" s="1"/>
  <c r="G69" i="27"/>
  <c r="G75" i="27" s="1"/>
  <c r="F46" i="27"/>
  <c r="H69" i="27"/>
  <c r="H75" i="27" s="1"/>
  <c r="E46" i="27"/>
  <c r="E72" i="27"/>
  <c r="D49" i="27"/>
  <c r="E49" i="27"/>
  <c r="F49" i="27"/>
  <c r="C69" i="27"/>
  <c r="C75" i="27" s="1"/>
  <c r="K55" i="26"/>
  <c r="J57" i="26"/>
  <c r="J59" i="26" s="1"/>
  <c r="C61" i="26"/>
  <c r="C63" i="26" s="1"/>
  <c r="K63" i="26"/>
  <c r="H61" i="26"/>
  <c r="H63" i="26" s="1"/>
  <c r="K68" i="26"/>
  <c r="K74" i="26" s="1"/>
  <c r="F63" i="26"/>
  <c r="H68" i="26"/>
  <c r="H74" i="26" s="1"/>
  <c r="G55" i="26"/>
  <c r="J70" i="26"/>
  <c r="F55" i="26"/>
  <c r="F52" i="26"/>
  <c r="E55" i="26"/>
  <c r="D55" i="26"/>
  <c r="C80" i="26"/>
  <c r="G79" i="26"/>
  <c r="G81" i="26" s="1"/>
  <c r="G77" i="26"/>
  <c r="F77" i="26"/>
  <c r="F79" i="26"/>
  <c r="E79" i="26"/>
  <c r="E77" i="26"/>
  <c r="D79" i="26"/>
  <c r="D77" i="26"/>
  <c r="C77" i="26"/>
  <c r="C79" i="26"/>
  <c r="E63" i="26"/>
  <c r="K77" i="26"/>
  <c r="K79" i="26"/>
  <c r="J77" i="26"/>
  <c r="J79" i="26"/>
  <c r="J81" i="26" s="1"/>
  <c r="I57" i="26"/>
  <c r="I59" i="26" s="1"/>
  <c r="G70" i="26"/>
  <c r="I76" i="26"/>
  <c r="I77" i="26" s="1"/>
  <c r="F80" i="26"/>
  <c r="H57" i="26"/>
  <c r="H59" i="26" s="1"/>
  <c r="G68" i="26"/>
  <c r="G74" i="26" s="1"/>
  <c r="F70" i="26"/>
  <c r="H76" i="26"/>
  <c r="E80" i="26"/>
  <c r="G57" i="26"/>
  <c r="G59" i="26" s="1"/>
  <c r="D61" i="26"/>
  <c r="D63" i="26" s="1"/>
  <c r="E70" i="26"/>
  <c r="J52" i="26"/>
  <c r="D80" i="26"/>
  <c r="C55" i="26"/>
  <c r="F57" i="26"/>
  <c r="F59" i="26" s="1"/>
  <c r="E68" i="26"/>
  <c r="E74" i="26" s="1"/>
  <c r="I52" i="26"/>
  <c r="E57" i="26"/>
  <c r="E59" i="26" s="1"/>
  <c r="D68" i="26"/>
  <c r="D74" i="26" s="1"/>
  <c r="D57" i="26"/>
  <c r="D59" i="26" s="1"/>
  <c r="G61" i="26"/>
  <c r="G63" i="26" s="1"/>
  <c r="C68" i="26"/>
  <c r="C74" i="26" s="1"/>
  <c r="C57" i="26"/>
  <c r="C59" i="26" s="1"/>
  <c r="I61" i="26"/>
  <c r="I63" i="26" s="1"/>
  <c r="K80" i="26"/>
  <c r="J55" i="26"/>
  <c r="J61" i="26"/>
  <c r="J63" i="26" s="1"/>
  <c r="K70" i="26"/>
  <c r="G329" i="24"/>
  <c r="I80" i="26"/>
  <c r="K57" i="26"/>
  <c r="K59" i="26" s="1"/>
  <c r="H80" i="26"/>
  <c r="G461" i="24"/>
  <c r="G1883" i="24"/>
  <c r="G1871" i="24"/>
  <c r="G1859" i="24"/>
  <c r="G1847" i="24"/>
  <c r="G1835" i="24"/>
  <c r="G1822" i="24"/>
  <c r="G1809" i="24"/>
  <c r="G1795" i="24"/>
  <c r="G1781" i="24"/>
  <c r="G1766" i="24"/>
  <c r="G1749" i="24"/>
  <c r="G1734" i="24"/>
  <c r="G1718" i="24"/>
  <c r="G1701" i="24"/>
  <c r="G1686" i="24"/>
  <c r="G1670" i="24"/>
  <c r="G1653" i="24"/>
  <c r="G1638" i="24"/>
  <c r="G1618" i="24"/>
  <c r="G1602" i="24"/>
  <c r="G1582" i="24"/>
  <c r="G1563" i="24"/>
  <c r="G1539" i="24"/>
  <c r="G1510" i="24"/>
  <c r="G1484" i="24"/>
  <c r="G1451" i="24"/>
  <c r="G1425" i="24"/>
  <c r="G1391" i="24"/>
  <c r="G1355" i="24"/>
  <c r="G1319" i="24"/>
  <c r="G1283" i="24"/>
  <c r="G1247" i="24"/>
  <c r="G1211" i="24"/>
  <c r="G1175" i="24"/>
  <c r="G1139" i="24"/>
  <c r="G1103" i="24"/>
  <c r="G1067" i="24"/>
  <c r="G1031" i="24"/>
  <c r="G905" i="24"/>
  <c r="G761" i="24"/>
  <c r="G617" i="24"/>
  <c r="G473" i="24"/>
  <c r="G6" i="24"/>
  <c r="G18" i="24"/>
  <c r="G30" i="24"/>
  <c r="G42" i="24"/>
  <c r="G54" i="24"/>
  <c r="G66" i="24"/>
  <c r="G78" i="24"/>
  <c r="G90" i="24"/>
  <c r="G102" i="24"/>
  <c r="G7" i="24"/>
  <c r="G19" i="24"/>
  <c r="G31" i="24"/>
  <c r="G43" i="24"/>
  <c r="G55" i="24"/>
  <c r="G67" i="24"/>
  <c r="G79" i="24"/>
  <c r="G91" i="24"/>
  <c r="G103" i="24"/>
  <c r="G115" i="24"/>
  <c r="G127" i="24"/>
  <c r="G139" i="24"/>
  <c r="G151" i="24"/>
  <c r="G163" i="24"/>
  <c r="G175" i="24"/>
  <c r="G187" i="24"/>
  <c r="G199" i="24"/>
  <c r="G211" i="24"/>
  <c r="G223" i="24"/>
  <c r="G235" i="24"/>
  <c r="G247" i="24"/>
  <c r="G259" i="24"/>
  <c r="G271" i="24"/>
  <c r="G283" i="24"/>
  <c r="G295" i="24"/>
  <c r="G307" i="24"/>
  <c r="G319" i="24"/>
  <c r="G331" i="24"/>
  <c r="G343" i="24"/>
  <c r="G355" i="24"/>
  <c r="G367" i="24"/>
  <c r="G379" i="24"/>
  <c r="G391" i="24"/>
  <c r="G403" i="24"/>
  <c r="G415" i="24"/>
  <c r="G427" i="24"/>
  <c r="G439" i="24"/>
  <c r="G451" i="24"/>
  <c r="G463" i="24"/>
  <c r="G475" i="24"/>
  <c r="G487" i="24"/>
  <c r="G499" i="24"/>
  <c r="G511" i="24"/>
  <c r="G523" i="24"/>
  <c r="G535" i="24"/>
  <c r="G547" i="24"/>
  <c r="G559" i="24"/>
  <c r="G571" i="24"/>
  <c r="G583" i="24"/>
  <c r="G595" i="24"/>
  <c r="G607" i="24"/>
  <c r="G619" i="24"/>
  <c r="G631" i="24"/>
  <c r="G643" i="24"/>
  <c r="G655" i="24"/>
  <c r="G667" i="24"/>
  <c r="G679" i="24"/>
  <c r="G691" i="24"/>
  <c r="G703" i="24"/>
  <c r="G715" i="24"/>
  <c r="G727" i="24"/>
  <c r="G739" i="24"/>
  <c r="G751" i="24"/>
  <c r="G763" i="24"/>
  <c r="G775" i="24"/>
  <c r="G787" i="24"/>
  <c r="G799" i="24"/>
  <c r="G811" i="24"/>
  <c r="G823" i="24"/>
  <c r="G835" i="24"/>
  <c r="G847" i="24"/>
  <c r="G859" i="24"/>
  <c r="G871" i="24"/>
  <c r="G883" i="24"/>
  <c r="G895" i="24"/>
  <c r="G907" i="24"/>
  <c r="G919" i="24"/>
  <c r="G931" i="24"/>
  <c r="G943" i="24"/>
  <c r="G955" i="24"/>
  <c r="G967" i="24"/>
  <c r="G979" i="24"/>
  <c r="G991" i="24"/>
  <c r="G1003" i="24"/>
  <c r="G1015" i="24"/>
  <c r="G8" i="24"/>
  <c r="G20" i="24"/>
  <c r="G32" i="24"/>
  <c r="G44" i="24"/>
  <c r="G56" i="24"/>
  <c r="G68" i="24"/>
  <c r="G80" i="24"/>
  <c r="G92" i="24"/>
  <c r="G104" i="24"/>
  <c r="G116" i="24"/>
  <c r="G128" i="24"/>
  <c r="G140" i="24"/>
  <c r="G152" i="24"/>
  <c r="G164" i="24"/>
  <c r="G176" i="24"/>
  <c r="G188" i="24"/>
  <c r="G200" i="24"/>
  <c r="G212" i="24"/>
  <c r="G224" i="24"/>
  <c r="G236" i="24"/>
  <c r="G248" i="24"/>
  <c r="G260" i="24"/>
  <c r="G272" i="24"/>
  <c r="G284" i="24"/>
  <c r="G296" i="24"/>
  <c r="G308" i="24"/>
  <c r="G320" i="24"/>
  <c r="G332" i="24"/>
  <c r="G344" i="24"/>
  <c r="G356" i="24"/>
  <c r="G368" i="24"/>
  <c r="G380" i="24"/>
  <c r="G392" i="24"/>
  <c r="G404" i="24"/>
  <c r="G416" i="24"/>
  <c r="G428" i="24"/>
  <c r="G440" i="24"/>
  <c r="G452" i="24"/>
  <c r="G464" i="24"/>
  <c r="G476" i="24"/>
  <c r="G488" i="24"/>
  <c r="G500" i="24"/>
  <c r="G512" i="24"/>
  <c r="G524" i="24"/>
  <c r="G536" i="24"/>
  <c r="G548" i="24"/>
  <c r="G560" i="24"/>
  <c r="G572" i="24"/>
  <c r="G584" i="24"/>
  <c r="G596" i="24"/>
  <c r="G608" i="24"/>
  <c r="G620" i="24"/>
  <c r="G632" i="24"/>
  <c r="G644" i="24"/>
  <c r="G656" i="24"/>
  <c r="G668" i="24"/>
  <c r="G680" i="24"/>
  <c r="G692" i="24"/>
  <c r="G704" i="24"/>
  <c r="G716" i="24"/>
  <c r="G728" i="24"/>
  <c r="G740" i="24"/>
  <c r="G752" i="24"/>
  <c r="G764" i="24"/>
  <c r="G776" i="24"/>
  <c r="G788" i="24"/>
  <c r="G800" i="24"/>
  <c r="G812" i="24"/>
  <c r="G824" i="24"/>
  <c r="G836" i="24"/>
  <c r="G848" i="24"/>
  <c r="G860" i="24"/>
  <c r="G872" i="24"/>
  <c r="G884" i="24"/>
  <c r="G896" i="24"/>
  <c r="G908" i="24"/>
  <c r="G920" i="24"/>
  <c r="G932" i="24"/>
  <c r="G944" i="24"/>
  <c r="G956" i="24"/>
  <c r="G968" i="24"/>
  <c r="G980" i="24"/>
  <c r="G992" i="24"/>
  <c r="G1004" i="24"/>
  <c r="G1016" i="24"/>
  <c r="G9" i="24"/>
  <c r="G21" i="24"/>
  <c r="G33" i="24"/>
  <c r="G45" i="24"/>
  <c r="G57" i="24"/>
  <c r="G69" i="24"/>
  <c r="G81" i="24"/>
  <c r="G93" i="24"/>
  <c r="G105" i="24"/>
  <c r="G117" i="24"/>
  <c r="G129" i="24"/>
  <c r="G141" i="24"/>
  <c r="G153" i="24"/>
  <c r="G165" i="24"/>
  <c r="G177" i="24"/>
  <c r="G189" i="24"/>
  <c r="G201" i="24"/>
  <c r="G213" i="24"/>
  <c r="G225" i="24"/>
  <c r="G237" i="24"/>
  <c r="G249" i="24"/>
  <c r="G261" i="24"/>
  <c r="G273" i="24"/>
  <c r="G285" i="24"/>
  <c r="G297" i="24"/>
  <c r="G309" i="24"/>
  <c r="G321" i="24"/>
  <c r="G333" i="24"/>
  <c r="G345" i="24"/>
  <c r="G357" i="24"/>
  <c r="G369" i="24"/>
  <c r="G381" i="24"/>
  <c r="G393" i="24"/>
  <c r="G405" i="24"/>
  <c r="G417" i="24"/>
  <c r="G429" i="24"/>
  <c r="G441" i="24"/>
  <c r="G453" i="24"/>
  <c r="G465" i="24"/>
  <c r="G477" i="24"/>
  <c r="G489" i="24"/>
  <c r="G501" i="24"/>
  <c r="G513" i="24"/>
  <c r="G525" i="24"/>
  <c r="G537" i="24"/>
  <c r="G549" i="24"/>
  <c r="G561" i="24"/>
  <c r="G573" i="24"/>
  <c r="G585" i="24"/>
  <c r="G597" i="24"/>
  <c r="G609" i="24"/>
  <c r="G621" i="24"/>
  <c r="G633" i="24"/>
  <c r="G645" i="24"/>
  <c r="G657" i="24"/>
  <c r="G669" i="24"/>
  <c r="G681" i="24"/>
  <c r="G693" i="24"/>
  <c r="G705" i="24"/>
  <c r="G717" i="24"/>
  <c r="G729" i="24"/>
  <c r="G741" i="24"/>
  <c r="G753" i="24"/>
  <c r="G765" i="24"/>
  <c r="G777" i="24"/>
  <c r="G789" i="24"/>
  <c r="G801" i="24"/>
  <c r="G813" i="24"/>
  <c r="G825" i="24"/>
  <c r="G837" i="24"/>
  <c r="G849" i="24"/>
  <c r="G861" i="24"/>
  <c r="G873" i="24"/>
  <c r="G885" i="24"/>
  <c r="G897" i="24"/>
  <c r="G909" i="24"/>
  <c r="G921" i="24"/>
  <c r="G933" i="24"/>
  <c r="G945" i="24"/>
  <c r="G957" i="24"/>
  <c r="G969" i="24"/>
  <c r="G981" i="24"/>
  <c r="G993" i="24"/>
  <c r="G1005" i="24"/>
  <c r="G1017" i="24"/>
  <c r="G10" i="24"/>
  <c r="G22" i="24"/>
  <c r="G34" i="24"/>
  <c r="G46" i="24"/>
  <c r="G58" i="24"/>
  <c r="G70" i="24"/>
  <c r="G82" i="24"/>
  <c r="G94" i="24"/>
  <c r="G106" i="24"/>
  <c r="G118" i="24"/>
  <c r="G130" i="24"/>
  <c r="G142" i="24"/>
  <c r="G154" i="24"/>
  <c r="G166" i="24"/>
  <c r="G178" i="24"/>
  <c r="G190" i="24"/>
  <c r="G202" i="24"/>
  <c r="G214" i="24"/>
  <c r="G226" i="24"/>
  <c r="G238" i="24"/>
  <c r="G250" i="24"/>
  <c r="G262" i="24"/>
  <c r="G274" i="24"/>
  <c r="G286" i="24"/>
  <c r="G298" i="24"/>
  <c r="G310" i="24"/>
  <c r="G322" i="24"/>
  <c r="G334" i="24"/>
  <c r="G346" i="24"/>
  <c r="G358" i="24"/>
  <c r="G370" i="24"/>
  <c r="G382" i="24"/>
  <c r="G394" i="24"/>
  <c r="G406" i="24"/>
  <c r="G418" i="24"/>
  <c r="G430" i="24"/>
  <c r="G442" i="24"/>
  <c r="G454" i="24"/>
  <c r="G466" i="24"/>
  <c r="G478" i="24"/>
  <c r="G490" i="24"/>
  <c r="G502" i="24"/>
  <c r="G514" i="24"/>
  <c r="G526" i="24"/>
  <c r="G538" i="24"/>
  <c r="G550" i="24"/>
  <c r="G562" i="24"/>
  <c r="G574" i="24"/>
  <c r="G586" i="24"/>
  <c r="G598" i="24"/>
  <c r="G610" i="24"/>
  <c r="G622" i="24"/>
  <c r="G634" i="24"/>
  <c r="G646" i="24"/>
  <c r="G658" i="24"/>
  <c r="G670" i="24"/>
  <c r="G682" i="24"/>
  <c r="G694" i="24"/>
  <c r="G706" i="24"/>
  <c r="G718" i="24"/>
  <c r="G730" i="24"/>
  <c r="G742" i="24"/>
  <c r="G754" i="24"/>
  <c r="G766" i="24"/>
  <c r="G778" i="24"/>
  <c r="G790" i="24"/>
  <c r="G802" i="24"/>
  <c r="G814" i="24"/>
  <c r="G826" i="24"/>
  <c r="G838" i="24"/>
  <c r="G850" i="24"/>
  <c r="G862" i="24"/>
  <c r="G874" i="24"/>
  <c r="G886" i="24"/>
  <c r="G898" i="24"/>
  <c r="G910" i="24"/>
  <c r="G922" i="24"/>
  <c r="G934" i="24"/>
  <c r="G946" i="24"/>
  <c r="G958" i="24"/>
  <c r="G970" i="24"/>
  <c r="G982" i="24"/>
  <c r="G994" i="24"/>
  <c r="G1006" i="24"/>
  <c r="G1018" i="24"/>
  <c r="G11" i="24"/>
  <c r="G23" i="24"/>
  <c r="G35" i="24"/>
  <c r="G47" i="24"/>
  <c r="G59" i="24"/>
  <c r="G71" i="24"/>
  <c r="G83" i="24"/>
  <c r="G95" i="24"/>
  <c r="G107" i="24"/>
  <c r="G119" i="24"/>
  <c r="G131" i="24"/>
  <c r="G143" i="24"/>
  <c r="G155" i="24"/>
  <c r="G167" i="24"/>
  <c r="G179" i="24"/>
  <c r="G191" i="24"/>
  <c r="G203" i="24"/>
  <c r="G215" i="24"/>
  <c r="G227" i="24"/>
  <c r="G239" i="24"/>
  <c r="G251" i="24"/>
  <c r="G263" i="24"/>
  <c r="G275" i="24"/>
  <c r="G287" i="24"/>
  <c r="G299" i="24"/>
  <c r="G311" i="24"/>
  <c r="G323" i="24"/>
  <c r="G335" i="24"/>
  <c r="G347" i="24"/>
  <c r="G359" i="24"/>
  <c r="G371" i="24"/>
  <c r="G383" i="24"/>
  <c r="G395" i="24"/>
  <c r="G407" i="24"/>
  <c r="G419" i="24"/>
  <c r="G431" i="24"/>
  <c r="G443" i="24"/>
  <c r="G455" i="24"/>
  <c r="G467" i="24"/>
  <c r="G479" i="24"/>
  <c r="G491" i="24"/>
  <c r="G503" i="24"/>
  <c r="G515" i="24"/>
  <c r="G527" i="24"/>
  <c r="G539" i="24"/>
  <c r="G551" i="24"/>
  <c r="G563" i="24"/>
  <c r="G575" i="24"/>
  <c r="G587" i="24"/>
  <c r="G599" i="24"/>
  <c r="G611" i="24"/>
  <c r="G623" i="24"/>
  <c r="G635" i="24"/>
  <c r="G647" i="24"/>
  <c r="G659" i="24"/>
  <c r="G671" i="24"/>
  <c r="G683" i="24"/>
  <c r="G695" i="24"/>
  <c r="G707" i="24"/>
  <c r="G719" i="24"/>
  <c r="G731" i="24"/>
  <c r="G743" i="24"/>
  <c r="G755" i="24"/>
  <c r="G767" i="24"/>
  <c r="G779" i="24"/>
  <c r="G791" i="24"/>
  <c r="G803" i="24"/>
  <c r="G815" i="24"/>
  <c r="G827" i="24"/>
  <c r="G839" i="24"/>
  <c r="G851" i="24"/>
  <c r="G863" i="24"/>
  <c r="G875" i="24"/>
  <c r="G887" i="24"/>
  <c r="G899" i="24"/>
  <c r="G911" i="24"/>
  <c r="G923" i="24"/>
  <c r="G935" i="24"/>
  <c r="G947" i="24"/>
  <c r="G959" i="24"/>
  <c r="G971" i="24"/>
  <c r="G983" i="24"/>
  <c r="G995" i="24"/>
  <c r="G1007" i="24"/>
  <c r="G1019" i="24"/>
  <c r="G12" i="24"/>
  <c r="G24" i="24"/>
  <c r="G36" i="24"/>
  <c r="G48" i="24"/>
  <c r="G60" i="24"/>
  <c r="G72" i="24"/>
  <c r="G84" i="24"/>
  <c r="G96" i="24"/>
  <c r="G108" i="24"/>
  <c r="G120" i="24"/>
  <c r="G132" i="24"/>
  <c r="G144" i="24"/>
  <c r="G156" i="24"/>
  <c r="G168" i="24"/>
  <c r="G180" i="24"/>
  <c r="G192" i="24"/>
  <c r="G204" i="24"/>
  <c r="G216" i="24"/>
  <c r="G228" i="24"/>
  <c r="G240" i="24"/>
  <c r="G252" i="24"/>
  <c r="G264" i="24"/>
  <c r="G276" i="24"/>
  <c r="G288" i="24"/>
  <c r="G300" i="24"/>
  <c r="G312" i="24"/>
  <c r="G324" i="24"/>
  <c r="G336" i="24"/>
  <c r="G348" i="24"/>
  <c r="G360" i="24"/>
  <c r="G372" i="24"/>
  <c r="G384" i="24"/>
  <c r="G396" i="24"/>
  <c r="G408" i="24"/>
  <c r="G420" i="24"/>
  <c r="G432" i="24"/>
  <c r="G444" i="24"/>
  <c r="G456" i="24"/>
  <c r="G468" i="24"/>
  <c r="G480" i="24"/>
  <c r="G492" i="24"/>
  <c r="G504" i="24"/>
  <c r="G516" i="24"/>
  <c r="G528" i="24"/>
  <c r="G540" i="24"/>
  <c r="G552" i="24"/>
  <c r="G564" i="24"/>
  <c r="G576" i="24"/>
  <c r="G588" i="24"/>
  <c r="G600" i="24"/>
  <c r="G612" i="24"/>
  <c r="G624" i="24"/>
  <c r="G636" i="24"/>
  <c r="G648" i="24"/>
  <c r="G660" i="24"/>
  <c r="G672" i="24"/>
  <c r="G684" i="24"/>
  <c r="G696" i="24"/>
  <c r="G708" i="24"/>
  <c r="G720" i="24"/>
  <c r="G732" i="24"/>
  <c r="G744" i="24"/>
  <c r="G756" i="24"/>
  <c r="G768" i="24"/>
  <c r="G780" i="24"/>
  <c r="G792" i="24"/>
  <c r="G804" i="24"/>
  <c r="G816" i="24"/>
  <c r="G828" i="24"/>
  <c r="G840" i="24"/>
  <c r="G852" i="24"/>
  <c r="G864" i="24"/>
  <c r="G876" i="24"/>
  <c r="G888" i="24"/>
  <c r="G900" i="24"/>
  <c r="G912" i="24"/>
  <c r="G924" i="24"/>
  <c r="G936" i="24"/>
  <c r="G948" i="24"/>
  <c r="G960" i="24"/>
  <c r="G972" i="24"/>
  <c r="G984" i="24"/>
  <c r="G996" i="24"/>
  <c r="G1008" i="24"/>
  <c r="G1020" i="24"/>
  <c r="G13" i="24"/>
  <c r="G25" i="24"/>
  <c r="G37" i="24"/>
  <c r="G49" i="24"/>
  <c r="G61" i="24"/>
  <c r="G73" i="24"/>
  <c r="G85" i="24"/>
  <c r="G97" i="24"/>
  <c r="G109" i="24"/>
  <c r="G121" i="24"/>
  <c r="G133" i="24"/>
  <c r="G14" i="24"/>
  <c r="G26" i="24"/>
  <c r="G38" i="24"/>
  <c r="G50" i="24"/>
  <c r="G62" i="24"/>
  <c r="G74" i="24"/>
  <c r="G86" i="24"/>
  <c r="G98" i="24"/>
  <c r="G110" i="24"/>
  <c r="G122" i="24"/>
  <c r="G134" i="24"/>
  <c r="G146" i="24"/>
  <c r="G158" i="24"/>
  <c r="G170" i="24"/>
  <c r="G182" i="24"/>
  <c r="G194" i="24"/>
  <c r="G206" i="24"/>
  <c r="G218" i="24"/>
  <c r="G230" i="24"/>
  <c r="G242" i="24"/>
  <c r="G254" i="24"/>
  <c r="G266" i="24"/>
  <c r="G278" i="24"/>
  <c r="G290" i="24"/>
  <c r="G302" i="24"/>
  <c r="G314" i="24"/>
  <c r="G326" i="24"/>
  <c r="G338" i="24"/>
  <c r="G350" i="24"/>
  <c r="G362" i="24"/>
  <c r="G374" i="24"/>
  <c r="G386" i="24"/>
  <c r="G398" i="24"/>
  <c r="G410" i="24"/>
  <c r="G422" i="24"/>
  <c r="G434" i="24"/>
  <c r="G446" i="24"/>
  <c r="G458" i="24"/>
  <c r="G470" i="24"/>
  <c r="G482" i="24"/>
  <c r="G494" i="24"/>
  <c r="G506" i="24"/>
  <c r="G518" i="24"/>
  <c r="G530" i="24"/>
  <c r="G542" i="24"/>
  <c r="G554" i="24"/>
  <c r="G566" i="24"/>
  <c r="G578" i="24"/>
  <c r="G590" i="24"/>
  <c r="G602" i="24"/>
  <c r="G614" i="24"/>
  <c r="G626" i="24"/>
  <c r="G638" i="24"/>
  <c r="G650" i="24"/>
  <c r="G662" i="24"/>
  <c r="G674" i="24"/>
  <c r="G686" i="24"/>
  <c r="G698" i="24"/>
  <c r="G710" i="24"/>
  <c r="G722" i="24"/>
  <c r="G734" i="24"/>
  <c r="G746" i="24"/>
  <c r="G758" i="24"/>
  <c r="G770" i="24"/>
  <c r="G782" i="24"/>
  <c r="G794" i="24"/>
  <c r="G806" i="24"/>
  <c r="G818" i="24"/>
  <c r="G830" i="24"/>
  <c r="G842" i="24"/>
  <c r="G854" i="24"/>
  <c r="G866" i="24"/>
  <c r="G878" i="24"/>
  <c r="G890" i="24"/>
  <c r="G902" i="24"/>
  <c r="G914" i="24"/>
  <c r="G926" i="24"/>
  <c r="G938" i="24"/>
  <c r="G950" i="24"/>
  <c r="G962" i="24"/>
  <c r="G974" i="24"/>
  <c r="G986" i="24"/>
  <c r="G998" i="24"/>
  <c r="G1010" i="24"/>
  <c r="G1022" i="24"/>
  <c r="G15" i="24"/>
  <c r="G27" i="24"/>
  <c r="G39" i="24"/>
  <c r="G51" i="24"/>
  <c r="G63" i="24"/>
  <c r="G75" i="24"/>
  <c r="G87" i="24"/>
  <c r="G99" i="24"/>
  <c r="G111" i="24"/>
  <c r="G123" i="24"/>
  <c r="G135" i="24"/>
  <c r="G147" i="24"/>
  <c r="G159" i="24"/>
  <c r="G171" i="24"/>
  <c r="G183" i="24"/>
  <c r="G195" i="24"/>
  <c r="G207" i="24"/>
  <c r="G219" i="24"/>
  <c r="G231" i="24"/>
  <c r="G243" i="24"/>
  <c r="G255" i="24"/>
  <c r="G267" i="24"/>
  <c r="G279" i="24"/>
  <c r="G291" i="24"/>
  <c r="G303" i="24"/>
  <c r="G315" i="24"/>
  <c r="G327" i="24"/>
  <c r="G339" i="24"/>
  <c r="G351" i="24"/>
  <c r="G363" i="24"/>
  <c r="G375" i="24"/>
  <c r="G387" i="24"/>
  <c r="G399" i="24"/>
  <c r="G411" i="24"/>
  <c r="G423" i="24"/>
  <c r="G435" i="24"/>
  <c r="G447" i="24"/>
  <c r="G459" i="24"/>
  <c r="G471" i="24"/>
  <c r="G483" i="24"/>
  <c r="G495" i="24"/>
  <c r="G507" i="24"/>
  <c r="G519" i="24"/>
  <c r="G531" i="24"/>
  <c r="G543" i="24"/>
  <c r="G555" i="24"/>
  <c r="G567" i="24"/>
  <c r="G579" i="24"/>
  <c r="G591" i="24"/>
  <c r="G603" i="24"/>
  <c r="G615" i="24"/>
  <c r="G627" i="24"/>
  <c r="G639" i="24"/>
  <c r="G651" i="24"/>
  <c r="G663" i="24"/>
  <c r="G675" i="24"/>
  <c r="G687" i="24"/>
  <c r="G699" i="24"/>
  <c r="G711" i="24"/>
  <c r="G723" i="24"/>
  <c r="G735" i="24"/>
  <c r="G747" i="24"/>
  <c r="G759" i="24"/>
  <c r="G771" i="24"/>
  <c r="G783" i="24"/>
  <c r="G795" i="24"/>
  <c r="G807" i="24"/>
  <c r="G819" i="24"/>
  <c r="G831" i="24"/>
  <c r="G843" i="24"/>
  <c r="G855" i="24"/>
  <c r="G867" i="24"/>
  <c r="G879" i="24"/>
  <c r="G891" i="24"/>
  <c r="G903" i="24"/>
  <c r="G915" i="24"/>
  <c r="G927" i="24"/>
  <c r="G939" i="24"/>
  <c r="G951" i="24"/>
  <c r="G963" i="24"/>
  <c r="G975" i="24"/>
  <c r="G987" i="24"/>
  <c r="G999" i="24"/>
  <c r="G1011" i="24"/>
  <c r="G1023" i="24"/>
  <c r="G16" i="24"/>
  <c r="G28" i="24"/>
  <c r="G40" i="24"/>
  <c r="G52" i="24"/>
  <c r="G64" i="24"/>
  <c r="G76" i="24"/>
  <c r="G88" i="24"/>
  <c r="G100" i="24"/>
  <c r="G112" i="24"/>
  <c r="G124" i="24"/>
  <c r="G136" i="24"/>
  <c r="G148" i="24"/>
  <c r="G160" i="24"/>
  <c r="G172" i="24"/>
  <c r="G184" i="24"/>
  <c r="G196" i="24"/>
  <c r="G208" i="24"/>
  <c r="G220" i="24"/>
  <c r="G232" i="24"/>
  <c r="G244" i="24"/>
  <c r="G256" i="24"/>
  <c r="G268" i="24"/>
  <c r="G280" i="24"/>
  <c r="G292" i="24"/>
  <c r="G304" i="24"/>
  <c r="G316" i="24"/>
  <c r="G328" i="24"/>
  <c r="G340" i="24"/>
  <c r="G352" i="24"/>
  <c r="G364" i="24"/>
  <c r="G376" i="24"/>
  <c r="G388" i="24"/>
  <c r="G400" i="24"/>
  <c r="G412" i="24"/>
  <c r="G424" i="24"/>
  <c r="G436" i="24"/>
  <c r="G448" i="24"/>
  <c r="G460" i="24"/>
  <c r="G472" i="24"/>
  <c r="G484" i="24"/>
  <c r="G496" i="24"/>
  <c r="G508" i="24"/>
  <c r="G520" i="24"/>
  <c r="G532" i="24"/>
  <c r="G544" i="24"/>
  <c r="G556" i="24"/>
  <c r="G568" i="24"/>
  <c r="G580" i="24"/>
  <c r="G592" i="24"/>
  <c r="G604" i="24"/>
  <c r="G616" i="24"/>
  <c r="G628" i="24"/>
  <c r="G640" i="24"/>
  <c r="G652" i="24"/>
  <c r="G664" i="24"/>
  <c r="G676" i="24"/>
  <c r="G688" i="24"/>
  <c r="G700" i="24"/>
  <c r="G712" i="24"/>
  <c r="G724" i="24"/>
  <c r="G736" i="24"/>
  <c r="G748" i="24"/>
  <c r="G760" i="24"/>
  <c r="G772" i="24"/>
  <c r="G784" i="24"/>
  <c r="G796" i="24"/>
  <c r="G808" i="24"/>
  <c r="G820" i="24"/>
  <c r="G832" i="24"/>
  <c r="G844" i="24"/>
  <c r="G856" i="24"/>
  <c r="G868" i="24"/>
  <c r="G880" i="24"/>
  <c r="G892" i="24"/>
  <c r="G904" i="24"/>
  <c r="G916" i="24"/>
  <c r="G928" i="24"/>
  <c r="G940" i="24"/>
  <c r="G952" i="24"/>
  <c r="G964" i="24"/>
  <c r="G976" i="24"/>
  <c r="G988" i="24"/>
  <c r="G1000" i="24"/>
  <c r="G1012" i="24"/>
  <c r="G1024" i="24"/>
  <c r="G17" i="24"/>
  <c r="G29" i="24"/>
  <c r="G41" i="24"/>
  <c r="G53" i="24"/>
  <c r="G65" i="24"/>
  <c r="G77" i="24"/>
  <c r="G89" i="24"/>
  <c r="G101" i="24"/>
  <c r="G113" i="24"/>
  <c r="G125" i="24"/>
  <c r="G137" i="24"/>
  <c r="G149" i="24"/>
  <c r="G161" i="24"/>
  <c r="G173" i="24"/>
  <c r="G185" i="24"/>
  <c r="G197" i="24"/>
  <c r="G209" i="24"/>
  <c r="G221" i="24"/>
  <c r="G233" i="24"/>
  <c r="G245" i="24"/>
  <c r="G257" i="24"/>
  <c r="G269" i="24"/>
  <c r="G281" i="24"/>
  <c r="G293" i="24"/>
  <c r="G305" i="24"/>
  <c r="G114" i="24"/>
  <c r="G198" i="24"/>
  <c r="G270" i="24"/>
  <c r="G330" i="24"/>
  <c r="G378" i="24"/>
  <c r="G426" i="24"/>
  <c r="G474" i="24"/>
  <c r="G522" i="24"/>
  <c r="G570" i="24"/>
  <c r="G618" i="24"/>
  <c r="G666" i="24"/>
  <c r="G714" i="24"/>
  <c r="G762" i="24"/>
  <c r="G810" i="24"/>
  <c r="G858" i="24"/>
  <c r="G906" i="24"/>
  <c r="G954" i="24"/>
  <c r="G1002" i="24"/>
  <c r="G1032" i="24"/>
  <c r="G1044" i="24"/>
  <c r="G1056" i="24"/>
  <c r="G1068" i="24"/>
  <c r="G1080" i="24"/>
  <c r="G1092" i="24"/>
  <c r="G1104" i="24"/>
  <c r="G1116" i="24"/>
  <c r="G1128" i="24"/>
  <c r="G1140" i="24"/>
  <c r="G1152" i="24"/>
  <c r="G1164" i="24"/>
  <c r="G1176" i="24"/>
  <c r="G1188" i="24"/>
  <c r="G1200" i="24"/>
  <c r="G1212" i="24"/>
  <c r="G1224" i="24"/>
  <c r="G1236" i="24"/>
  <c r="G1248" i="24"/>
  <c r="G1260" i="24"/>
  <c r="G1272" i="24"/>
  <c r="G1284" i="24"/>
  <c r="G1296" i="24"/>
  <c r="G1308" i="24"/>
  <c r="G1320" i="24"/>
  <c r="G1332" i="24"/>
  <c r="G1344" i="24"/>
  <c r="G1356" i="24"/>
  <c r="G1368" i="24"/>
  <c r="G1380" i="24"/>
  <c r="G1392" i="24"/>
  <c r="G1404" i="24"/>
  <c r="G1416" i="24"/>
  <c r="G1428" i="24"/>
  <c r="G1440" i="24"/>
  <c r="G1452" i="24"/>
  <c r="G1464" i="24"/>
  <c r="G1476" i="24"/>
  <c r="G1488" i="24"/>
  <c r="G1500" i="24"/>
  <c r="G1512" i="24"/>
  <c r="G1524" i="24"/>
  <c r="G1536" i="24"/>
  <c r="G1548" i="24"/>
  <c r="G1560" i="24"/>
  <c r="G1572" i="24"/>
  <c r="G1584" i="24"/>
  <c r="G1596" i="24"/>
  <c r="G1608" i="24"/>
  <c r="G1620" i="24"/>
  <c r="G1632" i="24"/>
  <c r="G1644" i="24"/>
  <c r="G1656" i="24"/>
  <c r="G1668" i="24"/>
  <c r="G1680" i="24"/>
  <c r="G1692" i="24"/>
  <c r="G1704" i="24"/>
  <c r="G1716" i="24"/>
  <c r="G1728" i="24"/>
  <c r="G1740" i="24"/>
  <c r="G1752" i="24"/>
  <c r="G1764" i="24"/>
  <c r="G1776" i="24"/>
  <c r="G1788" i="24"/>
  <c r="G1800" i="24"/>
  <c r="G1812" i="24"/>
  <c r="G1824" i="24"/>
  <c r="G126" i="24"/>
  <c r="G205" i="24"/>
  <c r="G277" i="24"/>
  <c r="G337" i="24"/>
  <c r="G385" i="24"/>
  <c r="G433" i="24"/>
  <c r="G481" i="24"/>
  <c r="G529" i="24"/>
  <c r="G577" i="24"/>
  <c r="G625" i="24"/>
  <c r="G673" i="24"/>
  <c r="G721" i="24"/>
  <c r="G769" i="24"/>
  <c r="G817" i="24"/>
  <c r="G865" i="24"/>
  <c r="G913" i="24"/>
  <c r="G961" i="24"/>
  <c r="G1009" i="24"/>
  <c r="G1033" i="24"/>
  <c r="G1045" i="24"/>
  <c r="G1057" i="24"/>
  <c r="G1069" i="24"/>
  <c r="G1081" i="24"/>
  <c r="G1093" i="24"/>
  <c r="G1105" i="24"/>
  <c r="G1117" i="24"/>
  <c r="G1129" i="24"/>
  <c r="G1141" i="24"/>
  <c r="G1153" i="24"/>
  <c r="G1165" i="24"/>
  <c r="G1177" i="24"/>
  <c r="G1189" i="24"/>
  <c r="G1201" i="24"/>
  <c r="G1213" i="24"/>
  <c r="G1225" i="24"/>
  <c r="G1237" i="24"/>
  <c r="G1249" i="24"/>
  <c r="G1261" i="24"/>
  <c r="G1273" i="24"/>
  <c r="G1285" i="24"/>
  <c r="G1297" i="24"/>
  <c r="G1309" i="24"/>
  <c r="G1321" i="24"/>
  <c r="G1333" i="24"/>
  <c r="G1345" i="24"/>
  <c r="G1357" i="24"/>
  <c r="G1369" i="24"/>
  <c r="G1381" i="24"/>
  <c r="G1393" i="24"/>
  <c r="G1405" i="24"/>
  <c r="G1417" i="24"/>
  <c r="G1429" i="24"/>
  <c r="G1441" i="24"/>
  <c r="G1453" i="24"/>
  <c r="G1465" i="24"/>
  <c r="G1477" i="24"/>
  <c r="G1489" i="24"/>
  <c r="G1501" i="24"/>
  <c r="G1513" i="24"/>
  <c r="G1525" i="24"/>
  <c r="G1537" i="24"/>
  <c r="G1549" i="24"/>
  <c r="G1561" i="24"/>
  <c r="G1573" i="24"/>
  <c r="G1585" i="24"/>
  <c r="G1597" i="24"/>
  <c r="G1609" i="24"/>
  <c r="G1621" i="24"/>
  <c r="G1633" i="24"/>
  <c r="G1645" i="24"/>
  <c r="G1657" i="24"/>
  <c r="G1669" i="24"/>
  <c r="G1681" i="24"/>
  <c r="G1693" i="24"/>
  <c r="G1705" i="24"/>
  <c r="G1717" i="24"/>
  <c r="G1729" i="24"/>
  <c r="G1741" i="24"/>
  <c r="G1753" i="24"/>
  <c r="G1765" i="24"/>
  <c r="G1777" i="24"/>
  <c r="G1789" i="24"/>
  <c r="G1801" i="24"/>
  <c r="G138" i="24"/>
  <c r="G210" i="24"/>
  <c r="G282" i="24"/>
  <c r="G341" i="24"/>
  <c r="G389" i="24"/>
  <c r="G437" i="24"/>
  <c r="G485" i="24"/>
  <c r="G533" i="24"/>
  <c r="G581" i="24"/>
  <c r="G629" i="24"/>
  <c r="G677" i="24"/>
  <c r="G725" i="24"/>
  <c r="G773" i="24"/>
  <c r="G821" i="24"/>
  <c r="G869" i="24"/>
  <c r="G917" i="24"/>
  <c r="G965" i="24"/>
  <c r="G1013" i="24"/>
  <c r="G1034" i="24"/>
  <c r="G1046" i="24"/>
  <c r="G1058" i="24"/>
  <c r="G1070" i="24"/>
  <c r="G1082" i="24"/>
  <c r="G1094" i="24"/>
  <c r="G1106" i="24"/>
  <c r="G1118" i="24"/>
  <c r="G1130" i="24"/>
  <c r="G1142" i="24"/>
  <c r="G1154" i="24"/>
  <c r="G1166" i="24"/>
  <c r="G1178" i="24"/>
  <c r="G1190" i="24"/>
  <c r="G1202" i="24"/>
  <c r="G1214" i="24"/>
  <c r="G1226" i="24"/>
  <c r="G1238" i="24"/>
  <c r="G1250" i="24"/>
  <c r="G1262" i="24"/>
  <c r="G1274" i="24"/>
  <c r="G1286" i="24"/>
  <c r="G1298" i="24"/>
  <c r="G1310" i="24"/>
  <c r="G1322" i="24"/>
  <c r="G1334" i="24"/>
  <c r="G1346" i="24"/>
  <c r="G1358" i="24"/>
  <c r="G1370" i="24"/>
  <c r="G1382" i="24"/>
  <c r="G1394" i="24"/>
  <c r="G1406" i="24"/>
  <c r="G1418" i="24"/>
  <c r="G1430" i="24"/>
  <c r="G1442" i="24"/>
  <c r="G1454" i="24"/>
  <c r="G1466" i="24"/>
  <c r="G1478" i="24"/>
  <c r="G1490" i="24"/>
  <c r="G1502" i="24"/>
  <c r="G1514" i="24"/>
  <c r="G1526" i="24"/>
  <c r="G1538" i="24"/>
  <c r="G1550" i="24"/>
  <c r="G1562" i="24"/>
  <c r="G1574" i="24"/>
  <c r="G1586" i="24"/>
  <c r="G1598" i="24"/>
  <c r="G1610" i="24"/>
  <c r="G1622" i="24"/>
  <c r="G1634" i="24"/>
  <c r="G150" i="24"/>
  <c r="G222" i="24"/>
  <c r="G294" i="24"/>
  <c r="G349" i="24"/>
  <c r="G397" i="24"/>
  <c r="G445" i="24"/>
  <c r="G493" i="24"/>
  <c r="G541" i="24"/>
  <c r="G589" i="24"/>
  <c r="G637" i="24"/>
  <c r="G685" i="24"/>
  <c r="G733" i="24"/>
  <c r="G781" i="24"/>
  <c r="G829" i="24"/>
  <c r="G877" i="24"/>
  <c r="G925" i="24"/>
  <c r="G973" i="24"/>
  <c r="G1021" i="24"/>
  <c r="G1036" i="24"/>
  <c r="G1048" i="24"/>
  <c r="G1060" i="24"/>
  <c r="G1072" i="24"/>
  <c r="G1084" i="24"/>
  <c r="G1096" i="24"/>
  <c r="G1108" i="24"/>
  <c r="G1120" i="24"/>
  <c r="G1132" i="24"/>
  <c r="G1144" i="24"/>
  <c r="G1156" i="24"/>
  <c r="G1168" i="24"/>
  <c r="G1180" i="24"/>
  <c r="G1192" i="24"/>
  <c r="G1204" i="24"/>
  <c r="G1216" i="24"/>
  <c r="G1228" i="24"/>
  <c r="G1240" i="24"/>
  <c r="G1252" i="24"/>
  <c r="G1264" i="24"/>
  <c r="G1276" i="24"/>
  <c r="G1288" i="24"/>
  <c r="G1300" i="24"/>
  <c r="G1312" i="24"/>
  <c r="G1324" i="24"/>
  <c r="G1336" i="24"/>
  <c r="G1348" i="24"/>
  <c r="G1360" i="24"/>
  <c r="G1372" i="24"/>
  <c r="G1384" i="24"/>
  <c r="G1396" i="24"/>
  <c r="G1408" i="24"/>
  <c r="G1420" i="24"/>
  <c r="G1432" i="24"/>
  <c r="G1444" i="24"/>
  <c r="G1456" i="24"/>
  <c r="G1468" i="24"/>
  <c r="G1480" i="24"/>
  <c r="G1492" i="24"/>
  <c r="G1504" i="24"/>
  <c r="G1516" i="24"/>
  <c r="G1528" i="24"/>
  <c r="G1540" i="24"/>
  <c r="G1552" i="24"/>
  <c r="G1564" i="24"/>
  <c r="G1576" i="24"/>
  <c r="G157" i="24"/>
  <c r="G229" i="24"/>
  <c r="G301" i="24"/>
  <c r="G353" i="24"/>
  <c r="G401" i="24"/>
  <c r="G449" i="24"/>
  <c r="G497" i="24"/>
  <c r="G545" i="24"/>
  <c r="G593" i="24"/>
  <c r="G641" i="24"/>
  <c r="G689" i="24"/>
  <c r="G737" i="24"/>
  <c r="G785" i="24"/>
  <c r="G833" i="24"/>
  <c r="G881" i="24"/>
  <c r="G929" i="24"/>
  <c r="G977" i="24"/>
  <c r="G1025" i="24"/>
  <c r="G1037" i="24"/>
  <c r="G1049" i="24"/>
  <c r="G1061" i="24"/>
  <c r="G1073" i="24"/>
  <c r="G1085" i="24"/>
  <c r="G1097" i="24"/>
  <c r="G1109" i="24"/>
  <c r="G1121" i="24"/>
  <c r="G1133" i="24"/>
  <c r="G1145" i="24"/>
  <c r="G1157" i="24"/>
  <c r="G1169" i="24"/>
  <c r="G1181" i="24"/>
  <c r="G1193" i="24"/>
  <c r="G1205" i="24"/>
  <c r="G1217" i="24"/>
  <c r="G1229" i="24"/>
  <c r="G1241" i="24"/>
  <c r="G1253" i="24"/>
  <c r="G1265" i="24"/>
  <c r="G1277" i="24"/>
  <c r="G1289" i="24"/>
  <c r="G1301" i="24"/>
  <c r="G1313" i="24"/>
  <c r="G1325" i="24"/>
  <c r="G1337" i="24"/>
  <c r="G1349" i="24"/>
  <c r="G1361" i="24"/>
  <c r="G1373" i="24"/>
  <c r="G1385" i="24"/>
  <c r="G1397" i="24"/>
  <c r="G1409" i="24"/>
  <c r="G1421" i="24"/>
  <c r="G1433" i="24"/>
  <c r="G1445" i="24"/>
  <c r="G1457" i="24"/>
  <c r="G1469" i="24"/>
  <c r="G1481" i="24"/>
  <c r="G1493" i="24"/>
  <c r="G1505" i="24"/>
  <c r="G1517" i="24"/>
  <c r="G1529" i="24"/>
  <c r="G1541" i="24"/>
  <c r="G1553" i="24"/>
  <c r="G1565" i="24"/>
  <c r="G1577" i="24"/>
  <c r="G1589" i="24"/>
  <c r="G1601" i="24"/>
  <c r="G1613" i="24"/>
  <c r="G1625" i="24"/>
  <c r="G1637" i="24"/>
  <c r="G1649" i="24"/>
  <c r="G1661" i="24"/>
  <c r="G1673" i="24"/>
  <c r="G1685" i="24"/>
  <c r="G1697" i="24"/>
  <c r="G1709" i="24"/>
  <c r="G1721" i="24"/>
  <c r="G1733" i="24"/>
  <c r="G1745" i="24"/>
  <c r="G1757" i="24"/>
  <c r="G1769" i="24"/>
  <c r="G162" i="24"/>
  <c r="G234" i="24"/>
  <c r="G306" i="24"/>
  <c r="G354" i="24"/>
  <c r="G402" i="24"/>
  <c r="G450" i="24"/>
  <c r="G498" i="24"/>
  <c r="G546" i="24"/>
  <c r="G594" i="24"/>
  <c r="G642" i="24"/>
  <c r="G690" i="24"/>
  <c r="G738" i="24"/>
  <c r="G786" i="24"/>
  <c r="G834" i="24"/>
  <c r="G882" i="24"/>
  <c r="G930" i="24"/>
  <c r="G978" i="24"/>
  <c r="G1026" i="24"/>
  <c r="G1038" i="24"/>
  <c r="G1050" i="24"/>
  <c r="G1062" i="24"/>
  <c r="G1074" i="24"/>
  <c r="G1086" i="24"/>
  <c r="G1098" i="24"/>
  <c r="G1110" i="24"/>
  <c r="G1122" i="24"/>
  <c r="G1134" i="24"/>
  <c r="G1146" i="24"/>
  <c r="G1158" i="24"/>
  <c r="G1170" i="24"/>
  <c r="G1182" i="24"/>
  <c r="G1194" i="24"/>
  <c r="G1206" i="24"/>
  <c r="G1218" i="24"/>
  <c r="G1230" i="24"/>
  <c r="G1242" i="24"/>
  <c r="G1254" i="24"/>
  <c r="G1266" i="24"/>
  <c r="G1278" i="24"/>
  <c r="G1290" i="24"/>
  <c r="G1302" i="24"/>
  <c r="G1314" i="24"/>
  <c r="G1326" i="24"/>
  <c r="G1338" i="24"/>
  <c r="G1350" i="24"/>
  <c r="G1362" i="24"/>
  <c r="G1374" i="24"/>
  <c r="G1386" i="24"/>
  <c r="G1398" i="24"/>
  <c r="G1410" i="24"/>
  <c r="G1422" i="24"/>
  <c r="G1434" i="24"/>
  <c r="G1446" i="24"/>
  <c r="G1458" i="24"/>
  <c r="G1470" i="24"/>
  <c r="G1482" i="24"/>
  <c r="G1494" i="24"/>
  <c r="G1506" i="24"/>
  <c r="G1518" i="24"/>
  <c r="G1530" i="24"/>
  <c r="G1542" i="24"/>
  <c r="G169" i="24"/>
  <c r="G241" i="24"/>
  <c r="G313" i="24"/>
  <c r="G361" i="24"/>
  <c r="G409" i="24"/>
  <c r="G457" i="24"/>
  <c r="G505" i="24"/>
  <c r="G553" i="24"/>
  <c r="G601" i="24"/>
  <c r="G649" i="24"/>
  <c r="G697" i="24"/>
  <c r="G745" i="24"/>
  <c r="G793" i="24"/>
  <c r="G841" i="24"/>
  <c r="G889" i="24"/>
  <c r="G937" i="24"/>
  <c r="G985" i="24"/>
  <c r="G1027" i="24"/>
  <c r="G1039" i="24"/>
  <c r="G1051" i="24"/>
  <c r="G1063" i="24"/>
  <c r="G1075" i="24"/>
  <c r="G1087" i="24"/>
  <c r="G1099" i="24"/>
  <c r="G1111" i="24"/>
  <c r="G1123" i="24"/>
  <c r="G1135" i="24"/>
  <c r="G1147" i="24"/>
  <c r="G1159" i="24"/>
  <c r="G1171" i="24"/>
  <c r="G1183" i="24"/>
  <c r="G1195" i="24"/>
  <c r="G1207" i="24"/>
  <c r="G1219" i="24"/>
  <c r="G1231" i="24"/>
  <c r="G1243" i="24"/>
  <c r="G1255" i="24"/>
  <c r="G1267" i="24"/>
  <c r="G1279" i="24"/>
  <c r="G1291" i="24"/>
  <c r="G1303" i="24"/>
  <c r="G1315" i="24"/>
  <c r="G1327" i="24"/>
  <c r="G1339" i="24"/>
  <c r="G1351" i="24"/>
  <c r="G1363" i="24"/>
  <c r="G1375" i="24"/>
  <c r="G1387" i="24"/>
  <c r="G1399" i="24"/>
  <c r="G1411" i="24"/>
  <c r="G1423" i="24"/>
  <c r="G1435" i="24"/>
  <c r="G1447" i="24"/>
  <c r="G1459" i="24"/>
  <c r="G1471" i="24"/>
  <c r="G1483" i="24"/>
  <c r="G1495" i="24"/>
  <c r="G1507" i="24"/>
  <c r="G1519" i="24"/>
  <c r="G1531" i="24"/>
  <c r="G1543" i="24"/>
  <c r="G186" i="24"/>
  <c r="G258" i="24"/>
  <c r="G325" i="24"/>
  <c r="G373" i="24"/>
  <c r="G421" i="24"/>
  <c r="G469" i="24"/>
  <c r="G517" i="24"/>
  <c r="G565" i="24"/>
  <c r="G613" i="24"/>
  <c r="G661" i="24"/>
  <c r="G709" i="24"/>
  <c r="G757" i="24"/>
  <c r="G805" i="24"/>
  <c r="G853" i="24"/>
  <c r="G901" i="24"/>
  <c r="G949" i="24"/>
  <c r="G997" i="24"/>
  <c r="G1030" i="24"/>
  <c r="G1042" i="24"/>
  <c r="G1054" i="24"/>
  <c r="G1066" i="24"/>
  <c r="G1078" i="24"/>
  <c r="G1090" i="24"/>
  <c r="G1102" i="24"/>
  <c r="G1114" i="24"/>
  <c r="G1126" i="24"/>
  <c r="G1138" i="24"/>
  <c r="G1150" i="24"/>
  <c r="G1162" i="24"/>
  <c r="G1174" i="24"/>
  <c r="G1186" i="24"/>
  <c r="G1198" i="24"/>
  <c r="G1210" i="24"/>
  <c r="G1222" i="24"/>
  <c r="G1234" i="24"/>
  <c r="G1246" i="24"/>
  <c r="G1258" i="24"/>
  <c r="G1270" i="24"/>
  <c r="G1282" i="24"/>
  <c r="G1294" i="24"/>
  <c r="G1306" i="24"/>
  <c r="G1318" i="24"/>
  <c r="G1330" i="24"/>
  <c r="G1342" i="24"/>
  <c r="G1354" i="24"/>
  <c r="G1366" i="24"/>
  <c r="G1378" i="24"/>
  <c r="G1390" i="24"/>
  <c r="G1402" i="24"/>
  <c r="G1882" i="24"/>
  <c r="G1870" i="24"/>
  <c r="G1858" i="24"/>
  <c r="G1846" i="24"/>
  <c r="G1834" i="24"/>
  <c r="G1821" i="24"/>
  <c r="G1808" i="24"/>
  <c r="G1794" i="24"/>
  <c r="G1780" i="24"/>
  <c r="G1763" i="24"/>
  <c r="G1748" i="24"/>
  <c r="G1732" i="24"/>
  <c r="G1715" i="24"/>
  <c r="G1700" i="24"/>
  <c r="G1684" i="24"/>
  <c r="G1667" i="24"/>
  <c r="G1652" i="24"/>
  <c r="G1636" i="24"/>
  <c r="G1617" i="24"/>
  <c r="G1600" i="24"/>
  <c r="G1581" i="24"/>
  <c r="G1559" i="24"/>
  <c r="G1535" i="24"/>
  <c r="G1509" i="24"/>
  <c r="G1479" i="24"/>
  <c r="G1450" i="24"/>
  <c r="G1424" i="24"/>
  <c r="G1389" i="24"/>
  <c r="G1353" i="24"/>
  <c r="G1317" i="24"/>
  <c r="G1281" i="24"/>
  <c r="G1245" i="24"/>
  <c r="G1209" i="24"/>
  <c r="G1173" i="24"/>
  <c r="G1137" i="24"/>
  <c r="G1101" i="24"/>
  <c r="G1065" i="24"/>
  <c r="G1029" i="24"/>
  <c r="G894" i="24"/>
  <c r="G750" i="24"/>
  <c r="G606" i="24"/>
  <c r="G462" i="24"/>
  <c r="G318" i="24"/>
  <c r="G1881" i="24"/>
  <c r="G1352" i="24"/>
  <c r="G1880" i="24"/>
  <c r="G1868" i="24"/>
  <c r="G1856" i="24"/>
  <c r="G1844" i="24"/>
  <c r="G1832" i="24"/>
  <c r="G1819" i="24"/>
  <c r="G1806" i="24"/>
  <c r="G1792" i="24"/>
  <c r="G1778" i="24"/>
  <c r="G1761" i="24"/>
  <c r="G1746" i="24"/>
  <c r="G1730" i="24"/>
  <c r="G1713" i="24"/>
  <c r="G1698" i="24"/>
  <c r="G1682" i="24"/>
  <c r="G1665" i="24"/>
  <c r="G1650" i="24"/>
  <c r="G1631" i="24"/>
  <c r="G1615" i="24"/>
  <c r="G1595" i="24"/>
  <c r="G1579" i="24"/>
  <c r="G1557" i="24"/>
  <c r="G1533" i="24"/>
  <c r="G1503" i="24"/>
  <c r="G1474" i="24"/>
  <c r="G1448" i="24"/>
  <c r="G1415" i="24"/>
  <c r="G1383" i="24"/>
  <c r="G1347" i="24"/>
  <c r="G1311" i="24"/>
  <c r="G1275" i="24"/>
  <c r="G1239" i="24"/>
  <c r="G1203" i="24"/>
  <c r="G1167" i="24"/>
  <c r="G1131" i="24"/>
  <c r="G1095" i="24"/>
  <c r="G1059" i="24"/>
  <c r="G1014" i="24"/>
  <c r="G870" i="24"/>
  <c r="G726" i="24"/>
  <c r="G582" i="24"/>
  <c r="G438" i="24"/>
  <c r="G289" i="24"/>
  <c r="G1845" i="24"/>
  <c r="G1807" i="24"/>
  <c r="G1762" i="24"/>
  <c r="G1714" i="24"/>
  <c r="G1651" i="24"/>
  <c r="G1534" i="24"/>
  <c r="G605" i="24"/>
  <c r="F6" i="21"/>
  <c r="P6" i="21" s="1"/>
  <c r="G1879" i="24"/>
  <c r="G1867" i="24"/>
  <c r="G1855" i="24"/>
  <c r="G1843" i="24"/>
  <c r="G1831" i="24"/>
  <c r="G1818" i="24"/>
  <c r="G1805" i="24"/>
  <c r="G1791" i="24"/>
  <c r="G1775" i="24"/>
  <c r="G1760" i="24"/>
  <c r="G1744" i="24"/>
  <c r="G1727" i="24"/>
  <c r="G1712" i="24"/>
  <c r="G1696" i="24"/>
  <c r="G1679" i="24"/>
  <c r="G1664" i="24"/>
  <c r="G1648" i="24"/>
  <c r="G1630" i="24"/>
  <c r="G1614" i="24"/>
  <c r="G1594" i="24"/>
  <c r="G1578" i="24"/>
  <c r="G1556" i="24"/>
  <c r="G1532" i="24"/>
  <c r="G1499" i="24"/>
  <c r="G1473" i="24"/>
  <c r="G1443" i="24"/>
  <c r="G1414" i="24"/>
  <c r="G1379" i="24"/>
  <c r="G1343" i="24"/>
  <c r="G1307" i="24"/>
  <c r="G1271" i="24"/>
  <c r="G1235" i="24"/>
  <c r="G1199" i="24"/>
  <c r="G1163" i="24"/>
  <c r="G1127" i="24"/>
  <c r="G1091" i="24"/>
  <c r="G1055" i="24"/>
  <c r="G1001" i="24"/>
  <c r="G857" i="24"/>
  <c r="G713" i="24"/>
  <c r="G569" i="24"/>
  <c r="G425" i="24"/>
  <c r="G265" i="24"/>
  <c r="G317" i="24"/>
  <c r="G1878" i="24"/>
  <c r="G1866" i="24"/>
  <c r="G1854" i="24"/>
  <c r="G1842" i="24"/>
  <c r="G1830" i="24"/>
  <c r="G1817" i="24"/>
  <c r="G1804" i="24"/>
  <c r="G1790" i="24"/>
  <c r="G1774" i="24"/>
  <c r="G1759" i="24"/>
  <c r="G1743" i="24"/>
  <c r="G1726" i="24"/>
  <c r="G1711" i="24"/>
  <c r="G1695" i="24"/>
  <c r="G1678" i="24"/>
  <c r="G1663" i="24"/>
  <c r="G1647" i="24"/>
  <c r="G1629" i="24"/>
  <c r="G1612" i="24"/>
  <c r="G1593" i="24"/>
  <c r="G1575" i="24"/>
  <c r="G1555" i="24"/>
  <c r="G1527" i="24"/>
  <c r="G1498" i="24"/>
  <c r="G1472" i="24"/>
  <c r="G1439" i="24"/>
  <c r="G1413" i="24"/>
  <c r="G1377" i="24"/>
  <c r="G1341" i="24"/>
  <c r="G1305" i="24"/>
  <c r="G1269" i="24"/>
  <c r="G1233" i="24"/>
  <c r="G1197" i="24"/>
  <c r="G1161" i="24"/>
  <c r="G1125" i="24"/>
  <c r="G1089" i="24"/>
  <c r="G1053" i="24"/>
  <c r="G990" i="24"/>
  <c r="G846" i="24"/>
  <c r="G702" i="24"/>
  <c r="G558" i="24"/>
  <c r="G414" i="24"/>
  <c r="G253" i="24"/>
  <c r="G1857" i="24"/>
  <c r="G1820" i="24"/>
  <c r="G1793" i="24"/>
  <c r="G1747" i="24"/>
  <c r="G1699" i="24"/>
  <c r="G1666" i="24"/>
  <c r="G1635" i="24"/>
  <c r="G1599" i="24"/>
  <c r="G1580" i="24"/>
  <c r="G1558" i="24"/>
  <c r="G1508" i="24"/>
  <c r="G1449" i="24"/>
  <c r="G1419" i="24"/>
  <c r="G1388" i="24"/>
  <c r="G1316" i="24"/>
  <c r="G1280" i="24"/>
  <c r="G1244" i="24"/>
  <c r="G1208" i="24"/>
  <c r="G1172" i="24"/>
  <c r="G1136" i="24"/>
  <c r="G1100" i="24"/>
  <c r="G1064" i="24"/>
  <c r="G1028" i="24"/>
  <c r="G1877" i="24"/>
  <c r="G1865" i="24"/>
  <c r="G1853" i="24"/>
  <c r="G1841" i="24"/>
  <c r="G1829" i="24"/>
  <c r="G1816" i="24"/>
  <c r="G1803" i="24"/>
  <c r="G1787" i="24"/>
  <c r="G1773" i="24"/>
  <c r="G1758" i="24"/>
  <c r="G1742" i="24"/>
  <c r="G1725" i="24"/>
  <c r="G1710" i="24"/>
  <c r="G1694" i="24"/>
  <c r="G1677" i="24"/>
  <c r="G1662" i="24"/>
  <c r="G1646" i="24"/>
  <c r="G1628" i="24"/>
  <c r="G1611" i="24"/>
  <c r="G1592" i="24"/>
  <c r="G1571" i="24"/>
  <c r="G1554" i="24"/>
  <c r="G1523" i="24"/>
  <c r="G1497" i="24"/>
  <c r="G1467" i="24"/>
  <c r="G1438" i="24"/>
  <c r="G1412" i="24"/>
  <c r="G1376" i="24"/>
  <c r="G1340" i="24"/>
  <c r="G1304" i="24"/>
  <c r="G1268" i="24"/>
  <c r="G1232" i="24"/>
  <c r="G1196" i="24"/>
  <c r="G1160" i="24"/>
  <c r="G1124" i="24"/>
  <c r="G1088" i="24"/>
  <c r="G1052" i="24"/>
  <c r="G989" i="24"/>
  <c r="G845" i="24"/>
  <c r="G701" i="24"/>
  <c r="G557" i="24"/>
  <c r="G413" i="24"/>
  <c r="G246" i="24"/>
  <c r="G1869" i="24"/>
  <c r="G1833" i="24"/>
  <c r="G1779" i="24"/>
  <c r="G1731" i="24"/>
  <c r="G1683" i="24"/>
  <c r="G1616" i="24"/>
  <c r="G1475" i="24"/>
  <c r="G893" i="24"/>
  <c r="G1876" i="24"/>
  <c r="G1864" i="24"/>
  <c r="G1852" i="24"/>
  <c r="G1840" i="24"/>
  <c r="G1828" i="24"/>
  <c r="G1815" i="24"/>
  <c r="G1802" i="24"/>
  <c r="G1786" i="24"/>
  <c r="G1772" i="24"/>
  <c r="G1756" i="24"/>
  <c r="G1739" i="24"/>
  <c r="G1724" i="24"/>
  <c r="G1708" i="24"/>
  <c r="G1691" i="24"/>
  <c r="G1676" i="24"/>
  <c r="G1660" i="24"/>
  <c r="G1643" i="24"/>
  <c r="G1627" i="24"/>
  <c r="G1607" i="24"/>
  <c r="G1591" i="24"/>
  <c r="G1570" i="24"/>
  <c r="G1551" i="24"/>
  <c r="G1522" i="24"/>
  <c r="G1496" i="24"/>
  <c r="G1463" i="24"/>
  <c r="G1437" i="24"/>
  <c r="G1407" i="24"/>
  <c r="G1371" i="24"/>
  <c r="G1335" i="24"/>
  <c r="G1299" i="24"/>
  <c r="G1263" i="24"/>
  <c r="G1227" i="24"/>
  <c r="G1191" i="24"/>
  <c r="G1155" i="24"/>
  <c r="G1119" i="24"/>
  <c r="G1083" i="24"/>
  <c r="G1047" i="24"/>
  <c r="G966" i="24"/>
  <c r="G822" i="24"/>
  <c r="G678" i="24"/>
  <c r="G534" i="24"/>
  <c r="G390" i="24"/>
  <c r="G217" i="24"/>
  <c r="G1875" i="24"/>
  <c r="G1863" i="24"/>
  <c r="G1851" i="24"/>
  <c r="G1839" i="24"/>
  <c r="G1827" i="24"/>
  <c r="G1814" i="24"/>
  <c r="G1799" i="24"/>
  <c r="G1785" i="24"/>
  <c r="G1771" i="24"/>
  <c r="G1755" i="24"/>
  <c r="G1738" i="24"/>
  <c r="G1723" i="24"/>
  <c r="G1707" i="24"/>
  <c r="G1690" i="24"/>
  <c r="G1675" i="24"/>
  <c r="G1659" i="24"/>
  <c r="G1642" i="24"/>
  <c r="G1626" i="24"/>
  <c r="G1606" i="24"/>
  <c r="G1590" i="24"/>
  <c r="G1569" i="24"/>
  <c r="G1547" i="24"/>
  <c r="G1521" i="24"/>
  <c r="G1491" i="24"/>
  <c r="G1462" i="24"/>
  <c r="G1436" i="24"/>
  <c r="G1403" i="24"/>
  <c r="G1367" i="24"/>
  <c r="G1331" i="24"/>
  <c r="G1295" i="24"/>
  <c r="G1259" i="24"/>
  <c r="G1223" i="24"/>
  <c r="G1187" i="24"/>
  <c r="G1151" i="24"/>
  <c r="G1115" i="24"/>
  <c r="G1079" i="24"/>
  <c r="G1043" i="24"/>
  <c r="G953" i="24"/>
  <c r="G809" i="24"/>
  <c r="G665" i="24"/>
  <c r="G521" i="24"/>
  <c r="G377" i="24"/>
  <c r="G193" i="24"/>
  <c r="F17" i="21"/>
  <c r="P17" i="21" s="1"/>
  <c r="F11" i="21"/>
  <c r="H11" i="21" s="1"/>
  <c r="G1874" i="24"/>
  <c r="G1862" i="24"/>
  <c r="G1850" i="24"/>
  <c r="G1838" i="24"/>
  <c r="G1826" i="24"/>
  <c r="G1813" i="24"/>
  <c r="G1798" i="24"/>
  <c r="G1784" i="24"/>
  <c r="G1770" i="24"/>
  <c r="G1754" i="24"/>
  <c r="G1737" i="24"/>
  <c r="G1722" i="24"/>
  <c r="G1706" i="24"/>
  <c r="G1689" i="24"/>
  <c r="G1674" i="24"/>
  <c r="G1658" i="24"/>
  <c r="G1641" i="24"/>
  <c r="G1624" i="24"/>
  <c r="G1605" i="24"/>
  <c r="G1588" i="24"/>
  <c r="G1568" i="24"/>
  <c r="G1546" i="24"/>
  <c r="G1520" i="24"/>
  <c r="G1487" i="24"/>
  <c r="G1461" i="24"/>
  <c r="G1431" i="24"/>
  <c r="G1401" i="24"/>
  <c r="G1365" i="24"/>
  <c r="G1329" i="24"/>
  <c r="G1293" i="24"/>
  <c r="G1257" i="24"/>
  <c r="G1221" i="24"/>
  <c r="G1185" i="24"/>
  <c r="G1149" i="24"/>
  <c r="G1113" i="24"/>
  <c r="G1077" i="24"/>
  <c r="G1041" i="24"/>
  <c r="G942" i="24"/>
  <c r="G798" i="24"/>
  <c r="G654" i="24"/>
  <c r="G510" i="24"/>
  <c r="G366" i="24"/>
  <c r="G181" i="24"/>
  <c r="G749" i="24"/>
  <c r="G1873" i="24"/>
  <c r="G1861" i="24"/>
  <c r="G1849" i="24"/>
  <c r="G1837" i="24"/>
  <c r="G1825" i="24"/>
  <c r="G1811" i="24"/>
  <c r="G1797" i="24"/>
  <c r="G1783" i="24"/>
  <c r="G1768" i="24"/>
  <c r="G1751" i="24"/>
  <c r="G1736" i="24"/>
  <c r="G1720" i="24"/>
  <c r="G1703" i="24"/>
  <c r="G1688" i="24"/>
  <c r="G1672" i="24"/>
  <c r="G1655" i="24"/>
  <c r="G1640" i="24"/>
  <c r="G1623" i="24"/>
  <c r="G1604" i="24"/>
  <c r="G1587" i="24"/>
  <c r="G1567" i="24"/>
  <c r="G1545" i="24"/>
  <c r="G1515" i="24"/>
  <c r="G1486" i="24"/>
  <c r="G1460" i="24"/>
  <c r="G1427" i="24"/>
  <c r="G1400" i="24"/>
  <c r="G1364" i="24"/>
  <c r="G1328" i="24"/>
  <c r="G1292" i="24"/>
  <c r="G1256" i="24"/>
  <c r="G1220" i="24"/>
  <c r="G1184" i="24"/>
  <c r="G1148" i="24"/>
  <c r="G1112" i="24"/>
  <c r="G1076" i="24"/>
  <c r="G1040" i="24"/>
  <c r="G941" i="24"/>
  <c r="G797" i="24"/>
  <c r="G653" i="24"/>
  <c r="G509" i="24"/>
  <c r="G365" i="24"/>
  <c r="G174" i="24"/>
  <c r="G1872" i="24"/>
  <c r="G1860" i="24"/>
  <c r="G1848" i="24"/>
  <c r="G1836" i="24"/>
  <c r="G1823" i="24"/>
  <c r="G1810" i="24"/>
  <c r="G1796" i="24"/>
  <c r="G1782" i="24"/>
  <c r="G1767" i="24"/>
  <c r="G1750" i="24"/>
  <c r="G1735" i="24"/>
  <c r="G1719" i="24"/>
  <c r="G1702" i="24"/>
  <c r="G1687" i="24"/>
  <c r="G1671" i="24"/>
  <c r="G1654" i="24"/>
  <c r="G1639" i="24"/>
  <c r="G1619" i="24"/>
  <c r="G1603" i="24"/>
  <c r="G1583" i="24"/>
  <c r="G1566" i="24"/>
  <c r="G1544" i="24"/>
  <c r="G1511" i="24"/>
  <c r="G1485" i="24"/>
  <c r="G1455" i="24"/>
  <c r="G1426" i="24"/>
  <c r="G1395" i="24"/>
  <c r="G1359" i="24"/>
  <c r="G1323" i="24"/>
  <c r="G1287" i="24"/>
  <c r="G1251" i="24"/>
  <c r="G1215" i="24"/>
  <c r="G1179" i="24"/>
  <c r="G1143" i="24"/>
  <c r="G1107" i="24"/>
  <c r="G1071" i="24"/>
  <c r="G1035" i="24"/>
  <c r="G918" i="24"/>
  <c r="G774" i="24"/>
  <c r="G630" i="24"/>
  <c r="G486" i="24"/>
  <c r="G342" i="24"/>
  <c r="G145" i="24"/>
  <c r="G5" i="24"/>
  <c r="F7" i="21"/>
  <c r="F15" i="21"/>
  <c r="F9" i="21"/>
  <c r="F14" i="21"/>
  <c r="F8" i="21"/>
  <c r="F19" i="21"/>
  <c r="F13" i="21"/>
  <c r="F18" i="21"/>
  <c r="F12" i="21"/>
  <c r="F20" i="21"/>
  <c r="F16" i="21"/>
  <c r="F10" i="21"/>
  <c r="J9" i="20"/>
  <c r="F26" i="19"/>
  <c r="F28" i="19" s="1"/>
  <c r="I26" i="19"/>
  <c r="I28" i="19" s="1"/>
  <c r="E26" i="19"/>
  <c r="E28" i="19" s="1"/>
  <c r="H26" i="19"/>
  <c r="H28" i="19" s="1"/>
  <c r="G26" i="19"/>
  <c r="G28" i="19" s="1"/>
  <c r="B27" i="19"/>
  <c r="B19" i="19"/>
  <c r="B20" i="19"/>
  <c r="B21" i="19"/>
  <c r="B22" i="19"/>
  <c r="B23" i="19"/>
  <c r="B24" i="19"/>
  <c r="B25" i="19"/>
  <c r="B18" i="19"/>
  <c r="I12" i="19"/>
  <c r="H12" i="19"/>
  <c r="G12" i="19"/>
  <c r="F12" i="19"/>
  <c r="I11" i="19"/>
  <c r="H11" i="19"/>
  <c r="G11" i="19"/>
  <c r="F11" i="19"/>
  <c r="E12" i="19"/>
  <c r="E11" i="19"/>
  <c r="B12" i="19"/>
  <c r="B11" i="19"/>
  <c r="B7" i="19"/>
  <c r="F6" i="19"/>
  <c r="G6" i="19"/>
  <c r="H6" i="19"/>
  <c r="I6" i="19"/>
  <c r="F7" i="19"/>
  <c r="G7" i="19"/>
  <c r="H7" i="19"/>
  <c r="I7" i="19"/>
  <c r="E7" i="19"/>
  <c r="E6" i="19"/>
  <c r="B6" i="19"/>
  <c r="F5" i="19"/>
  <c r="G5" i="19"/>
  <c r="H5" i="19"/>
  <c r="I5" i="19"/>
  <c r="E5" i="19"/>
  <c r="B5" i="19"/>
  <c r="F4" i="19"/>
  <c r="G4" i="19"/>
  <c r="H4" i="19"/>
  <c r="I4" i="19"/>
  <c r="E4" i="19"/>
  <c r="B4" i="19"/>
  <c r="C75" i="6"/>
  <c r="D32" i="17" s="1"/>
  <c r="D75" i="6"/>
  <c r="E35" i="17" s="1"/>
  <c r="E75" i="6"/>
  <c r="F35" i="17" s="1"/>
  <c r="F75" i="6"/>
  <c r="G39" i="17" s="1"/>
  <c r="G75" i="6"/>
  <c r="H36" i="17" s="1"/>
  <c r="H75" i="6"/>
  <c r="I32" i="17" s="1"/>
  <c r="I75" i="6"/>
  <c r="J36" i="17" s="1"/>
  <c r="J75" i="6"/>
  <c r="K37" i="17" s="1"/>
  <c r="K75" i="6"/>
  <c r="L37" i="17" s="1"/>
  <c r="B75" i="6"/>
  <c r="C36" i="17" s="1"/>
  <c r="D25" i="17"/>
  <c r="E25" i="17"/>
  <c r="F25" i="17"/>
  <c r="G25" i="17"/>
  <c r="H25" i="17"/>
  <c r="I25" i="17"/>
  <c r="J25" i="17"/>
  <c r="K25" i="17"/>
  <c r="L25" i="17"/>
  <c r="D26" i="17"/>
  <c r="E26" i="17"/>
  <c r="F26" i="17"/>
  <c r="G26" i="17"/>
  <c r="H26" i="17"/>
  <c r="I26" i="17"/>
  <c r="J26" i="17"/>
  <c r="K26" i="17"/>
  <c r="L26" i="17"/>
  <c r="D27" i="17"/>
  <c r="E27" i="17"/>
  <c r="F27" i="17"/>
  <c r="G27" i="17"/>
  <c r="H27" i="17"/>
  <c r="I27" i="17"/>
  <c r="J27" i="17"/>
  <c r="K27" i="17"/>
  <c r="L27" i="17"/>
  <c r="D28" i="17"/>
  <c r="E28" i="17"/>
  <c r="F28" i="17"/>
  <c r="G28" i="17"/>
  <c r="H28" i="17"/>
  <c r="I28" i="17"/>
  <c r="J28" i="17"/>
  <c r="K28" i="17"/>
  <c r="L28" i="17"/>
  <c r="D29" i="17"/>
  <c r="E29" i="17"/>
  <c r="F29" i="17"/>
  <c r="G29" i="17"/>
  <c r="H29" i="17"/>
  <c r="I29" i="17"/>
  <c r="J29" i="17"/>
  <c r="K29" i="17"/>
  <c r="L29" i="17"/>
  <c r="C25" i="17"/>
  <c r="C26" i="17"/>
  <c r="C27" i="17"/>
  <c r="C28" i="17"/>
  <c r="C29" i="17"/>
  <c r="B26" i="17"/>
  <c r="B27" i="17"/>
  <c r="B28" i="17"/>
  <c r="B29" i="17"/>
  <c r="B31" i="17"/>
  <c r="B32" i="17"/>
  <c r="B33" i="17"/>
  <c r="B34" i="17"/>
  <c r="B35" i="17"/>
  <c r="B36" i="17"/>
  <c r="B37" i="17"/>
  <c r="B25" i="17"/>
  <c r="D24" i="17"/>
  <c r="E24" i="17"/>
  <c r="F24" i="17"/>
  <c r="G24" i="17"/>
  <c r="H24" i="17"/>
  <c r="I24" i="17"/>
  <c r="J24" i="17"/>
  <c r="K24" i="17"/>
  <c r="L24" i="17"/>
  <c r="C24" i="17"/>
  <c r="B22" i="17"/>
  <c r="B20" i="17"/>
  <c r="C32" i="6"/>
  <c r="D20" i="17" s="1"/>
  <c r="D32" i="6"/>
  <c r="E20" i="17" s="1"/>
  <c r="E32" i="6"/>
  <c r="F20" i="17" s="1"/>
  <c r="F32" i="6"/>
  <c r="G20" i="17" s="1"/>
  <c r="G32" i="6"/>
  <c r="H20" i="17" s="1"/>
  <c r="H32" i="6"/>
  <c r="I20" i="17" s="1"/>
  <c r="I32" i="6"/>
  <c r="J20" i="17" s="1"/>
  <c r="J32" i="6"/>
  <c r="K20" i="17" s="1"/>
  <c r="K32" i="6"/>
  <c r="B32" i="6"/>
  <c r="C20" i="17" s="1"/>
  <c r="C6" i="17"/>
  <c r="D6" i="17"/>
  <c r="E6" i="17"/>
  <c r="F6" i="17"/>
  <c r="G6" i="17"/>
  <c r="H6" i="17"/>
  <c r="I6" i="17"/>
  <c r="J6" i="17"/>
  <c r="K6" i="17"/>
  <c r="L6" i="17"/>
  <c r="C7" i="17"/>
  <c r="D7" i="17"/>
  <c r="E7" i="17"/>
  <c r="F7" i="17"/>
  <c r="G7" i="17"/>
  <c r="H7" i="17"/>
  <c r="I7" i="17"/>
  <c r="J7" i="17"/>
  <c r="K7" i="17"/>
  <c r="L7" i="17"/>
  <c r="C8" i="17"/>
  <c r="D8" i="17"/>
  <c r="E8" i="17"/>
  <c r="F8" i="17"/>
  <c r="G8" i="17"/>
  <c r="H8" i="17"/>
  <c r="I8" i="17"/>
  <c r="J8" i="17"/>
  <c r="K8" i="17"/>
  <c r="L8" i="17"/>
  <c r="C9" i="17"/>
  <c r="D9" i="17"/>
  <c r="E9" i="17"/>
  <c r="F9" i="17"/>
  <c r="G9" i="17"/>
  <c r="H9" i="17"/>
  <c r="I9" i="17"/>
  <c r="J9" i="17"/>
  <c r="K9" i="17"/>
  <c r="L9" i="17"/>
  <c r="C10" i="17"/>
  <c r="D10" i="17"/>
  <c r="E10" i="17"/>
  <c r="F10" i="17"/>
  <c r="G10" i="17"/>
  <c r="H10" i="17"/>
  <c r="I10" i="17"/>
  <c r="J10" i="17"/>
  <c r="K10" i="17"/>
  <c r="L10" i="17"/>
  <c r="C11" i="17"/>
  <c r="D11" i="17"/>
  <c r="E11" i="17"/>
  <c r="F11" i="17"/>
  <c r="G11" i="17"/>
  <c r="H11" i="17"/>
  <c r="I11" i="17"/>
  <c r="J11" i="17"/>
  <c r="K11" i="17"/>
  <c r="L11" i="17"/>
  <c r="C12" i="17"/>
  <c r="D12" i="17"/>
  <c r="E12" i="17"/>
  <c r="F12" i="17"/>
  <c r="G12" i="17"/>
  <c r="H12" i="17"/>
  <c r="I12" i="17"/>
  <c r="J12" i="17"/>
  <c r="K12" i="17"/>
  <c r="L12" i="17"/>
  <c r="C13" i="17"/>
  <c r="D13" i="17"/>
  <c r="E13" i="17"/>
  <c r="F13" i="17"/>
  <c r="G13" i="17"/>
  <c r="H13" i="17"/>
  <c r="I13" i="17"/>
  <c r="J13" i="17"/>
  <c r="K13" i="17"/>
  <c r="L13" i="17"/>
  <c r="C14" i="17"/>
  <c r="D14" i="17"/>
  <c r="E14" i="17"/>
  <c r="F14" i="17"/>
  <c r="G14" i="17"/>
  <c r="H14" i="17"/>
  <c r="I14" i="17"/>
  <c r="J14" i="17"/>
  <c r="K14" i="17"/>
  <c r="L14" i="17"/>
  <c r="C15" i="17"/>
  <c r="D15" i="17"/>
  <c r="E15" i="17"/>
  <c r="F15" i="17"/>
  <c r="G15" i="17"/>
  <c r="H15" i="17"/>
  <c r="I15" i="17"/>
  <c r="J15" i="17"/>
  <c r="K15" i="17"/>
  <c r="L15" i="17"/>
  <c r="C16" i="17"/>
  <c r="D16" i="17"/>
  <c r="E16" i="17"/>
  <c r="F16" i="17"/>
  <c r="G16" i="17"/>
  <c r="H16" i="17"/>
  <c r="I16" i="17"/>
  <c r="J16" i="17"/>
  <c r="K16" i="17"/>
  <c r="L16" i="17"/>
  <c r="C17" i="17"/>
  <c r="D17" i="17"/>
  <c r="E17" i="17"/>
  <c r="F17" i="17"/>
  <c r="G17" i="17"/>
  <c r="H17" i="17"/>
  <c r="I17" i="17"/>
  <c r="J17" i="17"/>
  <c r="K17" i="17"/>
  <c r="L17" i="17"/>
  <c r="C18" i="17"/>
  <c r="D18" i="17"/>
  <c r="E18" i="17"/>
  <c r="F18" i="17"/>
  <c r="G18" i="17"/>
  <c r="H18" i="17"/>
  <c r="I18" i="17"/>
  <c r="J18" i="17"/>
  <c r="K18" i="17"/>
  <c r="L18" i="17"/>
  <c r="C19" i="17"/>
  <c r="D19" i="17"/>
  <c r="E19" i="17"/>
  <c r="F19" i="17"/>
  <c r="G19" i="17"/>
  <c r="H19" i="17"/>
  <c r="I19" i="17"/>
  <c r="J19" i="17"/>
  <c r="K19" i="17"/>
  <c r="L19" i="17"/>
  <c r="D5" i="17"/>
  <c r="E5" i="17"/>
  <c r="F5" i="17"/>
  <c r="G5" i="17"/>
  <c r="H5" i="17"/>
  <c r="I5" i="17"/>
  <c r="J5" i="17"/>
  <c r="K5" i="17"/>
  <c r="L5" i="17"/>
  <c r="C5" i="17"/>
  <c r="B6" i="17"/>
  <c r="B7" i="17"/>
  <c r="B8" i="17"/>
  <c r="B9" i="17"/>
  <c r="B10" i="17"/>
  <c r="B11" i="17"/>
  <c r="B12" i="17"/>
  <c r="B13" i="17"/>
  <c r="B14" i="17"/>
  <c r="B15" i="17"/>
  <c r="B16" i="17"/>
  <c r="B17" i="17"/>
  <c r="B18" i="17"/>
  <c r="B19" i="17"/>
  <c r="B5" i="17"/>
  <c r="L4" i="17"/>
  <c r="D4" i="17"/>
  <c r="E4" i="17"/>
  <c r="F4" i="17"/>
  <c r="G4" i="17"/>
  <c r="H4" i="17"/>
  <c r="I4" i="17"/>
  <c r="J4" i="17"/>
  <c r="K4" i="17"/>
  <c r="C4" i="17"/>
  <c r="B2" i="17"/>
  <c r="G5" i="16"/>
  <c r="G7" i="16" s="1"/>
  <c r="M24" i="13" s="1"/>
  <c r="H14" i="13"/>
  <c r="H13" i="13"/>
  <c r="H12" i="13"/>
  <c r="H11" i="13"/>
  <c r="H10" i="13"/>
  <c r="C33" i="13" s="1"/>
  <c r="G14" i="13"/>
  <c r="G13" i="13"/>
  <c r="G12" i="13"/>
  <c r="G11" i="13"/>
  <c r="G10" i="13"/>
  <c r="C32" i="13" s="1"/>
  <c r="B13" i="13"/>
  <c r="B12" i="13"/>
  <c r="B11" i="13"/>
  <c r="B10" i="13"/>
  <c r="M7" i="14"/>
  <c r="L10" i="13" s="1"/>
  <c r="E39" i="17" l="1"/>
  <c r="K81" i="26"/>
  <c r="D58" i="27"/>
  <c r="G72" i="27"/>
  <c r="C58" i="27"/>
  <c r="G58" i="27"/>
  <c r="D72" i="27"/>
  <c r="H58" i="27"/>
  <c r="F72" i="27"/>
  <c r="I58" i="27"/>
  <c r="I72" i="27"/>
  <c r="C64" i="27"/>
  <c r="F58" i="27"/>
  <c r="C72" i="27"/>
  <c r="H72" i="27"/>
  <c r="H6" i="21"/>
  <c r="O6" i="21" s="1"/>
  <c r="K65" i="26"/>
  <c r="E81" i="26"/>
  <c r="E83" i="26" s="1"/>
  <c r="H17" i="21"/>
  <c r="O17" i="21" s="1"/>
  <c r="F65" i="26"/>
  <c r="E65" i="26"/>
  <c r="C81" i="26"/>
  <c r="C83" i="26" s="1"/>
  <c r="I65" i="26"/>
  <c r="C65" i="26"/>
  <c r="D65" i="26"/>
  <c r="G65" i="26"/>
  <c r="G83" i="26"/>
  <c r="J65" i="26"/>
  <c r="D81" i="26"/>
  <c r="D83" i="26" s="1"/>
  <c r="I79" i="26"/>
  <c r="I81" i="26" s="1"/>
  <c r="I83" i="26" s="1"/>
  <c r="H65" i="26"/>
  <c r="J83" i="26"/>
  <c r="F81" i="26"/>
  <c r="F83" i="26" s="1"/>
  <c r="K83" i="26"/>
  <c r="H79" i="26"/>
  <c r="H81" i="26" s="1"/>
  <c r="H77" i="26"/>
  <c r="O10" i="13"/>
  <c r="C34" i="17"/>
  <c r="O9" i="13"/>
  <c r="D34" i="17"/>
  <c r="L33" i="17"/>
  <c r="F31" i="17"/>
  <c r="J31" i="17"/>
  <c r="C31" i="17"/>
  <c r="I31" i="17"/>
  <c r="P11" i="21"/>
  <c r="F34" i="17"/>
  <c r="I37" i="17"/>
  <c r="I34" i="17"/>
  <c r="F37" i="17"/>
  <c r="I36" i="17"/>
  <c r="J11" i="13"/>
  <c r="M11" i="13" s="1"/>
  <c r="L20" i="17"/>
  <c r="E4" i="20"/>
  <c r="I33" i="17"/>
  <c r="F36" i="17"/>
  <c r="J12" i="13"/>
  <c r="M12" i="13" s="1"/>
  <c r="L32" i="17"/>
  <c r="D36" i="17"/>
  <c r="J13" i="13"/>
  <c r="M13" i="13" s="1"/>
  <c r="K39" i="17"/>
  <c r="K32" i="17"/>
  <c r="L35" i="17"/>
  <c r="J14" i="13"/>
  <c r="M14" i="13" s="1"/>
  <c r="I39" i="17"/>
  <c r="J32" i="17"/>
  <c r="I35" i="17"/>
  <c r="J37" i="17"/>
  <c r="F39" i="17"/>
  <c r="N6" i="21"/>
  <c r="K24" i="24"/>
  <c r="L24" i="24" s="1"/>
  <c r="M24" i="24" s="1"/>
  <c r="K23" i="24"/>
  <c r="L23" i="24" s="1"/>
  <c r="M23" i="24" s="1"/>
  <c r="K22" i="24"/>
  <c r="L22" i="24" s="1"/>
  <c r="M22" i="24" s="1"/>
  <c r="M17" i="24"/>
  <c r="M16" i="24"/>
  <c r="M15" i="24"/>
  <c r="M14" i="24"/>
  <c r="H13" i="21"/>
  <c r="P13" i="21"/>
  <c r="H9" i="21"/>
  <c r="P9" i="21"/>
  <c r="H15" i="21"/>
  <c r="P15" i="21"/>
  <c r="H8" i="21"/>
  <c r="P8" i="21"/>
  <c r="H14" i="21"/>
  <c r="P14" i="21"/>
  <c r="H7" i="21"/>
  <c r="P7" i="21"/>
  <c r="H18" i="21"/>
  <c r="P18" i="21"/>
  <c r="H19" i="21"/>
  <c r="P19" i="21"/>
  <c r="O11" i="21"/>
  <c r="N11" i="21"/>
  <c r="H16" i="21"/>
  <c r="P16" i="21"/>
  <c r="H10" i="21"/>
  <c r="P10" i="21"/>
  <c r="H20" i="21"/>
  <c r="P20" i="21"/>
  <c r="H12" i="21"/>
  <c r="P12" i="21"/>
  <c r="G34" i="17"/>
  <c r="D33" i="17"/>
  <c r="G36" i="17"/>
  <c r="D35" i="17"/>
  <c r="D39" i="17"/>
  <c r="E34" i="17"/>
  <c r="H31" i="17"/>
  <c r="H37" i="17"/>
  <c r="E36" i="17"/>
  <c r="C39" i="17"/>
  <c r="C33" i="17"/>
  <c r="K33" i="17"/>
  <c r="H32" i="17"/>
  <c r="E31" i="17"/>
  <c r="E37" i="17"/>
  <c r="K35" i="17"/>
  <c r="L39" i="17"/>
  <c r="C32" i="17"/>
  <c r="J33" i="17"/>
  <c r="G32" i="17"/>
  <c r="D31" i="17"/>
  <c r="D37" i="17"/>
  <c r="J35" i="17"/>
  <c r="L34" i="17"/>
  <c r="F32" i="17"/>
  <c r="C35" i="17"/>
  <c r="L36" i="17"/>
  <c r="G37" i="17"/>
  <c r="J39" i="17"/>
  <c r="K34" i="17"/>
  <c r="H33" i="17"/>
  <c r="E32" i="17"/>
  <c r="C37" i="17"/>
  <c r="K36" i="17"/>
  <c r="H35" i="17"/>
  <c r="J34" i="17"/>
  <c r="G33" i="17"/>
  <c r="G35" i="17"/>
  <c r="H39" i="17"/>
  <c r="F33" i="17"/>
  <c r="L31" i="17"/>
  <c r="G31" i="17"/>
  <c r="H34" i="17"/>
  <c r="E33" i="17"/>
  <c r="K31" i="17"/>
  <c r="E8" i="19"/>
  <c r="F13" i="19"/>
  <c r="H13" i="19"/>
  <c r="H8" i="19"/>
  <c r="G13" i="19"/>
  <c r="G8" i="19"/>
  <c r="F8" i="19"/>
  <c r="I8" i="19"/>
  <c r="E13" i="19"/>
  <c r="I13" i="19"/>
  <c r="M5" i="14"/>
  <c r="M4" i="14"/>
  <c r="J4" i="14" s="1"/>
  <c r="J11" i="14" s="1"/>
  <c r="N17" i="21" l="1"/>
  <c r="H83" i="26"/>
  <c r="P27" i="21"/>
  <c r="O12" i="13"/>
  <c r="P22" i="21"/>
  <c r="P26" i="21"/>
  <c r="P25" i="21"/>
  <c r="P34" i="21" s="1"/>
  <c r="P24" i="21"/>
  <c r="F4" i="20"/>
  <c r="E6" i="20"/>
  <c r="P23" i="21"/>
  <c r="O15" i="21"/>
  <c r="N15" i="21"/>
  <c r="O7" i="21"/>
  <c r="N7" i="21"/>
  <c r="N10" i="21"/>
  <c r="O10" i="21"/>
  <c r="O8" i="21"/>
  <c r="N8" i="21"/>
  <c r="O20" i="21"/>
  <c r="N20" i="21"/>
  <c r="O14" i="21"/>
  <c r="N14" i="21"/>
  <c r="N16" i="21"/>
  <c r="O16" i="21"/>
  <c r="O19" i="21"/>
  <c r="N19" i="21"/>
  <c r="N9" i="21"/>
  <c r="O9" i="21"/>
  <c r="O12" i="21"/>
  <c r="N12" i="21"/>
  <c r="O18" i="21"/>
  <c r="N18" i="21"/>
  <c r="O13" i="21"/>
  <c r="N13" i="21"/>
  <c r="E15" i="19"/>
  <c r="E30" i="19" s="1"/>
  <c r="F15" i="19"/>
  <c r="G15" i="19"/>
  <c r="G30" i="19" s="1"/>
  <c r="H15" i="19"/>
  <c r="I15" i="19"/>
  <c r="M33" i="13"/>
  <c r="H37" i="13"/>
  <c r="H33" i="13"/>
  <c r="C34" i="13"/>
  <c r="D32" i="13" s="1"/>
  <c r="E25" i="13"/>
  <c r="M39" i="13" s="1"/>
  <c r="L18" i="13"/>
  <c r="L17" i="13"/>
  <c r="I18" i="13"/>
  <c r="I17" i="13"/>
  <c r="K14" i="13"/>
  <c r="K13" i="13"/>
  <c r="K12" i="13"/>
  <c r="K11" i="13"/>
  <c r="K10" i="13"/>
  <c r="J10" i="13"/>
  <c r="M10" i="13" s="1"/>
  <c r="L4" i="12"/>
  <c r="G4" i="12"/>
  <c r="D6" i="12" a="1"/>
  <c r="D6" i="12" s="1"/>
  <c r="B4" i="12"/>
  <c r="B2" i="11"/>
  <c r="L3" i="11"/>
  <c r="K3" i="11"/>
  <c r="J3" i="11"/>
  <c r="I3" i="11"/>
  <c r="H3" i="11"/>
  <c r="G3" i="11"/>
  <c r="F3" i="11"/>
  <c r="E3" i="11"/>
  <c r="D3" i="11"/>
  <c r="C3" i="11"/>
  <c r="D98" i="8"/>
  <c r="E98" i="8"/>
  <c r="F98" i="8"/>
  <c r="G98" i="8"/>
  <c r="H98" i="8"/>
  <c r="I98" i="8"/>
  <c r="J98" i="8"/>
  <c r="K98" i="8"/>
  <c r="L98" i="8"/>
  <c r="D99" i="8"/>
  <c r="E99" i="8"/>
  <c r="F99" i="8"/>
  <c r="G99" i="8"/>
  <c r="H99" i="8"/>
  <c r="I99" i="8"/>
  <c r="J99" i="8"/>
  <c r="K99" i="8"/>
  <c r="L99" i="8"/>
  <c r="D100" i="8"/>
  <c r="E100" i="8"/>
  <c r="F100" i="8"/>
  <c r="G100" i="8"/>
  <c r="H100" i="8"/>
  <c r="I100" i="8"/>
  <c r="J100" i="8"/>
  <c r="K100" i="8"/>
  <c r="L100" i="8"/>
  <c r="D101" i="8"/>
  <c r="E101" i="8"/>
  <c r="F101" i="8"/>
  <c r="G101" i="8"/>
  <c r="H101" i="8"/>
  <c r="I101" i="8"/>
  <c r="J101" i="8"/>
  <c r="K101" i="8"/>
  <c r="L101" i="8"/>
  <c r="D102" i="8"/>
  <c r="E102" i="8"/>
  <c r="F102" i="8"/>
  <c r="G102" i="8"/>
  <c r="H102" i="8"/>
  <c r="I102" i="8"/>
  <c r="J102" i="8"/>
  <c r="K102" i="8"/>
  <c r="L102" i="8"/>
  <c r="D103" i="8"/>
  <c r="E103" i="8"/>
  <c r="F103" i="8"/>
  <c r="G103" i="8"/>
  <c r="H103" i="8"/>
  <c r="I103" i="8"/>
  <c r="J103" i="8"/>
  <c r="K103" i="8"/>
  <c r="L103" i="8"/>
  <c r="D104" i="8"/>
  <c r="E104" i="8"/>
  <c r="F104" i="8"/>
  <c r="G104" i="8"/>
  <c r="H104" i="8"/>
  <c r="I104" i="8"/>
  <c r="J104" i="8"/>
  <c r="K104" i="8"/>
  <c r="L104" i="8"/>
  <c r="D105" i="8"/>
  <c r="E105" i="8"/>
  <c r="F105" i="8"/>
  <c r="G105" i="8"/>
  <c r="H105" i="8"/>
  <c r="I105" i="8"/>
  <c r="J105" i="8"/>
  <c r="K105" i="8"/>
  <c r="L105" i="8"/>
  <c r="C99" i="8"/>
  <c r="C100" i="8"/>
  <c r="C101" i="8"/>
  <c r="C102" i="8"/>
  <c r="C103" i="8"/>
  <c r="C104" i="8"/>
  <c r="C105" i="8"/>
  <c r="C98" i="8"/>
  <c r="D84" i="8"/>
  <c r="E84" i="8"/>
  <c r="F84" i="8"/>
  <c r="G84" i="8"/>
  <c r="H84" i="8"/>
  <c r="I84" i="8"/>
  <c r="J84" i="8"/>
  <c r="K84" i="8"/>
  <c r="L84" i="8"/>
  <c r="D85" i="8"/>
  <c r="E85" i="8"/>
  <c r="F85" i="8"/>
  <c r="G85" i="8"/>
  <c r="H85" i="8"/>
  <c r="I85" i="8"/>
  <c r="J85" i="8"/>
  <c r="K85" i="8"/>
  <c r="L85" i="8"/>
  <c r="D86" i="8"/>
  <c r="E86" i="8"/>
  <c r="F86" i="8"/>
  <c r="G86" i="8"/>
  <c r="H86" i="8"/>
  <c r="I86" i="8"/>
  <c r="J86" i="8"/>
  <c r="K86" i="8"/>
  <c r="L86" i="8"/>
  <c r="D87" i="8"/>
  <c r="E87" i="8"/>
  <c r="F87" i="8"/>
  <c r="G87" i="8"/>
  <c r="H87" i="8"/>
  <c r="I87" i="8"/>
  <c r="J87" i="8"/>
  <c r="K87" i="8"/>
  <c r="L87" i="8"/>
  <c r="D88" i="8"/>
  <c r="E88" i="8"/>
  <c r="F88" i="8"/>
  <c r="G88" i="8"/>
  <c r="H88" i="8"/>
  <c r="I88" i="8"/>
  <c r="J88" i="8"/>
  <c r="K88" i="8"/>
  <c r="L88" i="8"/>
  <c r="D89" i="8"/>
  <c r="E89" i="8"/>
  <c r="F89" i="8"/>
  <c r="G89" i="8"/>
  <c r="H89" i="8"/>
  <c r="I89" i="8"/>
  <c r="J89" i="8"/>
  <c r="K89" i="8"/>
  <c r="L89" i="8"/>
  <c r="D90" i="8"/>
  <c r="E90" i="8"/>
  <c r="F90" i="8"/>
  <c r="G90" i="8"/>
  <c r="H90" i="8"/>
  <c r="I90" i="8"/>
  <c r="J90" i="8"/>
  <c r="K90" i="8"/>
  <c r="L90" i="8"/>
  <c r="D91" i="8"/>
  <c r="E91" i="8"/>
  <c r="F91" i="8"/>
  <c r="G91" i="8"/>
  <c r="H91" i="8"/>
  <c r="I91" i="8"/>
  <c r="J91" i="8"/>
  <c r="K91" i="8"/>
  <c r="L91" i="8"/>
  <c r="D92" i="8"/>
  <c r="E92" i="8"/>
  <c r="F92" i="8"/>
  <c r="G92" i="8"/>
  <c r="H92" i="8"/>
  <c r="I92" i="8"/>
  <c r="J92" i="8"/>
  <c r="K92" i="8"/>
  <c r="L92" i="8"/>
  <c r="D93" i="8"/>
  <c r="E93" i="8"/>
  <c r="F93" i="8"/>
  <c r="G93" i="8"/>
  <c r="H93" i="8"/>
  <c r="I93" i="8"/>
  <c r="J93" i="8"/>
  <c r="K93" i="8"/>
  <c r="L93" i="8"/>
  <c r="D94" i="8"/>
  <c r="E94" i="8"/>
  <c r="F94" i="8"/>
  <c r="G94" i="8"/>
  <c r="H94" i="8"/>
  <c r="I94" i="8"/>
  <c r="J94" i="8"/>
  <c r="K94" i="8"/>
  <c r="L94" i="8"/>
  <c r="C85" i="8"/>
  <c r="C86" i="8"/>
  <c r="C87" i="8"/>
  <c r="C88" i="8"/>
  <c r="C89" i="8"/>
  <c r="C90" i="8"/>
  <c r="C91" i="8"/>
  <c r="C92" i="8"/>
  <c r="C93" i="8"/>
  <c r="C94" i="8"/>
  <c r="C84" i="8"/>
  <c r="D73" i="8"/>
  <c r="E73" i="8"/>
  <c r="F73" i="8"/>
  <c r="G73" i="8"/>
  <c r="H73" i="8"/>
  <c r="I73" i="8"/>
  <c r="J73" i="8"/>
  <c r="K73" i="8"/>
  <c r="L73" i="8"/>
  <c r="D74" i="8"/>
  <c r="E74" i="8"/>
  <c r="F74" i="8"/>
  <c r="G74" i="8"/>
  <c r="H74" i="8"/>
  <c r="I74" i="8"/>
  <c r="J74" i="8"/>
  <c r="K74" i="8"/>
  <c r="L74" i="8"/>
  <c r="D75" i="8"/>
  <c r="E75" i="8"/>
  <c r="F75" i="8"/>
  <c r="G75" i="8"/>
  <c r="H75" i="8"/>
  <c r="I75" i="8"/>
  <c r="J75" i="8"/>
  <c r="K75" i="8"/>
  <c r="L75" i="8"/>
  <c r="D76" i="8"/>
  <c r="E76" i="8"/>
  <c r="F76" i="8"/>
  <c r="G76" i="8"/>
  <c r="H76" i="8"/>
  <c r="I76" i="8"/>
  <c r="J76" i="8"/>
  <c r="K76" i="8"/>
  <c r="L76" i="8"/>
  <c r="D77" i="8"/>
  <c r="E77" i="8"/>
  <c r="F77" i="8"/>
  <c r="G77" i="8"/>
  <c r="H77" i="8"/>
  <c r="I77" i="8"/>
  <c r="J77" i="8"/>
  <c r="K77" i="8"/>
  <c r="L77" i="8"/>
  <c r="D78" i="8"/>
  <c r="E78" i="8"/>
  <c r="F78" i="8"/>
  <c r="G78" i="8"/>
  <c r="H78" i="8"/>
  <c r="I78" i="8"/>
  <c r="J78" i="8"/>
  <c r="K78" i="8"/>
  <c r="L78" i="8"/>
  <c r="D79" i="8"/>
  <c r="E79" i="8"/>
  <c r="F79" i="8"/>
  <c r="G79" i="8"/>
  <c r="H79" i="8"/>
  <c r="I79" i="8"/>
  <c r="J79" i="8"/>
  <c r="K79" i="8"/>
  <c r="L79" i="8"/>
  <c r="D80" i="8"/>
  <c r="E80" i="8"/>
  <c r="F80" i="8"/>
  <c r="G80" i="8"/>
  <c r="H80" i="8"/>
  <c r="I80" i="8"/>
  <c r="J80" i="8"/>
  <c r="K80" i="8"/>
  <c r="L80" i="8"/>
  <c r="C74" i="8"/>
  <c r="C75" i="8"/>
  <c r="C76" i="8"/>
  <c r="C77" i="8"/>
  <c r="C78" i="8"/>
  <c r="C79" i="8"/>
  <c r="C80" i="8"/>
  <c r="C73" i="8"/>
  <c r="D57" i="8"/>
  <c r="E57" i="8"/>
  <c r="F57" i="8"/>
  <c r="G57" i="8"/>
  <c r="H57" i="8"/>
  <c r="I57" i="8"/>
  <c r="J57" i="8"/>
  <c r="K57" i="8"/>
  <c r="L57" i="8"/>
  <c r="C57" i="8"/>
  <c r="C63" i="8"/>
  <c r="D61" i="8"/>
  <c r="E61" i="8"/>
  <c r="F61" i="8"/>
  <c r="G61" i="8"/>
  <c r="H61" i="8"/>
  <c r="I61" i="8"/>
  <c r="J61" i="8"/>
  <c r="K61" i="8"/>
  <c r="L61" i="8"/>
  <c r="D62" i="8"/>
  <c r="E62" i="8"/>
  <c r="F62" i="8"/>
  <c r="G62" i="8"/>
  <c r="H62" i="8"/>
  <c r="I62" i="8"/>
  <c r="J62" i="8"/>
  <c r="K62" i="8"/>
  <c r="L62" i="8"/>
  <c r="D63" i="8"/>
  <c r="E63" i="8"/>
  <c r="F63" i="8"/>
  <c r="G63" i="8"/>
  <c r="H63" i="8"/>
  <c r="I63" i="8"/>
  <c r="J63" i="8"/>
  <c r="K63" i="8"/>
  <c r="L63" i="8"/>
  <c r="C62" i="8"/>
  <c r="C61" i="8"/>
  <c r="D54" i="8"/>
  <c r="E54" i="8"/>
  <c r="F54" i="8"/>
  <c r="G54" i="8"/>
  <c r="H54" i="8"/>
  <c r="I54" i="8"/>
  <c r="J54" i="8"/>
  <c r="K54" i="8"/>
  <c r="L54" i="8"/>
  <c r="D55" i="8"/>
  <c r="E55" i="8"/>
  <c r="F55" i="8"/>
  <c r="G55" i="8"/>
  <c r="H55" i="8"/>
  <c r="I55" i="8"/>
  <c r="J55" i="8"/>
  <c r="K55" i="8"/>
  <c r="L55" i="8"/>
  <c r="D56" i="8"/>
  <c r="E56" i="8"/>
  <c r="F56" i="8"/>
  <c r="G56" i="8"/>
  <c r="H56" i="8"/>
  <c r="I56" i="8"/>
  <c r="J56" i="8"/>
  <c r="K56" i="8"/>
  <c r="L56" i="8"/>
  <c r="C55" i="8"/>
  <c r="C56" i="8"/>
  <c r="C54" i="8"/>
  <c r="D47" i="8"/>
  <c r="E47" i="8"/>
  <c r="F47" i="8"/>
  <c r="G47" i="8"/>
  <c r="H47" i="8"/>
  <c r="I47" i="8"/>
  <c r="J47" i="8"/>
  <c r="K47" i="8"/>
  <c r="L47" i="8"/>
  <c r="D48" i="8"/>
  <c r="E48" i="8"/>
  <c r="F48" i="8"/>
  <c r="G48" i="8"/>
  <c r="H48" i="8"/>
  <c r="I48" i="8"/>
  <c r="J48" i="8"/>
  <c r="K48" i="8"/>
  <c r="L48" i="8"/>
  <c r="D49" i="8"/>
  <c r="E49" i="8"/>
  <c r="F49" i="8"/>
  <c r="G49" i="8"/>
  <c r="H49" i="8"/>
  <c r="I49" i="8"/>
  <c r="J49" i="8"/>
  <c r="K49" i="8"/>
  <c r="L49" i="8"/>
  <c r="D50" i="8"/>
  <c r="E50" i="8"/>
  <c r="F50" i="8"/>
  <c r="G50" i="8"/>
  <c r="H50" i="8"/>
  <c r="I50" i="8"/>
  <c r="J50" i="8"/>
  <c r="K50" i="8"/>
  <c r="L50" i="8"/>
  <c r="D51" i="8"/>
  <c r="E51" i="8"/>
  <c r="F51" i="8"/>
  <c r="G51" i="8"/>
  <c r="H51" i="8"/>
  <c r="I51" i="8"/>
  <c r="J51" i="8"/>
  <c r="K51" i="8"/>
  <c r="L51" i="8"/>
  <c r="C48" i="8"/>
  <c r="C49" i="8"/>
  <c r="C50" i="8"/>
  <c r="C51" i="8"/>
  <c r="C47" i="8"/>
  <c r="M40" i="8"/>
  <c r="D35" i="8"/>
  <c r="E35" i="8"/>
  <c r="F35" i="8"/>
  <c r="G35" i="8"/>
  <c r="H35" i="8"/>
  <c r="I35" i="8"/>
  <c r="J35" i="8"/>
  <c r="K35" i="8"/>
  <c r="L35" i="8"/>
  <c r="C35" i="8"/>
  <c r="C40" i="8" s="1"/>
  <c r="M32" i="8"/>
  <c r="G47" i="26"/>
  <c r="I47" i="26"/>
  <c r="J47" i="26"/>
  <c r="K47" i="26"/>
  <c r="M29" i="8"/>
  <c r="M23" i="8"/>
  <c r="M20" i="8"/>
  <c r="D23" i="8"/>
  <c r="E23" i="8"/>
  <c r="F23" i="8"/>
  <c r="G23" i="8"/>
  <c r="H23" i="8"/>
  <c r="I23" i="8"/>
  <c r="J23" i="8"/>
  <c r="K23" i="8"/>
  <c r="L23" i="8"/>
  <c r="C23" i="8"/>
  <c r="D14" i="8"/>
  <c r="E14" i="8"/>
  <c r="F14" i="8"/>
  <c r="G14" i="8"/>
  <c r="H14" i="8"/>
  <c r="I14" i="8"/>
  <c r="J14" i="8"/>
  <c r="K14" i="8"/>
  <c r="L14" i="8"/>
  <c r="C14" i="8"/>
  <c r="M15" i="8"/>
  <c r="D5" i="8"/>
  <c r="D21" i="8" s="1"/>
  <c r="E5" i="8"/>
  <c r="F5" i="8"/>
  <c r="F21" i="8" s="1"/>
  <c r="G5" i="8"/>
  <c r="H5" i="8"/>
  <c r="H21" i="8" s="1"/>
  <c r="I5" i="8"/>
  <c r="I21" i="8" s="1"/>
  <c r="J5" i="8"/>
  <c r="J21" i="8" s="1"/>
  <c r="K5" i="8"/>
  <c r="K21" i="8" s="1"/>
  <c r="L5" i="8"/>
  <c r="C5" i="8"/>
  <c r="C21" i="8" s="1"/>
  <c r="B2" i="8"/>
  <c r="D3" i="8"/>
  <c r="E3" i="8"/>
  <c r="F3" i="8"/>
  <c r="G3" i="8"/>
  <c r="H3" i="8"/>
  <c r="I3" i="8"/>
  <c r="J3" i="8"/>
  <c r="K3" i="8"/>
  <c r="L3" i="8"/>
  <c r="C3" i="8"/>
  <c r="C6" i="3"/>
  <c r="D6" i="3"/>
  <c r="E6" i="3"/>
  <c r="F6" i="3"/>
  <c r="G6" i="3"/>
  <c r="H6" i="3"/>
  <c r="I6" i="3"/>
  <c r="J6" i="3"/>
  <c r="K6" i="3"/>
  <c r="B6" i="3"/>
  <c r="C5" i="1"/>
  <c r="D5" i="1"/>
  <c r="E5" i="1"/>
  <c r="F5" i="1"/>
  <c r="G5" i="1"/>
  <c r="H5" i="1"/>
  <c r="I5" i="1"/>
  <c r="J5" i="1"/>
  <c r="K5" i="1"/>
  <c r="B5" i="1"/>
  <c r="B6" i="6"/>
  <c r="C34" i="20" s="1"/>
  <c r="C17" i="2"/>
  <c r="D17" i="2"/>
  <c r="E17" i="2"/>
  <c r="F17" i="2"/>
  <c r="G17" i="2"/>
  <c r="H17" i="2"/>
  <c r="I17" i="2"/>
  <c r="J17" i="2"/>
  <c r="J20" i="2" s="1"/>
  <c r="K17" i="2"/>
  <c r="C18" i="2"/>
  <c r="D18" i="2"/>
  <c r="E18" i="2"/>
  <c r="F18" i="2"/>
  <c r="G18" i="2"/>
  <c r="H18" i="2"/>
  <c r="I18" i="2"/>
  <c r="J18" i="2"/>
  <c r="K18" i="2"/>
  <c r="B17" i="2"/>
  <c r="C4" i="2"/>
  <c r="D4" i="2"/>
  <c r="E4" i="2"/>
  <c r="E5" i="2"/>
  <c r="F4" i="2"/>
  <c r="G4" i="2"/>
  <c r="H4" i="2"/>
  <c r="I4" i="2"/>
  <c r="I5" i="2"/>
  <c r="J4" i="2"/>
  <c r="J5" i="2"/>
  <c r="K4" i="2"/>
  <c r="C5" i="2"/>
  <c r="D5" i="2"/>
  <c r="F5" i="2"/>
  <c r="G5" i="2"/>
  <c r="H5" i="2"/>
  <c r="K5" i="2"/>
  <c r="C6" i="2"/>
  <c r="D6" i="2"/>
  <c r="E6" i="2"/>
  <c r="F6" i="2"/>
  <c r="G6" i="2"/>
  <c r="H6" i="2"/>
  <c r="I6" i="2"/>
  <c r="J6" i="2"/>
  <c r="K6" i="2"/>
  <c r="C7" i="2"/>
  <c r="D7" i="2"/>
  <c r="E7" i="2"/>
  <c r="F7" i="2"/>
  <c r="G7" i="2"/>
  <c r="H7" i="2"/>
  <c r="I7" i="2"/>
  <c r="J7" i="2"/>
  <c r="K7" i="2"/>
  <c r="C8" i="2"/>
  <c r="D8" i="2"/>
  <c r="E8" i="2"/>
  <c r="F8" i="2"/>
  <c r="G8" i="2"/>
  <c r="H8" i="2"/>
  <c r="I8" i="2"/>
  <c r="J8" i="2"/>
  <c r="K8" i="2"/>
  <c r="C10" i="2"/>
  <c r="D10" i="2"/>
  <c r="E10" i="2"/>
  <c r="F10" i="2"/>
  <c r="G10" i="2"/>
  <c r="H10" i="2"/>
  <c r="I10" i="2"/>
  <c r="J10" i="2"/>
  <c r="K10" i="2"/>
  <c r="C11" i="2"/>
  <c r="D11" i="2"/>
  <c r="E11" i="2"/>
  <c r="F11" i="2"/>
  <c r="G11" i="2"/>
  <c r="H11" i="2"/>
  <c r="I11" i="2"/>
  <c r="J11" i="2"/>
  <c r="K11" i="2"/>
  <c r="C12" i="2"/>
  <c r="D12" i="2"/>
  <c r="E12" i="2"/>
  <c r="F12" i="2"/>
  <c r="G12" i="2"/>
  <c r="H12" i="2"/>
  <c r="I12" i="2"/>
  <c r="J12" i="2"/>
  <c r="K12" i="2"/>
  <c r="C13" i="2"/>
  <c r="D13" i="2"/>
  <c r="E13" i="2"/>
  <c r="F13" i="2"/>
  <c r="G13" i="2"/>
  <c r="H13" i="2"/>
  <c r="I13" i="2"/>
  <c r="J13" i="2"/>
  <c r="K13" i="2"/>
  <c r="C14" i="2"/>
  <c r="D14" i="2"/>
  <c r="E14" i="2"/>
  <c r="F14" i="2"/>
  <c r="G14" i="2"/>
  <c r="H14" i="2"/>
  <c r="I14" i="2"/>
  <c r="J14" i="2"/>
  <c r="K14" i="2"/>
  <c r="B14" i="2"/>
  <c r="B5" i="2"/>
  <c r="B4" i="2"/>
  <c r="C4" i="4"/>
  <c r="D4" i="4"/>
  <c r="E4" i="4"/>
  <c r="F4" i="4"/>
  <c r="G4" i="4"/>
  <c r="H4" i="4"/>
  <c r="I4" i="4"/>
  <c r="J4" i="4"/>
  <c r="K4" i="4"/>
  <c r="C5" i="4"/>
  <c r="D5" i="4"/>
  <c r="E5" i="4"/>
  <c r="F5" i="4"/>
  <c r="G5" i="4"/>
  <c r="H5" i="4"/>
  <c r="I5" i="4"/>
  <c r="J5" i="4"/>
  <c r="K5" i="4"/>
  <c r="C6" i="4"/>
  <c r="D6" i="4"/>
  <c r="E6" i="4"/>
  <c r="F6" i="4"/>
  <c r="G6" i="4"/>
  <c r="H6" i="4"/>
  <c r="I6" i="4"/>
  <c r="J6" i="4"/>
  <c r="K6" i="4"/>
  <c r="C7" i="4"/>
  <c r="D7" i="4"/>
  <c r="E7" i="4"/>
  <c r="F7" i="4"/>
  <c r="G7" i="4"/>
  <c r="H7" i="4"/>
  <c r="I7" i="4"/>
  <c r="J7" i="4"/>
  <c r="K7" i="4"/>
  <c r="C4" i="3"/>
  <c r="D4" i="3"/>
  <c r="D14" i="3" s="1"/>
  <c r="E4" i="3"/>
  <c r="F4" i="3"/>
  <c r="G4" i="3"/>
  <c r="H4" i="3"/>
  <c r="I4" i="3"/>
  <c r="J4" i="3"/>
  <c r="K4" i="3"/>
  <c r="C5" i="3"/>
  <c r="D5" i="3"/>
  <c r="E5" i="3"/>
  <c r="F5" i="3"/>
  <c r="G5" i="3"/>
  <c r="H5" i="3"/>
  <c r="I5" i="3"/>
  <c r="J5" i="3"/>
  <c r="K5" i="3"/>
  <c r="C7" i="3"/>
  <c r="D7" i="3"/>
  <c r="E7" i="3"/>
  <c r="F7" i="3"/>
  <c r="G7" i="3"/>
  <c r="H7" i="3"/>
  <c r="I7" i="3"/>
  <c r="J7" i="3"/>
  <c r="K7" i="3"/>
  <c r="C8" i="3"/>
  <c r="D8" i="3"/>
  <c r="E8" i="3"/>
  <c r="F8" i="3"/>
  <c r="G8" i="3"/>
  <c r="H8" i="3"/>
  <c r="I8" i="3"/>
  <c r="J8" i="3"/>
  <c r="K8" i="3"/>
  <c r="C9" i="3"/>
  <c r="D9" i="3"/>
  <c r="E9" i="3"/>
  <c r="F9" i="3"/>
  <c r="G9" i="3"/>
  <c r="H9" i="3"/>
  <c r="I9" i="3"/>
  <c r="J9" i="3"/>
  <c r="K9" i="3"/>
  <c r="C10" i="3"/>
  <c r="D10" i="3"/>
  <c r="E10" i="3"/>
  <c r="F10" i="3"/>
  <c r="G10" i="3"/>
  <c r="H10" i="3"/>
  <c r="I10" i="3"/>
  <c r="J10" i="3"/>
  <c r="K10" i="3"/>
  <c r="C11" i="3"/>
  <c r="D11" i="3"/>
  <c r="E11" i="3"/>
  <c r="F11" i="3"/>
  <c r="G11" i="3"/>
  <c r="H11" i="3"/>
  <c r="I11" i="3"/>
  <c r="J11" i="3"/>
  <c r="K11" i="3"/>
  <c r="C12" i="3"/>
  <c r="D12" i="3"/>
  <c r="E12" i="3"/>
  <c r="F12" i="3"/>
  <c r="G12" i="3"/>
  <c r="H12" i="3"/>
  <c r="I12" i="3"/>
  <c r="J12" i="3"/>
  <c r="K12" i="3"/>
  <c r="B5" i="3"/>
  <c r="C18" i="1"/>
  <c r="D18" i="1"/>
  <c r="E18" i="1"/>
  <c r="F18" i="1"/>
  <c r="G18" i="1"/>
  <c r="H18" i="1"/>
  <c r="I18" i="1"/>
  <c r="J18" i="1"/>
  <c r="K18" i="1"/>
  <c r="B18" i="1"/>
  <c r="C4" i="1"/>
  <c r="C6" i="1" s="1"/>
  <c r="C19" i="1" s="1"/>
  <c r="D4" i="1"/>
  <c r="E4" i="1"/>
  <c r="F4" i="1"/>
  <c r="G4" i="1"/>
  <c r="H4" i="1"/>
  <c r="I4" i="1"/>
  <c r="J4" i="1"/>
  <c r="K4" i="1"/>
  <c r="C7" i="1"/>
  <c r="D7" i="1"/>
  <c r="E7" i="1"/>
  <c r="F7" i="1"/>
  <c r="G7" i="1"/>
  <c r="H7" i="1"/>
  <c r="I7" i="1"/>
  <c r="J7" i="1"/>
  <c r="K7" i="1"/>
  <c r="C8" i="1"/>
  <c r="D8" i="1"/>
  <c r="E8" i="1"/>
  <c r="F8" i="1"/>
  <c r="G8" i="1"/>
  <c r="H8" i="1"/>
  <c r="I8" i="1"/>
  <c r="J8" i="1"/>
  <c r="K8" i="1"/>
  <c r="C9" i="1"/>
  <c r="D9" i="1"/>
  <c r="E9" i="1"/>
  <c r="F9" i="1"/>
  <c r="G9" i="1"/>
  <c r="H9" i="1"/>
  <c r="I9" i="1"/>
  <c r="J9" i="1"/>
  <c r="K9" i="1"/>
  <c r="C10" i="1"/>
  <c r="D10" i="1"/>
  <c r="E10" i="1"/>
  <c r="F10" i="1"/>
  <c r="G10" i="1"/>
  <c r="H10" i="1"/>
  <c r="I10" i="1"/>
  <c r="J10" i="1"/>
  <c r="K10" i="1"/>
  <c r="C11" i="1"/>
  <c r="D11" i="1"/>
  <c r="E11" i="1"/>
  <c r="F11" i="1"/>
  <c r="G11" i="1"/>
  <c r="H11" i="1"/>
  <c r="I11" i="1"/>
  <c r="J11" i="1"/>
  <c r="K11" i="1"/>
  <c r="C12" i="1"/>
  <c r="C13" i="1" s="1"/>
  <c r="D12" i="1"/>
  <c r="E12" i="1"/>
  <c r="F12" i="1"/>
  <c r="F13" i="1" s="1"/>
  <c r="G12" i="1"/>
  <c r="G13" i="1" s="1"/>
  <c r="H12" i="1"/>
  <c r="H13" i="1" s="1"/>
  <c r="I12" i="1"/>
  <c r="I13" i="1" s="1"/>
  <c r="J12" i="1"/>
  <c r="J13" i="1" s="1"/>
  <c r="K12" i="1"/>
  <c r="K13" i="1" s="1"/>
  <c r="C15" i="1"/>
  <c r="D15" i="1"/>
  <c r="E15" i="1"/>
  <c r="F15" i="1"/>
  <c r="G15" i="1"/>
  <c r="H15" i="1"/>
  <c r="I15" i="1"/>
  <c r="J15" i="1"/>
  <c r="K15" i="1"/>
  <c r="B15" i="1"/>
  <c r="B7" i="1"/>
  <c r="B4" i="1"/>
  <c r="A1" i="1"/>
  <c r="A1" i="3" s="1"/>
  <c r="E1" i="6"/>
  <c r="H1" i="1" s="1"/>
  <c r="C3" i="4"/>
  <c r="D3" i="4"/>
  <c r="E3" i="4"/>
  <c r="F3" i="4"/>
  <c r="G3" i="4"/>
  <c r="H3" i="4"/>
  <c r="I3" i="4"/>
  <c r="J3" i="4"/>
  <c r="K3" i="4"/>
  <c r="C3" i="2"/>
  <c r="D3" i="2"/>
  <c r="E3" i="2"/>
  <c r="F3" i="2"/>
  <c r="G3" i="2"/>
  <c r="H3" i="2"/>
  <c r="I3" i="2"/>
  <c r="J3" i="2"/>
  <c r="K3" i="2"/>
  <c r="C3" i="3"/>
  <c r="D3" i="3"/>
  <c r="E3" i="3"/>
  <c r="F3" i="3"/>
  <c r="G3" i="3"/>
  <c r="H3" i="3"/>
  <c r="I3" i="3"/>
  <c r="J3" i="3"/>
  <c r="K3" i="3"/>
  <c r="C3" i="1"/>
  <c r="D3" i="1"/>
  <c r="E3" i="1"/>
  <c r="F3" i="1"/>
  <c r="G3" i="1"/>
  <c r="H3" i="1"/>
  <c r="I3" i="1"/>
  <c r="J3" i="1"/>
  <c r="K3" i="1"/>
  <c r="B7" i="4"/>
  <c r="B6" i="4"/>
  <c r="B5" i="4"/>
  <c r="B4" i="4"/>
  <c r="B3" i="4"/>
  <c r="B18" i="2"/>
  <c r="B13" i="2"/>
  <c r="B12" i="2"/>
  <c r="B11" i="2"/>
  <c r="B10" i="2"/>
  <c r="B8" i="2"/>
  <c r="B7" i="2"/>
  <c r="B6" i="2"/>
  <c r="B3" i="2"/>
  <c r="B12" i="3"/>
  <c r="B11" i="3"/>
  <c r="B10" i="3"/>
  <c r="B9" i="3"/>
  <c r="B8" i="3"/>
  <c r="B7" i="3"/>
  <c r="B4" i="3"/>
  <c r="B3" i="3"/>
  <c r="L15" i="1"/>
  <c r="B12" i="1"/>
  <c r="B13" i="1" s="1"/>
  <c r="B11" i="1"/>
  <c r="B10" i="1"/>
  <c r="B9" i="1"/>
  <c r="B8" i="1"/>
  <c r="B3" i="1"/>
  <c r="E14" i="3" l="1"/>
  <c r="H21" i="2"/>
  <c r="H16" i="2"/>
  <c r="G21" i="2"/>
  <c r="C16" i="2"/>
  <c r="B16" i="2"/>
  <c r="H40" i="8"/>
  <c r="G40" i="8"/>
  <c r="F40" i="8"/>
  <c r="D40" i="8"/>
  <c r="D9" i="11" s="1"/>
  <c r="J6" i="1"/>
  <c r="J19" i="1" s="1"/>
  <c r="E40" i="8"/>
  <c r="L40" i="8"/>
  <c r="K40" i="8"/>
  <c r="J40" i="8"/>
  <c r="I40" i="8"/>
  <c r="L30" i="11"/>
  <c r="F21" i="2"/>
  <c r="C20" i="2"/>
  <c r="L8" i="1"/>
  <c r="M8" i="1" s="1"/>
  <c r="L12" i="1"/>
  <c r="L13" i="1" s="1"/>
  <c r="L14" i="1" s="1"/>
  <c r="L25" i="1" s="1"/>
  <c r="G69" i="26"/>
  <c r="G71" i="26" s="1"/>
  <c r="G49" i="26"/>
  <c r="I8" i="11"/>
  <c r="H47" i="26"/>
  <c r="G37" i="8"/>
  <c r="F47" i="26"/>
  <c r="I69" i="26"/>
  <c r="I71" i="26" s="1"/>
  <c r="I49" i="26"/>
  <c r="E8" i="11"/>
  <c r="D47" i="26"/>
  <c r="K6" i="1"/>
  <c r="K19" i="1" s="1"/>
  <c r="D16" i="2"/>
  <c r="D8" i="11"/>
  <c r="C47" i="26"/>
  <c r="L58" i="8"/>
  <c r="E64" i="8"/>
  <c r="K23" i="2"/>
  <c r="D23" i="2"/>
  <c r="D21" i="2"/>
  <c r="K58" i="8"/>
  <c r="D64" i="8"/>
  <c r="C81" i="8"/>
  <c r="C40" i="11" s="1"/>
  <c r="N27" i="21"/>
  <c r="F8" i="11"/>
  <c r="E47" i="26"/>
  <c r="I21" i="2"/>
  <c r="C21" i="2"/>
  <c r="D31" i="11"/>
  <c r="K69" i="26"/>
  <c r="K71" i="26" s="1"/>
  <c r="K49" i="26"/>
  <c r="L11" i="1"/>
  <c r="K16" i="2"/>
  <c r="E30" i="11"/>
  <c r="J69" i="26"/>
  <c r="J71" i="26" s="1"/>
  <c r="J49" i="26"/>
  <c r="C58" i="8"/>
  <c r="G58" i="8"/>
  <c r="L64" i="8"/>
  <c r="N23" i="21"/>
  <c r="D6" i="1"/>
  <c r="D19" i="1" s="1"/>
  <c r="D58" i="8"/>
  <c r="I64" i="8"/>
  <c r="F64" i="8"/>
  <c r="G14" i="1"/>
  <c r="J14" i="3"/>
  <c r="E21" i="2"/>
  <c r="B6" i="1"/>
  <c r="B19" i="1" s="1"/>
  <c r="G6" i="1"/>
  <c r="G19" i="1" s="1"/>
  <c r="N22" i="21"/>
  <c r="N25" i="21"/>
  <c r="N32" i="21" s="1"/>
  <c r="N34" i="21" s="1"/>
  <c r="N36" i="21" s="1"/>
  <c r="N38" i="21" s="1"/>
  <c r="K14" i="1"/>
  <c r="E20" i="2"/>
  <c r="B21" i="2"/>
  <c r="E58" i="8"/>
  <c r="N24" i="21"/>
  <c r="M11" i="8"/>
  <c r="D20" i="2"/>
  <c r="G64" i="8"/>
  <c r="L7" i="1"/>
  <c r="J23" i="11"/>
  <c r="D81" i="8"/>
  <c r="D40" i="11" s="1"/>
  <c r="J81" i="8"/>
  <c r="J38" i="11" s="1"/>
  <c r="H29" i="11"/>
  <c r="H35" i="11" s="1"/>
  <c r="F29" i="11"/>
  <c r="F35" i="11" s="1"/>
  <c r="G4" i="20"/>
  <c r="F6" i="20"/>
  <c r="H23" i="11"/>
  <c r="E29" i="11"/>
  <c r="E35" i="11" s="1"/>
  <c r="K23" i="11"/>
  <c r="I23" i="11"/>
  <c r="F58" i="8"/>
  <c r="C64" i="8"/>
  <c r="K64" i="8"/>
  <c r="H64" i="8"/>
  <c r="F31" i="11"/>
  <c r="E23" i="2"/>
  <c r="F23" i="11"/>
  <c r="K8" i="11"/>
  <c r="N26" i="21"/>
  <c r="J58" i="8"/>
  <c r="K27" i="11"/>
  <c r="K33" i="11" s="1"/>
  <c r="O24" i="21"/>
  <c r="O22" i="21"/>
  <c r="O25" i="21"/>
  <c r="O32" i="21" s="1"/>
  <c r="O34" i="21" s="1"/>
  <c r="O36" i="21" s="1"/>
  <c r="O38" i="21" s="1"/>
  <c r="O26" i="21"/>
  <c r="O27" i="21"/>
  <c r="O23" i="21"/>
  <c r="F16" i="2"/>
  <c r="E16" i="2"/>
  <c r="G31" i="11"/>
  <c r="C23" i="11"/>
  <c r="I58" i="8"/>
  <c r="K30" i="11"/>
  <c r="P36" i="21"/>
  <c r="P38" i="21" s="1"/>
  <c r="P32" i="21"/>
  <c r="J64" i="8"/>
  <c r="C14" i="1"/>
  <c r="B20" i="2"/>
  <c r="L8" i="11"/>
  <c r="H58" i="8"/>
  <c r="I30" i="11"/>
  <c r="H30" i="11"/>
  <c r="F38" i="19"/>
  <c r="F44" i="19" s="1"/>
  <c r="F30" i="19"/>
  <c r="G38" i="19"/>
  <c r="G44" i="19" s="1"/>
  <c r="G81" i="8"/>
  <c r="G40" i="11" s="1"/>
  <c r="F81" i="8"/>
  <c r="F38" i="11" s="1"/>
  <c r="E81" i="8"/>
  <c r="E40" i="11" s="1"/>
  <c r="K81" i="8"/>
  <c r="K40" i="11" s="1"/>
  <c r="H81" i="8"/>
  <c r="H40" i="11" s="1"/>
  <c r="I81" i="8"/>
  <c r="I40" i="11" s="1"/>
  <c r="L81" i="8"/>
  <c r="L28" i="11"/>
  <c r="L34" i="11" s="1"/>
  <c r="C23" i="2"/>
  <c r="F14" i="1"/>
  <c r="K14" i="3"/>
  <c r="G23" i="2"/>
  <c r="J8" i="11"/>
  <c r="C27" i="11"/>
  <c r="C33" i="11" s="1"/>
  <c r="K28" i="11"/>
  <c r="K34" i="11" s="1"/>
  <c r="J30" i="11"/>
  <c r="G29" i="11"/>
  <c r="G35" i="11" s="1"/>
  <c r="E31" i="11"/>
  <c r="H23" i="2"/>
  <c r="G23" i="11"/>
  <c r="J14" i="1"/>
  <c r="L4" i="1"/>
  <c r="L23" i="1" s="1"/>
  <c r="F23" i="2"/>
  <c r="D13" i="1"/>
  <c r="D14" i="1" s="1"/>
  <c r="D30" i="8"/>
  <c r="G8" i="11"/>
  <c r="E23" i="11"/>
  <c r="J27" i="11"/>
  <c r="J33" i="11" s="1"/>
  <c r="H28" i="11"/>
  <c r="H34" i="11" s="1"/>
  <c r="G30" i="11"/>
  <c r="D29" i="11"/>
  <c r="L6" i="1"/>
  <c r="D23" i="11"/>
  <c r="I27" i="11"/>
  <c r="I33" i="11" s="1"/>
  <c r="G28" i="11"/>
  <c r="G34" i="11" s="1"/>
  <c r="F30" i="11"/>
  <c r="C31" i="11"/>
  <c r="L27" i="11"/>
  <c r="L33" i="11" s="1"/>
  <c r="I28" i="11"/>
  <c r="I34" i="11" s="1"/>
  <c r="L10" i="1"/>
  <c r="N11" i="1" s="1"/>
  <c r="L5" i="1"/>
  <c r="F14" i="3"/>
  <c r="H27" i="11"/>
  <c r="H33" i="11" s="1"/>
  <c r="F28" i="11"/>
  <c r="F34" i="11" s="1"/>
  <c r="L31" i="11"/>
  <c r="G14" i="3"/>
  <c r="E6" i="8"/>
  <c r="E5" i="11" s="1"/>
  <c r="D9" i="8"/>
  <c r="D11" i="11" s="1"/>
  <c r="G27" i="11"/>
  <c r="G33" i="11" s="1"/>
  <c r="E28" i="11"/>
  <c r="E34" i="11" s="1"/>
  <c r="D30" i="11"/>
  <c r="K31" i="11"/>
  <c r="J28" i="11"/>
  <c r="J34" i="11" s="1"/>
  <c r="F27" i="11"/>
  <c r="F33" i="11" s="1"/>
  <c r="D28" i="11"/>
  <c r="L29" i="11"/>
  <c r="L35" i="11" s="1"/>
  <c r="J31" i="11"/>
  <c r="L23" i="11"/>
  <c r="E27" i="11"/>
  <c r="E33" i="11" s="1"/>
  <c r="C29" i="11"/>
  <c r="C35" i="11" s="1"/>
  <c r="K29" i="11"/>
  <c r="K35" i="11" s="1"/>
  <c r="I31" i="11"/>
  <c r="K21" i="2"/>
  <c r="B14" i="3"/>
  <c r="D27" i="11"/>
  <c r="C30" i="11"/>
  <c r="J29" i="11"/>
  <c r="J35" i="11" s="1"/>
  <c r="H31" i="11"/>
  <c r="M18" i="13"/>
  <c r="M31" i="13" s="1"/>
  <c r="M17" i="13"/>
  <c r="H8" i="11"/>
  <c r="I23" i="1"/>
  <c r="J21" i="2"/>
  <c r="J16" i="2"/>
  <c r="I23" i="2"/>
  <c r="E6" i="1"/>
  <c r="E19" i="1" s="1"/>
  <c r="C28" i="11"/>
  <c r="C34" i="11" s="1"/>
  <c r="I29" i="11"/>
  <c r="I35" i="11" s="1"/>
  <c r="D33" i="13"/>
  <c r="D34" i="13" s="1"/>
  <c r="I30" i="19"/>
  <c r="I38" i="19"/>
  <c r="I44" i="19" s="1"/>
  <c r="H30" i="19"/>
  <c r="H38" i="19"/>
  <c r="H44" i="19" s="1"/>
  <c r="K18" i="13"/>
  <c r="J17" i="13"/>
  <c r="K17" i="13"/>
  <c r="E32" i="13" s="1"/>
  <c r="J18" i="13"/>
  <c r="D11" i="12"/>
  <c r="D10" i="12"/>
  <c r="D9" i="12"/>
  <c r="D8" i="12"/>
  <c r="D15" i="12"/>
  <c r="C23" i="12" s="1"/>
  <c r="D14" i="12"/>
  <c r="D13" i="12"/>
  <c r="D12" i="12"/>
  <c r="D7" i="12"/>
  <c r="E7" i="12" s="1"/>
  <c r="F95" i="8"/>
  <c r="L95" i="8"/>
  <c r="J106" i="8"/>
  <c r="J95" i="8"/>
  <c r="L106" i="8"/>
  <c r="K106" i="8"/>
  <c r="D95" i="8"/>
  <c r="F106" i="8"/>
  <c r="I95" i="8"/>
  <c r="H106" i="8"/>
  <c r="D106" i="8"/>
  <c r="K95" i="8"/>
  <c r="I106" i="8"/>
  <c r="E106" i="8"/>
  <c r="H95" i="8"/>
  <c r="G106" i="8"/>
  <c r="G95" i="8"/>
  <c r="E95" i="8"/>
  <c r="C106" i="8"/>
  <c r="C95" i="8"/>
  <c r="H30" i="8"/>
  <c r="I9" i="8"/>
  <c r="I11" i="11" s="1"/>
  <c r="H15" i="8"/>
  <c r="H17" i="11" s="1"/>
  <c r="F24" i="8"/>
  <c r="F18" i="11" s="1"/>
  <c r="F30" i="8"/>
  <c r="E30" i="8"/>
  <c r="D33" i="8"/>
  <c r="D15" i="11" s="1"/>
  <c r="E37" i="8"/>
  <c r="F15" i="8"/>
  <c r="F17" i="11" s="1"/>
  <c r="D37" i="8"/>
  <c r="F37" i="8"/>
  <c r="G30" i="8"/>
  <c r="M33" i="8"/>
  <c r="M30" i="8"/>
  <c r="C30" i="8"/>
  <c r="C33" i="8"/>
  <c r="C15" i="11" s="1"/>
  <c r="L30" i="8"/>
  <c r="L33" i="8"/>
  <c r="L15" i="11" s="1"/>
  <c r="K30" i="8"/>
  <c r="J30" i="8"/>
  <c r="J33" i="8"/>
  <c r="J15" i="11" s="1"/>
  <c r="K33" i="8"/>
  <c r="K15" i="11" s="1"/>
  <c r="I30" i="8"/>
  <c r="I33" i="8"/>
  <c r="I15" i="11" s="1"/>
  <c r="K24" i="8"/>
  <c r="K18" i="11" s="1"/>
  <c r="H24" i="8"/>
  <c r="H18" i="11" s="1"/>
  <c r="H33" i="8"/>
  <c r="H15" i="11" s="1"/>
  <c r="H9" i="8"/>
  <c r="H11" i="11" s="1"/>
  <c r="F33" i="8"/>
  <c r="F15" i="11" s="1"/>
  <c r="D24" i="8"/>
  <c r="D18" i="11" s="1"/>
  <c r="E33" i="8"/>
  <c r="E15" i="11" s="1"/>
  <c r="C37" i="8"/>
  <c r="G33" i="8"/>
  <c r="G15" i="11" s="1"/>
  <c r="G6" i="8"/>
  <c r="G5" i="11" s="1"/>
  <c r="F9" i="8"/>
  <c r="F11" i="11" s="1"/>
  <c r="E15" i="8"/>
  <c r="E17" i="11" s="1"/>
  <c r="M21" i="8"/>
  <c r="M37" i="8"/>
  <c r="L37" i="8"/>
  <c r="C24" i="8"/>
  <c r="C18" i="11" s="1"/>
  <c r="K37" i="8"/>
  <c r="L24" i="8"/>
  <c r="L18" i="11" s="1"/>
  <c r="J37" i="8"/>
  <c r="I37" i="8"/>
  <c r="L15" i="8"/>
  <c r="L17" i="11" s="1"/>
  <c r="J24" i="8"/>
  <c r="J18" i="11" s="1"/>
  <c r="H37" i="8"/>
  <c r="K15" i="8"/>
  <c r="K17" i="11" s="1"/>
  <c r="I24" i="8"/>
  <c r="I18" i="11" s="1"/>
  <c r="G24" i="8"/>
  <c r="G18" i="11" s="1"/>
  <c r="M24" i="8"/>
  <c r="D15" i="8"/>
  <c r="D17" i="11" s="1"/>
  <c r="C15" i="8"/>
  <c r="C17" i="11" s="1"/>
  <c r="L9" i="8"/>
  <c r="L11" i="11" s="1"/>
  <c r="K9" i="8"/>
  <c r="K11" i="11" s="1"/>
  <c r="J15" i="8"/>
  <c r="J17" i="11" s="1"/>
  <c r="J9" i="8"/>
  <c r="J11" i="11" s="1"/>
  <c r="I15" i="8"/>
  <c r="I17" i="11" s="1"/>
  <c r="G21" i="8"/>
  <c r="G15" i="8"/>
  <c r="G17" i="11" s="1"/>
  <c r="E21" i="8"/>
  <c r="H6" i="8"/>
  <c r="H5" i="11" s="1"/>
  <c r="G9" i="8"/>
  <c r="G11" i="11" s="1"/>
  <c r="F6" i="8"/>
  <c r="F5" i="11" s="1"/>
  <c r="E24" i="8"/>
  <c r="E18" i="11" s="1"/>
  <c r="E9" i="8"/>
  <c r="E11" i="11" s="1"/>
  <c r="M6" i="8"/>
  <c r="L6" i="8"/>
  <c r="L5" i="11" s="1"/>
  <c r="K6" i="8"/>
  <c r="K5" i="11" s="1"/>
  <c r="L21" i="8"/>
  <c r="J6" i="8"/>
  <c r="J5" i="11" s="1"/>
  <c r="I6" i="8"/>
  <c r="I5" i="11" s="1"/>
  <c r="C9" i="8"/>
  <c r="C11" i="11" s="1"/>
  <c r="G11" i="8"/>
  <c r="C11" i="8"/>
  <c r="L11" i="8"/>
  <c r="F11" i="8"/>
  <c r="K11" i="8"/>
  <c r="E11" i="8"/>
  <c r="J11" i="8"/>
  <c r="D11" i="8"/>
  <c r="I11" i="8"/>
  <c r="H11" i="8"/>
  <c r="D6" i="8"/>
  <c r="D5" i="11" s="1"/>
  <c r="G20" i="2"/>
  <c r="F20" i="2"/>
  <c r="E24" i="2"/>
  <c r="H14" i="3"/>
  <c r="J23" i="2"/>
  <c r="D24" i="2"/>
  <c r="L9" i="1"/>
  <c r="M9" i="1" s="1"/>
  <c r="F24" i="2"/>
  <c r="I14" i="3"/>
  <c r="E1" i="3"/>
  <c r="C14" i="3"/>
  <c r="I16" i="2"/>
  <c r="K24" i="2"/>
  <c r="K20" i="2"/>
  <c r="I6" i="1"/>
  <c r="I19" i="1" s="1"/>
  <c r="E1" i="2"/>
  <c r="I14" i="1"/>
  <c r="K25" i="1" s="1"/>
  <c r="M25" i="1" s="1"/>
  <c r="M14" i="1" s="1"/>
  <c r="C24" i="2"/>
  <c r="A1" i="2"/>
  <c r="A1" i="4" s="1"/>
  <c r="J23" i="1"/>
  <c r="B23" i="2"/>
  <c r="H14" i="1"/>
  <c r="G16" i="2"/>
  <c r="E13" i="1"/>
  <c r="E14" i="1" s="1"/>
  <c r="J24" i="2"/>
  <c r="H23" i="1"/>
  <c r="I24" i="2"/>
  <c r="H24" i="2"/>
  <c r="G24" i="2"/>
  <c r="B14" i="1"/>
  <c r="J25" i="1"/>
  <c r="N8" i="1"/>
  <c r="I20" i="2"/>
  <c r="H20" i="2"/>
  <c r="K23" i="1"/>
  <c r="H6" i="1"/>
  <c r="H19" i="1" s="1"/>
  <c r="F6" i="1"/>
  <c r="F19" i="1" s="1"/>
  <c r="E1" i="4"/>
  <c r="G9" i="11" l="1"/>
  <c r="I9" i="11"/>
  <c r="E36" i="11"/>
  <c r="J9" i="11"/>
  <c r="G43" i="8"/>
  <c r="G22" i="11" s="1"/>
  <c r="K9" i="11"/>
  <c r="L9" i="11"/>
  <c r="E9" i="11"/>
  <c r="G41" i="8"/>
  <c r="N9" i="1"/>
  <c r="D66" i="8"/>
  <c r="D68" i="8" s="1"/>
  <c r="L66" i="8"/>
  <c r="L68" i="8" s="1"/>
  <c r="I66" i="8"/>
  <c r="I68" i="8" s="1"/>
  <c r="F9" i="11"/>
  <c r="C66" i="8"/>
  <c r="C68" i="8" s="1"/>
  <c r="H9" i="11"/>
  <c r="G66" i="8"/>
  <c r="G39" i="11" s="1"/>
  <c r="E66" i="8"/>
  <c r="E68" i="8" s="1"/>
  <c r="K66" i="8"/>
  <c r="K68" i="8" s="1"/>
  <c r="G38" i="8"/>
  <c r="G24" i="11"/>
  <c r="F66" i="8"/>
  <c r="F68" i="8" s="1"/>
  <c r="F36" i="11"/>
  <c r="J40" i="11"/>
  <c r="C36" i="11"/>
  <c r="D38" i="11"/>
  <c r="D49" i="26"/>
  <c r="D69" i="26"/>
  <c r="D71" i="26" s="1"/>
  <c r="L19" i="1"/>
  <c r="L24" i="1" s="1"/>
  <c r="C38" i="11"/>
  <c r="K24" i="1"/>
  <c r="M24" i="1" s="1"/>
  <c r="M9" i="8"/>
  <c r="H36" i="11"/>
  <c r="F69" i="26"/>
  <c r="F71" i="26" s="1"/>
  <c r="F49" i="26"/>
  <c r="L40" i="11"/>
  <c r="J24" i="1"/>
  <c r="D36" i="13"/>
  <c r="G38" i="11"/>
  <c r="H69" i="26"/>
  <c r="H71" i="26" s="1"/>
  <c r="H49" i="26"/>
  <c r="C69" i="26"/>
  <c r="C71" i="26" s="1"/>
  <c r="C49" i="26"/>
  <c r="E69" i="26"/>
  <c r="E71" i="26" s="1"/>
  <c r="E49" i="26"/>
  <c r="G68" i="8"/>
  <c r="L38" i="11"/>
  <c r="I38" i="11"/>
  <c r="J66" i="8"/>
  <c r="J68" i="8" s="1"/>
  <c r="L108" i="8"/>
  <c r="E15" i="12"/>
  <c r="H66" i="8"/>
  <c r="H68" i="8" s="1"/>
  <c r="N31" i="11"/>
  <c r="C39" i="11"/>
  <c r="E38" i="11"/>
  <c r="J36" i="11"/>
  <c r="F40" i="11"/>
  <c r="O8" i="11"/>
  <c r="H4" i="20"/>
  <c r="G6" i="20"/>
  <c r="E12" i="12"/>
  <c r="K38" i="11"/>
  <c r="H24" i="1"/>
  <c r="E14" i="12"/>
  <c r="G36" i="11"/>
  <c r="N23" i="1"/>
  <c r="N4" i="1" s="1"/>
  <c r="O31" i="11"/>
  <c r="M11" i="1"/>
  <c r="E9" i="12"/>
  <c r="I36" i="11"/>
  <c r="E39" i="11"/>
  <c r="E10" i="12"/>
  <c r="J108" i="8"/>
  <c r="H38" i="11"/>
  <c r="O27" i="11"/>
  <c r="D33" i="11"/>
  <c r="N27" i="11"/>
  <c r="E11" i="12"/>
  <c r="D34" i="11"/>
  <c r="N28" i="11"/>
  <c r="O28" i="11"/>
  <c r="N15" i="11"/>
  <c r="O15" i="11"/>
  <c r="N29" i="11"/>
  <c r="O29" i="11"/>
  <c r="D35" i="11"/>
  <c r="N30" i="11"/>
  <c r="O30" i="11"/>
  <c r="N18" i="11"/>
  <c r="O18" i="11"/>
  <c r="L36" i="11"/>
  <c r="N17" i="11"/>
  <c r="O17" i="11"/>
  <c r="E13" i="12"/>
  <c r="N23" i="11"/>
  <c r="O23" i="11"/>
  <c r="M23" i="1"/>
  <c r="M4" i="1" s="1"/>
  <c r="M40" i="13"/>
  <c r="E33" i="13"/>
  <c r="O11" i="11"/>
  <c r="N11" i="11"/>
  <c r="K36" i="11"/>
  <c r="N6" i="12" a="1"/>
  <c r="N5" i="11"/>
  <c r="O5" i="11"/>
  <c r="E8" i="12"/>
  <c r="N8" i="11"/>
  <c r="D16" i="12"/>
  <c r="D108" i="8"/>
  <c r="I108" i="8"/>
  <c r="E108" i="8"/>
  <c r="K108" i="8"/>
  <c r="G108" i="8"/>
  <c r="H108" i="8"/>
  <c r="F108" i="8"/>
  <c r="C108" i="8"/>
  <c r="I38" i="8"/>
  <c r="I41" i="8"/>
  <c r="I43" i="8"/>
  <c r="I22" i="11" s="1"/>
  <c r="I24" i="11" s="1"/>
  <c r="C41" i="8"/>
  <c r="C43" i="8"/>
  <c r="C22" i="11" s="1"/>
  <c r="C24" i="11" s="1"/>
  <c r="J38" i="8"/>
  <c r="J43" i="8"/>
  <c r="J22" i="11" s="1"/>
  <c r="J24" i="11" s="1"/>
  <c r="D43" i="8"/>
  <c r="D38" i="8"/>
  <c r="D41" i="8"/>
  <c r="E43" i="8"/>
  <c r="E22" i="11" s="1"/>
  <c r="E24" i="11" s="1"/>
  <c r="E41" i="8"/>
  <c r="E38" i="8"/>
  <c r="H38" i="8"/>
  <c r="H41" i="8"/>
  <c r="H43" i="8"/>
  <c r="H22" i="11" s="1"/>
  <c r="H24" i="11" s="1"/>
  <c r="F43" i="8"/>
  <c r="F22" i="11" s="1"/>
  <c r="F24" i="11" s="1"/>
  <c r="F38" i="8"/>
  <c r="F41" i="8"/>
  <c r="J41" i="8"/>
  <c r="K38" i="8"/>
  <c r="K43" i="8"/>
  <c r="K22" i="11" s="1"/>
  <c r="K24" i="11" s="1"/>
  <c r="L38" i="8"/>
  <c r="L41" i="8"/>
  <c r="L43" i="8"/>
  <c r="L22" i="11" s="1"/>
  <c r="L24" i="11" s="1"/>
  <c r="M38" i="8"/>
  <c r="M43" i="8"/>
  <c r="K41" i="8"/>
  <c r="M17" i="8"/>
  <c r="M12" i="8"/>
  <c r="H17" i="8"/>
  <c r="H12" i="8"/>
  <c r="C17" i="8"/>
  <c r="C12" i="8"/>
  <c r="I17" i="8"/>
  <c r="I12" i="8"/>
  <c r="G17" i="8"/>
  <c r="G12" i="8"/>
  <c r="D17" i="8"/>
  <c r="P16" i="8" s="1"/>
  <c r="D12" i="8"/>
  <c r="F17" i="8"/>
  <c r="F12" i="8"/>
  <c r="J17" i="8"/>
  <c r="J12" i="8"/>
  <c r="E17" i="8"/>
  <c r="E12" i="8"/>
  <c r="K17" i="8"/>
  <c r="K12" i="8"/>
  <c r="L17" i="8"/>
  <c r="L12" i="8"/>
  <c r="I25" i="1"/>
  <c r="H25" i="1"/>
  <c r="I24" i="1"/>
  <c r="C22" i="12" l="1"/>
  <c r="O9" i="11"/>
  <c r="C25" i="12"/>
  <c r="N25" i="1"/>
  <c r="N14" i="1" s="1"/>
  <c r="F50" i="27"/>
  <c r="F52" i="27" s="1"/>
  <c r="F76" i="27" s="1"/>
  <c r="F77" i="27" s="1"/>
  <c r="N40" i="11"/>
  <c r="N9" i="11"/>
  <c r="J50" i="27"/>
  <c r="J52" i="27" s="1"/>
  <c r="J76" i="27" s="1"/>
  <c r="J77" i="27" s="1"/>
  <c r="M6" i="1"/>
  <c r="M10" i="1" s="1"/>
  <c r="M12" i="1" s="1"/>
  <c r="M13" i="1" s="1"/>
  <c r="M15" i="1" s="1"/>
  <c r="K39" i="11"/>
  <c r="K50" i="27"/>
  <c r="K52" i="27" s="1"/>
  <c r="K76" i="27" s="1"/>
  <c r="K77" i="27" s="1"/>
  <c r="D39" i="11"/>
  <c r="I39" i="11"/>
  <c r="L39" i="11"/>
  <c r="D50" i="27"/>
  <c r="D52" i="27" s="1"/>
  <c r="D76" i="27" s="1"/>
  <c r="D77" i="27" s="1"/>
  <c r="I50" i="27"/>
  <c r="I52" i="27" s="1"/>
  <c r="I76" i="27" s="1"/>
  <c r="I77" i="27" s="1"/>
  <c r="G50" i="27"/>
  <c r="G52" i="27" s="1"/>
  <c r="G76" i="27" s="1"/>
  <c r="G77" i="27" s="1"/>
  <c r="F39" i="11"/>
  <c r="H50" i="27"/>
  <c r="H52" i="27" s="1"/>
  <c r="H76" i="27" s="1"/>
  <c r="H77" i="27" s="1"/>
  <c r="D22" i="11"/>
  <c r="D24" i="11" s="1"/>
  <c r="C50" i="27"/>
  <c r="C52" i="27" s="1"/>
  <c r="C76" i="27" s="1"/>
  <c r="C77" i="27" s="1"/>
  <c r="E50" i="27"/>
  <c r="E52" i="27" s="1"/>
  <c r="E76" i="27" s="1"/>
  <c r="E77" i="27" s="1"/>
  <c r="H39" i="11"/>
  <c r="O40" i="11"/>
  <c r="N38" i="11"/>
  <c r="N24" i="1"/>
  <c r="N6" i="1" s="1"/>
  <c r="N5" i="1" s="1"/>
  <c r="O38" i="11"/>
  <c r="J39" i="11"/>
  <c r="I4" i="20"/>
  <c r="H6" i="20"/>
  <c r="M43" i="13"/>
  <c r="E36" i="13"/>
  <c r="M32" i="13" s="1"/>
  <c r="M34" i="13" s="1"/>
  <c r="M25" i="13" s="1"/>
  <c r="M26" i="13" s="1"/>
  <c r="M42" i="13" s="1"/>
  <c r="I25" i="11"/>
  <c r="I6" i="11"/>
  <c r="I21" i="11"/>
  <c r="I14" i="11"/>
  <c r="H14" i="11"/>
  <c r="H25" i="11"/>
  <c r="H6" i="11"/>
  <c r="H21" i="11"/>
  <c r="D36" i="11"/>
  <c r="N34" i="11"/>
  <c r="O34" i="11"/>
  <c r="C14" i="11"/>
  <c r="C21" i="11"/>
  <c r="I6" i="12" a="1"/>
  <c r="C25" i="11"/>
  <c r="J25" i="11"/>
  <c r="J6" i="11"/>
  <c r="J21" i="11"/>
  <c r="J14" i="11"/>
  <c r="K25" i="11"/>
  <c r="K14" i="11"/>
  <c r="K6" i="11"/>
  <c r="K21" i="11"/>
  <c r="E21" i="11"/>
  <c r="E25" i="11"/>
  <c r="E14" i="11"/>
  <c r="E6" i="11"/>
  <c r="F21" i="11"/>
  <c r="F25" i="11"/>
  <c r="F6" i="11"/>
  <c r="F14" i="11"/>
  <c r="D21" i="11"/>
  <c r="D6" i="11"/>
  <c r="D14" i="11"/>
  <c r="D25" i="11"/>
  <c r="L14" i="11"/>
  <c r="L21" i="11"/>
  <c r="L25" i="11"/>
  <c r="L6" i="11"/>
  <c r="G14" i="11"/>
  <c r="G21" i="11"/>
  <c r="G25" i="11"/>
  <c r="G6" i="11"/>
  <c r="N33" i="11"/>
  <c r="O33" i="11"/>
  <c r="N6" i="12"/>
  <c r="N7" i="12"/>
  <c r="N11" i="12"/>
  <c r="N12" i="12"/>
  <c r="N15" i="12"/>
  <c r="N10" i="12"/>
  <c r="N14" i="12"/>
  <c r="N13" i="12"/>
  <c r="N9" i="12"/>
  <c r="N8" i="12"/>
  <c r="O35" i="11"/>
  <c r="N35" i="11"/>
  <c r="D17" i="12"/>
  <c r="E16" i="12"/>
  <c r="L18" i="8"/>
  <c r="L12" i="11" s="1"/>
  <c r="L26" i="8"/>
  <c r="C18" i="8"/>
  <c r="C12" i="11" s="1"/>
  <c r="C26" i="8"/>
  <c r="C27" i="8" s="1"/>
  <c r="C13" i="11" s="1"/>
  <c r="C19" i="11" s="1"/>
  <c r="G18" i="8"/>
  <c r="G12" i="11" s="1"/>
  <c r="G26" i="8"/>
  <c r="I18" i="8"/>
  <c r="I12" i="11" s="1"/>
  <c r="I26" i="8"/>
  <c r="D18" i="8"/>
  <c r="D12" i="11" s="1"/>
  <c r="D26" i="8"/>
  <c r="K18" i="8"/>
  <c r="K12" i="11" s="1"/>
  <c r="K26" i="8"/>
  <c r="E18" i="8"/>
  <c r="E12" i="11" s="1"/>
  <c r="E26" i="8"/>
  <c r="J18" i="8"/>
  <c r="J12" i="11" s="1"/>
  <c r="J26" i="8"/>
  <c r="H18" i="8"/>
  <c r="H12" i="11" s="1"/>
  <c r="H26" i="8"/>
  <c r="F18" i="8"/>
  <c r="F12" i="11" s="1"/>
  <c r="F26" i="8"/>
  <c r="M18" i="8"/>
  <c r="M26" i="8"/>
  <c r="M27" i="8" s="1"/>
  <c r="N10" i="1"/>
  <c r="N12" i="1" s="1"/>
  <c r="N13" i="1" s="1"/>
  <c r="N15" i="1" s="1"/>
  <c r="M5" i="1" l="1"/>
  <c r="N22" i="11"/>
  <c r="O22" i="11"/>
  <c r="O39" i="11"/>
  <c r="O7" i="12"/>
  <c r="N39" i="11"/>
  <c r="O12" i="12"/>
  <c r="O8" i="12"/>
  <c r="O13" i="12"/>
  <c r="O10" i="12"/>
  <c r="J4" i="20"/>
  <c r="J6" i="20" s="1"/>
  <c r="J8" i="20" s="1"/>
  <c r="I6" i="20"/>
  <c r="O9" i="12"/>
  <c r="O36" i="11"/>
  <c r="N36" i="11"/>
  <c r="E27" i="8"/>
  <c r="E13" i="11" s="1"/>
  <c r="E19" i="11" s="1"/>
  <c r="E7" i="11"/>
  <c r="O24" i="11"/>
  <c r="N24" i="11"/>
  <c r="L27" i="8"/>
  <c r="L13" i="11" s="1"/>
  <c r="L19" i="11" s="1"/>
  <c r="I31" i="19"/>
  <c r="O26" i="8"/>
  <c r="L7" i="11"/>
  <c r="O14" i="12"/>
  <c r="O12" i="11"/>
  <c r="N12" i="11"/>
  <c r="O11" i="12"/>
  <c r="K27" i="8"/>
  <c r="K13" i="11" s="1"/>
  <c r="K19" i="11" s="1"/>
  <c r="H31" i="19"/>
  <c r="K7" i="11"/>
  <c r="F27" i="8"/>
  <c r="F13" i="11" s="1"/>
  <c r="F19" i="11" s="1"/>
  <c r="F7" i="11"/>
  <c r="I27" i="8"/>
  <c r="I13" i="11" s="1"/>
  <c r="I19" i="11" s="1"/>
  <c r="F31" i="19"/>
  <c r="I7" i="11"/>
  <c r="O25" i="11"/>
  <c r="N25" i="11"/>
  <c r="I6" i="12"/>
  <c r="I15" i="12"/>
  <c r="I14" i="12"/>
  <c r="I13" i="12"/>
  <c r="I8" i="12"/>
  <c r="I7" i="12"/>
  <c r="I12" i="12"/>
  <c r="I11" i="12"/>
  <c r="I10" i="12"/>
  <c r="I9" i="12"/>
  <c r="J27" i="8"/>
  <c r="J13" i="11" s="1"/>
  <c r="J19" i="11" s="1"/>
  <c r="G31" i="19"/>
  <c r="J7" i="11"/>
  <c r="D27" i="8"/>
  <c r="D13" i="11" s="1"/>
  <c r="D7" i="11"/>
  <c r="N16" i="12"/>
  <c r="O16" i="12" s="1"/>
  <c r="N14" i="11"/>
  <c r="O14" i="11"/>
  <c r="O15" i="12"/>
  <c r="G27" i="8"/>
  <c r="G13" i="11" s="1"/>
  <c r="G19" i="11" s="1"/>
  <c r="G7" i="11"/>
  <c r="O6" i="11"/>
  <c r="N6" i="11"/>
  <c r="H27" i="8"/>
  <c r="H13" i="11" s="1"/>
  <c r="H19" i="11" s="1"/>
  <c r="E31" i="19"/>
  <c r="H7" i="11"/>
  <c r="O21" i="11"/>
  <c r="N21" i="11"/>
  <c r="M45" i="13"/>
  <c r="C15" i="20" s="1"/>
  <c r="D18" i="12"/>
  <c r="E18" i="12" s="1"/>
  <c r="E17" i="12"/>
  <c r="C19" i="20" l="1"/>
  <c r="J11" i="12"/>
  <c r="J7" i="12"/>
  <c r="C20" i="20"/>
  <c r="H19" i="20" s="1"/>
  <c r="G10" i="20"/>
  <c r="I10" i="20"/>
  <c r="F10" i="20"/>
  <c r="H10" i="20"/>
  <c r="J10" i="20"/>
  <c r="J11" i="20" s="1"/>
  <c r="J8" i="12"/>
  <c r="J10" i="12"/>
  <c r="F40" i="19"/>
  <c r="F42" i="19" s="1"/>
  <c r="F45" i="19" s="1"/>
  <c r="F33" i="19"/>
  <c r="F54" i="19" s="1"/>
  <c r="J13" i="12"/>
  <c r="H40" i="19"/>
  <c r="H42" i="19" s="1"/>
  <c r="H45" i="19" s="1"/>
  <c r="H53" i="19" s="1"/>
  <c r="H33" i="19"/>
  <c r="H54" i="19" s="1"/>
  <c r="J12" i="12"/>
  <c r="O7" i="11"/>
  <c r="N7" i="11"/>
  <c r="J14" i="12"/>
  <c r="D19" i="11"/>
  <c r="N13" i="11"/>
  <c r="O13" i="11"/>
  <c r="J15" i="12"/>
  <c r="J9" i="12"/>
  <c r="N17" i="12"/>
  <c r="I40" i="19"/>
  <c r="I42" i="19" s="1"/>
  <c r="I45" i="19" s="1"/>
  <c r="I53" i="19" s="1"/>
  <c r="I33" i="19"/>
  <c r="I54" i="19" s="1"/>
  <c r="E40" i="19"/>
  <c r="E42" i="19" s="1"/>
  <c r="E33" i="19"/>
  <c r="G40" i="19"/>
  <c r="G42" i="19" s="1"/>
  <c r="G45" i="19" s="1"/>
  <c r="G53" i="19" s="1"/>
  <c r="G33" i="19"/>
  <c r="G54" i="19" s="1"/>
  <c r="I16" i="12"/>
  <c r="D19" i="12"/>
  <c r="C23" i="20" l="1"/>
  <c r="C28" i="20" s="1"/>
  <c r="I17" i="12"/>
  <c r="J16" i="12"/>
  <c r="N19" i="11"/>
  <c r="O19" i="11"/>
  <c r="H56" i="19"/>
  <c r="O17" i="12"/>
  <c r="N18" i="12"/>
  <c r="O18" i="12" s="1"/>
  <c r="G56" i="19"/>
  <c r="F53" i="19"/>
  <c r="F56" i="19" s="1"/>
  <c r="I47" i="19"/>
  <c r="I48" i="19"/>
  <c r="E7" i="20" s="1"/>
  <c r="F7" i="20" s="1"/>
  <c r="I56" i="19"/>
  <c r="D20" i="12"/>
  <c r="E20" i="12" s="1"/>
  <c r="E19" i="12"/>
  <c r="N19" i="12" l="1"/>
  <c r="O19" i="12" s="1"/>
  <c r="E8" i="20"/>
  <c r="I18" i="12"/>
  <c r="J17" i="12"/>
  <c r="N20" i="12" l="1"/>
  <c r="O20" i="12" s="1"/>
  <c r="G7" i="20"/>
  <c r="F8" i="20"/>
  <c r="F11" i="20" s="1"/>
  <c r="J18" i="12"/>
  <c r="I19" i="12"/>
  <c r="H7" i="20" l="1"/>
  <c r="G8" i="20"/>
  <c r="G11" i="20" s="1"/>
  <c r="I20" i="12"/>
  <c r="J20" i="12" s="1"/>
  <c r="J19" i="12"/>
  <c r="I7" i="20" l="1"/>
  <c r="I8" i="20" s="1"/>
  <c r="I11" i="20" s="1"/>
  <c r="H8" i="20"/>
  <c r="H11" i="20" s="1"/>
  <c r="C27" i="20" l="1"/>
  <c r="C29" i="20" s="1"/>
  <c r="E19" i="20" s="1"/>
  <c r="C33" i="20" l="1"/>
  <c r="C36" i="20" s="1"/>
  <c r="C39" i="20" s="1"/>
</calcChain>
</file>

<file path=xl/sharedStrings.xml><?xml version="1.0" encoding="utf-8"?>
<sst xmlns="http://schemas.openxmlformats.org/spreadsheetml/2006/main" count="671" uniqueCount="470">
  <si>
    <t>COMPANY NAME</t>
  </si>
  <si>
    <t>SCREENER.IN</t>
  </si>
  <si>
    <t>Narration</t>
  </si>
  <si>
    <t>Trailing</t>
  </si>
  <si>
    <t>Best Case</t>
  </si>
  <si>
    <t>Worst Case</t>
  </si>
  <si>
    <t>Sales</t>
  </si>
  <si>
    <t>Expenses</t>
  </si>
  <si>
    <t>Operating Profit</t>
  </si>
  <si>
    <t>Other Income</t>
  </si>
  <si>
    <t>Depreciation</t>
  </si>
  <si>
    <t>Interest</t>
  </si>
  <si>
    <t>Profit before tax</t>
  </si>
  <si>
    <t>Tax</t>
  </si>
  <si>
    <t>Net profit</t>
  </si>
  <si>
    <t>RATIOS:</t>
  </si>
  <si>
    <t>Price to earning</t>
  </si>
  <si>
    <t>Dividend Payout</t>
  </si>
  <si>
    <t>OPM</t>
  </si>
  <si>
    <t>TRENDS:</t>
  </si>
  <si>
    <t>BEST</t>
  </si>
  <si>
    <t>WORST</t>
  </si>
  <si>
    <t>Sales Growth</t>
  </si>
  <si>
    <t>Price to Earning</t>
  </si>
  <si>
    <t>Equity Share Capital</t>
  </si>
  <si>
    <t>Reserves</t>
  </si>
  <si>
    <t>Total</t>
  </si>
  <si>
    <t>Net Block</t>
  </si>
  <si>
    <t>Capital Work in Progress</t>
  </si>
  <si>
    <t>Investments</t>
  </si>
  <si>
    <t>Working Capital</t>
  </si>
  <si>
    <t>Face Value</t>
  </si>
  <si>
    <t>Cash from Operating Activity</t>
  </si>
  <si>
    <t>Cash from Investing Activity</t>
  </si>
  <si>
    <t>Cash from Financing Activity</t>
  </si>
  <si>
    <t>Net Cash Flow</t>
  </si>
  <si>
    <t>PLEASE DO NOT MAKE ANY CHANGES TO THIS SHEET</t>
  </si>
  <si>
    <t>PROFIT &amp; LOSS</t>
  </si>
  <si>
    <t>Report Date</t>
  </si>
  <si>
    <t>Quarters</t>
  </si>
  <si>
    <t>BALANCE SHEET</t>
  </si>
  <si>
    <t>CASH FLOW:</t>
  </si>
  <si>
    <t>Number of shares</t>
  </si>
  <si>
    <t>Current Price</t>
  </si>
  <si>
    <t>Debtors</t>
  </si>
  <si>
    <t>Inventory</t>
  </si>
  <si>
    <t>Debtor Days</t>
  </si>
  <si>
    <t>Inventory Turnover</t>
  </si>
  <si>
    <t>EPS</t>
  </si>
  <si>
    <t>Price</t>
  </si>
  <si>
    <t>Return on Equity</t>
  </si>
  <si>
    <t>Return on Capital Emp</t>
  </si>
  <si>
    <t>LATEST VERSION</t>
  </si>
  <si>
    <t>CURRENT VERSION</t>
  </si>
  <si>
    <t>AVENUE SUPERMARTS LTD</t>
  </si>
  <si>
    <t>META</t>
  </si>
  <si>
    <t>10 YEARS</t>
  </si>
  <si>
    <t>7 YEARS</t>
  </si>
  <si>
    <t>5 YEARS</t>
  </si>
  <si>
    <t>3 YEARS</t>
  </si>
  <si>
    <t>RECENT</t>
  </si>
  <si>
    <t>Dividend Amount</t>
  </si>
  <si>
    <t>Borrowings</t>
  </si>
  <si>
    <t>Other Liabilities</t>
  </si>
  <si>
    <t>Other Assets</t>
  </si>
  <si>
    <t>No. of Equity Shares</t>
  </si>
  <si>
    <t>New Bonus Shares</t>
  </si>
  <si>
    <t>DERIVED:</t>
  </si>
  <si>
    <t>PRICE:</t>
  </si>
  <si>
    <t>Receivables</t>
  </si>
  <si>
    <t>Market Capitalization</t>
  </si>
  <si>
    <t>Raw Material Cost</t>
  </si>
  <si>
    <t>Change in Inventory</t>
  </si>
  <si>
    <t>Power and Fuel</t>
  </si>
  <si>
    <t>Other Mfr. Exp</t>
  </si>
  <si>
    <t>Employee Cost</t>
  </si>
  <si>
    <t>Selling and admin</t>
  </si>
  <si>
    <t>Other Expenses</t>
  </si>
  <si>
    <t>Cash &amp; Bank</t>
  </si>
  <si>
    <t>Face value</t>
  </si>
  <si>
    <t>Adjusted Equity Shares in Cr</t>
  </si>
  <si>
    <t xml:space="preserve">Years </t>
  </si>
  <si>
    <t>LTM</t>
  </si>
  <si>
    <t>#</t>
  </si>
  <si>
    <t xml:space="preserve">Income Statement </t>
  </si>
  <si>
    <t>COGS</t>
  </si>
  <si>
    <t>Gross Margine(COGS % Sales)</t>
  </si>
  <si>
    <t>Gross Profit</t>
  </si>
  <si>
    <t>Selling &amp; Gernal Expenses</t>
  </si>
  <si>
    <t>S &amp; G Exp % Sales</t>
  </si>
  <si>
    <t>EBITDA</t>
  </si>
  <si>
    <t>EBITDA % Sales</t>
  </si>
  <si>
    <t>-</t>
  </si>
  <si>
    <t xml:space="preserve">Deprisiation </t>
  </si>
  <si>
    <t>Interest % Sales</t>
  </si>
  <si>
    <t>Deprisiation % Sales</t>
  </si>
  <si>
    <t>EBT</t>
  </si>
  <si>
    <t xml:space="preserve">EBT %  Sales </t>
  </si>
  <si>
    <t>TAX</t>
  </si>
  <si>
    <t>Gross Profit % Sales</t>
  </si>
  <si>
    <t xml:space="preserve">TAX % Sales </t>
  </si>
  <si>
    <t xml:space="preserve">Net Profit </t>
  </si>
  <si>
    <t>Net Profit % Sales</t>
  </si>
  <si>
    <t xml:space="preserve">No Of Equity Share </t>
  </si>
  <si>
    <t xml:space="preserve">Dividend per Share </t>
  </si>
  <si>
    <t>EPS Growth %</t>
  </si>
  <si>
    <t>Dividend Payout Ratio</t>
  </si>
  <si>
    <t>Retained Earning</t>
  </si>
  <si>
    <t>Balance Sheet</t>
  </si>
  <si>
    <t>Total Liablities</t>
  </si>
  <si>
    <t>Fix Asset Net Block</t>
  </si>
  <si>
    <t>Total Non Current Asset</t>
  </si>
  <si>
    <t>Total Current Asset</t>
  </si>
  <si>
    <t>Total Asset</t>
  </si>
  <si>
    <t>Check</t>
  </si>
  <si>
    <t>Profit from operations</t>
  </si>
  <si>
    <t>Payables</t>
  </si>
  <si>
    <t>Loans Advances</t>
  </si>
  <si>
    <t>Other WC items</t>
  </si>
  <si>
    <t>Working capital changes</t>
  </si>
  <si>
    <t>Direct taxes</t>
  </si>
  <si>
    <t>Fixed assets purchased</t>
  </si>
  <si>
    <t>Fixed assets sold</t>
  </si>
  <si>
    <t>Investments purchased</t>
  </si>
  <si>
    <t>Investments sold</t>
  </si>
  <si>
    <t>Interest received</t>
  </si>
  <si>
    <t>Dividends received</t>
  </si>
  <si>
    <t>Investment in group cos</t>
  </si>
  <si>
    <t>Redemp n Canc of Shares</t>
  </si>
  <si>
    <t>Acquisition of companies</t>
  </si>
  <si>
    <t>Inter corporate deposits</t>
  </si>
  <si>
    <t>Other investing items</t>
  </si>
  <si>
    <t>Proceeds from shares</t>
  </si>
  <si>
    <t>Redemption of debentures</t>
  </si>
  <si>
    <t>Proceeds from borrowings</t>
  </si>
  <si>
    <t>Repayment of borrowings</t>
  </si>
  <si>
    <t>Interest paid fin</t>
  </si>
  <si>
    <t>Dividends paid</t>
  </si>
  <si>
    <t>Financial liabilities</t>
  </si>
  <si>
    <t>Other financing items</t>
  </si>
  <si>
    <t xml:space="preserve">Cash Flow </t>
  </si>
  <si>
    <r>
      <t>Operating Activity </t>
    </r>
    <r>
      <rPr>
        <b/>
        <sz val="11"/>
        <color rgb="FF665EFD"/>
        <rFont val="Arial"/>
        <family val="2"/>
      </rPr>
      <t>-</t>
    </r>
  </si>
  <si>
    <r>
      <t>Cash from Operating Activity </t>
    </r>
    <r>
      <rPr>
        <b/>
        <sz val="11"/>
        <color rgb="FF665EFD"/>
        <rFont val="Arial"/>
        <family val="2"/>
      </rPr>
      <t>-</t>
    </r>
  </si>
  <si>
    <r>
      <t>Investing Activity </t>
    </r>
    <r>
      <rPr>
        <b/>
        <sz val="11"/>
        <color rgb="FF665EFD"/>
        <rFont val="Arial"/>
        <family val="2"/>
      </rPr>
      <t>-</t>
    </r>
  </si>
  <si>
    <r>
      <t>Cash from Investing Activity </t>
    </r>
    <r>
      <rPr>
        <b/>
        <sz val="11"/>
        <color rgb="FF665EFD"/>
        <rFont val="Arial"/>
        <family val="2"/>
      </rPr>
      <t>-</t>
    </r>
  </si>
  <si>
    <r>
      <t>Cash from Financing Activity </t>
    </r>
    <r>
      <rPr>
        <b/>
        <sz val="11"/>
        <color rgb="FF665EFD"/>
        <rFont val="Arial"/>
        <family val="2"/>
      </rPr>
      <t>-</t>
    </r>
  </si>
  <si>
    <r>
      <t>Financing Activity </t>
    </r>
    <r>
      <rPr>
        <b/>
        <sz val="11"/>
        <color rgb="FF665EFD"/>
        <rFont val="Arial"/>
        <family val="2"/>
      </rPr>
      <t>-</t>
    </r>
  </si>
  <si>
    <t>EBITDA Growth</t>
  </si>
  <si>
    <t>EBIT Growth</t>
  </si>
  <si>
    <t>Net Profit Growth</t>
  </si>
  <si>
    <t>Dividend Growth</t>
  </si>
  <si>
    <t>Gross Margine</t>
  </si>
  <si>
    <t>EBITDA Magrine</t>
  </si>
  <si>
    <t>EBIT Margine</t>
  </si>
  <si>
    <t>Net Profit Margine</t>
  </si>
  <si>
    <t>SalesEXpenses %sales</t>
  </si>
  <si>
    <t>Deprisiation%Sales</t>
  </si>
  <si>
    <t>OperatinMargine%Sales</t>
  </si>
  <si>
    <t>Return on Capital Employed</t>
  </si>
  <si>
    <t>Return On Equity%</t>
  </si>
  <si>
    <t>Self sustained Growth Rate</t>
  </si>
  <si>
    <t>Intrest Coverage Ratio</t>
  </si>
  <si>
    <t>Creditor Turnover Ratio</t>
  </si>
  <si>
    <t>Inventry Turnover Ratio</t>
  </si>
  <si>
    <t xml:space="preserve">Fixed Asset Turnover </t>
  </si>
  <si>
    <t xml:space="preserve">Capital Turnover </t>
  </si>
  <si>
    <t>Debtor Turnover Ratio</t>
  </si>
  <si>
    <t>Debtors Days</t>
  </si>
  <si>
    <t>Payable Days</t>
  </si>
  <si>
    <t>Inventory Days</t>
  </si>
  <si>
    <t>Cash Conversion Cycle</t>
  </si>
  <si>
    <t>CFO/ Sales</t>
  </si>
  <si>
    <t>CFO/Total Asset</t>
  </si>
  <si>
    <t>CFO/Total Debt</t>
  </si>
  <si>
    <t>Mean</t>
  </si>
  <si>
    <t>Median</t>
  </si>
  <si>
    <t>Trend</t>
  </si>
  <si>
    <t>Year Weight</t>
  </si>
  <si>
    <t>Year</t>
  </si>
  <si>
    <t>Arithmatic Mean</t>
  </si>
  <si>
    <t>Geometric Mean</t>
  </si>
  <si>
    <t>Standard Deviation</t>
  </si>
  <si>
    <t>EPS Growth</t>
  </si>
  <si>
    <t>Weighted Average Cost of Capital</t>
  </si>
  <si>
    <t>All Figures are in INR Unless satrted otherwise</t>
  </si>
  <si>
    <t>Peer Comps</t>
  </si>
  <si>
    <t>Name Of The Comp</t>
  </si>
  <si>
    <t xml:space="preserve">Country </t>
  </si>
  <si>
    <t xml:space="preserve">Total Debt </t>
  </si>
  <si>
    <t xml:space="preserve">Total Equity </t>
  </si>
  <si>
    <r>
      <t xml:space="preserve">Tax Rate </t>
    </r>
    <r>
      <rPr>
        <vertAlign val="superscript"/>
        <sz val="11"/>
        <color theme="1"/>
        <rFont val="Calibri"/>
        <family val="2"/>
        <scheme val="minor"/>
      </rPr>
      <t>1</t>
    </r>
  </si>
  <si>
    <t>Debt /</t>
  </si>
  <si>
    <t>Equity</t>
  </si>
  <si>
    <t>Debt/</t>
  </si>
  <si>
    <t>Capital</t>
  </si>
  <si>
    <r>
      <t xml:space="preserve">Beta </t>
    </r>
    <r>
      <rPr>
        <vertAlign val="superscript"/>
        <sz val="11"/>
        <color theme="1"/>
        <rFont val="Calibri"/>
        <family val="2"/>
        <scheme val="minor"/>
      </rPr>
      <t>2</t>
    </r>
  </si>
  <si>
    <r>
      <t xml:space="preserve">Beta </t>
    </r>
    <r>
      <rPr>
        <vertAlign val="superscript"/>
        <sz val="11"/>
        <color theme="1"/>
        <rFont val="Calibri"/>
        <family val="2"/>
        <scheme val="minor"/>
      </rPr>
      <t>3</t>
    </r>
  </si>
  <si>
    <t>Unleverd</t>
  </si>
  <si>
    <t>Leverd</t>
  </si>
  <si>
    <t>India</t>
  </si>
  <si>
    <t>Average</t>
  </si>
  <si>
    <t xml:space="preserve">Cost Of Debt </t>
  </si>
  <si>
    <t>Cost Of Equity</t>
  </si>
  <si>
    <t>Pre -Tax Cost Of Debt</t>
  </si>
  <si>
    <t>Tax Rate</t>
  </si>
  <si>
    <t>Post -Tax Cost Of Debt</t>
  </si>
  <si>
    <t>Risk Free rate</t>
  </si>
  <si>
    <t xml:space="preserve">Equity Risk Primium </t>
  </si>
  <si>
    <r>
      <t xml:space="preserve">Levered Beta </t>
    </r>
    <r>
      <rPr>
        <vertAlign val="superscript"/>
        <sz val="11"/>
        <color theme="1"/>
        <rFont val="Calibri"/>
        <family val="2"/>
        <scheme val="minor"/>
      </rPr>
      <t>4</t>
    </r>
  </si>
  <si>
    <t>Capital Structure</t>
  </si>
  <si>
    <t>Total Debt</t>
  </si>
  <si>
    <t xml:space="preserve">Market Capitalization </t>
  </si>
  <si>
    <t>Total Capital</t>
  </si>
  <si>
    <t>Current</t>
  </si>
  <si>
    <t>Target</t>
  </si>
  <si>
    <t xml:space="preserve">Cost Of Equity </t>
  </si>
  <si>
    <t>Leveard Beta</t>
  </si>
  <si>
    <t>Comps Median Unleverad Beta</t>
  </si>
  <si>
    <t>Target Rate /Equity</t>
  </si>
  <si>
    <t>Leverad Beta</t>
  </si>
  <si>
    <t>Debt / Equity</t>
  </si>
  <si>
    <t>1. Tax Rate considered as Marginal Tax Rate for the country</t>
  </si>
  <si>
    <t>2. Levered Beta is based on 2 year Weekly data</t>
  </si>
  <si>
    <t>3. Unlevered Beta = Levered Beta/(1+(1-Tax Rate) x Debt/Equity)</t>
  </si>
  <si>
    <t>3. Levered Beta = Unlevered Beta/(1+(1-Tax Rate) x Debt/Equity)</t>
  </si>
  <si>
    <t>Date</t>
  </si>
  <si>
    <t>Closing Price</t>
  </si>
  <si>
    <t>Return</t>
  </si>
  <si>
    <t>Avenue Supermart Weekly Report</t>
  </si>
  <si>
    <t>NIFTY Returns</t>
  </si>
  <si>
    <t xml:space="preserve">Beta 1 </t>
  </si>
  <si>
    <t>beta2</t>
  </si>
  <si>
    <t xml:space="preserve">Beta 3 </t>
  </si>
  <si>
    <t>Regression Statistics</t>
  </si>
  <si>
    <t>Multiple R</t>
  </si>
  <si>
    <t>R Square</t>
  </si>
  <si>
    <t>Adjusted R Square</t>
  </si>
  <si>
    <t>Standard Error</t>
  </si>
  <si>
    <t>Observations</t>
  </si>
  <si>
    <t>ANOVA</t>
  </si>
  <si>
    <t>Regression</t>
  </si>
  <si>
    <t>Residual</t>
  </si>
  <si>
    <t>Intercept</t>
  </si>
  <si>
    <t>df</t>
  </si>
  <si>
    <t>SS</t>
  </si>
  <si>
    <t>MS</t>
  </si>
  <si>
    <t>F</t>
  </si>
  <si>
    <t>Significance F</t>
  </si>
  <si>
    <t>Coefficients</t>
  </si>
  <si>
    <t>t Stat</t>
  </si>
  <si>
    <t>P-value</t>
  </si>
  <si>
    <t>Lower 95%</t>
  </si>
  <si>
    <t>Upper 95%</t>
  </si>
  <si>
    <t>Lower 95.0%</t>
  </si>
  <si>
    <t>Upper 95.0%</t>
  </si>
  <si>
    <t>X Variable 1</t>
  </si>
  <si>
    <t xml:space="preserve">Beta drifting </t>
  </si>
  <si>
    <t>Leaverged Raw Beta</t>
  </si>
  <si>
    <t>Raw Beta Weight</t>
  </si>
  <si>
    <t>Market Raw Beta</t>
  </si>
  <si>
    <t>Market Beta Weight</t>
  </si>
  <si>
    <t>Adjusted Beta</t>
  </si>
  <si>
    <t>Avenue Super.</t>
  </si>
  <si>
    <t>Vishal Mega Mart</t>
  </si>
  <si>
    <t>S.No.</t>
  </si>
  <si>
    <t>Name</t>
  </si>
  <si>
    <t>CMP Rs.</t>
  </si>
  <si>
    <t>Debt Rs.Cr.</t>
  </si>
  <si>
    <t>Debt / Eq</t>
  </si>
  <si>
    <t>Trent</t>
  </si>
  <si>
    <t>Info Edg.(India)</t>
  </si>
  <si>
    <t>FSN E-Commerce</t>
  </si>
  <si>
    <t>Vedant Fashions</t>
  </si>
  <si>
    <t>Brainbees Solut.</t>
  </si>
  <si>
    <t>A B Lifestyle</t>
  </si>
  <si>
    <t>Indiamart Inter.</t>
  </si>
  <si>
    <t>Medplus Health</t>
  </si>
  <si>
    <t>Cartrade Tech</t>
  </si>
  <si>
    <t>Aditya Bir. Fas.</t>
  </si>
  <si>
    <t>RattanIndia Ent</t>
  </si>
  <si>
    <t xml:space="preserve">Mar Cap Rs.Cr. </t>
  </si>
  <si>
    <t xml:space="preserve">Metro Brands </t>
  </si>
  <si>
    <t>Metro Brands</t>
  </si>
  <si>
    <t>Annual</t>
  </si>
  <si>
    <t>Return On Market</t>
  </si>
  <si>
    <t xml:space="preserve">Average Return </t>
  </si>
  <si>
    <t xml:space="preserve">Dividend yeild </t>
  </si>
  <si>
    <r>
      <t xml:space="preserve">1.24% </t>
    </r>
    <r>
      <rPr>
        <vertAlign val="superscript"/>
        <sz val="11"/>
        <color theme="1"/>
        <rFont val="Calibri"/>
        <family val="2"/>
        <scheme val="minor"/>
      </rPr>
      <t>1</t>
    </r>
  </si>
  <si>
    <t xml:space="preserve">Total return </t>
  </si>
  <si>
    <t>Debt Weight</t>
  </si>
  <si>
    <t>Cost of Equity</t>
  </si>
  <si>
    <t>Equity Weight</t>
  </si>
  <si>
    <t>Particular</t>
  </si>
  <si>
    <t xml:space="preserve">EBITDA </t>
  </si>
  <si>
    <t xml:space="preserve">Total Asset </t>
  </si>
  <si>
    <t>Equity Capital</t>
  </si>
  <si>
    <t>Long term Borrowings</t>
  </si>
  <si>
    <t>Short term Borrowings</t>
  </si>
  <si>
    <t>Lease Liabilities</t>
  </si>
  <si>
    <t>Other Borrowings</t>
  </si>
  <si>
    <r>
      <t>Other Liabilities </t>
    </r>
    <r>
      <rPr>
        <sz val="11"/>
        <color rgb="FF665EFD"/>
        <rFont val="Arial"/>
        <family val="2"/>
      </rPr>
      <t>-</t>
    </r>
  </si>
  <si>
    <t>Non controlling int</t>
  </si>
  <si>
    <t>Trade Payables</t>
  </si>
  <si>
    <t>Other liability items</t>
  </si>
  <si>
    <t>Total Liabilities</t>
  </si>
  <si>
    <r>
      <t>Fixed Assets </t>
    </r>
    <r>
      <rPr>
        <sz val="11"/>
        <color rgb="FF665EFD"/>
        <rFont val="Arial"/>
        <family val="2"/>
      </rPr>
      <t>-</t>
    </r>
  </si>
  <si>
    <t>Land</t>
  </si>
  <si>
    <t>Building</t>
  </si>
  <si>
    <t>Plant Machinery</t>
  </si>
  <si>
    <t>Equipments</t>
  </si>
  <si>
    <t>Furniture n fittings</t>
  </si>
  <si>
    <t>Vehicles</t>
  </si>
  <si>
    <t>Intangible Assets</t>
  </si>
  <si>
    <t>Other fixed assets</t>
  </si>
  <si>
    <t>Gross Block</t>
  </si>
  <si>
    <t>Accumulated Depreciation</t>
  </si>
  <si>
    <t>CWIP</t>
  </si>
  <si>
    <t>Inventories</t>
  </si>
  <si>
    <t>Cash Equivalents</t>
  </si>
  <si>
    <t>Loans n Advances</t>
  </si>
  <si>
    <t>Other asset items</t>
  </si>
  <si>
    <t>Total Assets</t>
  </si>
  <si>
    <t>Particulars</t>
  </si>
  <si>
    <r>
      <t>Borrowings </t>
    </r>
    <r>
      <rPr>
        <b/>
        <sz val="11"/>
        <color rgb="FF665EFD"/>
        <rFont val="Arial"/>
        <family val="2"/>
      </rPr>
      <t>-</t>
    </r>
  </si>
  <si>
    <t>Calculation Of ROIC</t>
  </si>
  <si>
    <t>Total Current asset</t>
  </si>
  <si>
    <t>Current Liablities</t>
  </si>
  <si>
    <t>Total Current Liablities</t>
  </si>
  <si>
    <t>Net Working Capital</t>
  </si>
  <si>
    <t>Non Current Asset</t>
  </si>
  <si>
    <t>Net Non Current Asset</t>
  </si>
  <si>
    <t>Invested Capital</t>
  </si>
  <si>
    <t>EBIT</t>
  </si>
  <si>
    <t>ROIC</t>
  </si>
  <si>
    <t>Net capax</t>
  </si>
  <si>
    <t>Change In Working Capital</t>
  </si>
  <si>
    <t>Marginal Tax Rate</t>
  </si>
  <si>
    <t>EBIT(1-T)</t>
  </si>
  <si>
    <t>Reinvestment</t>
  </si>
  <si>
    <t>Calculation Of Reinvestment Rate</t>
  </si>
  <si>
    <t>Reinstemnt Rate</t>
  </si>
  <si>
    <t>4 Year Average</t>
  </si>
  <si>
    <t>4 Year Median</t>
  </si>
  <si>
    <t xml:space="preserve">Calculation Of Growth Rate </t>
  </si>
  <si>
    <t>Intrensic Growth</t>
  </si>
  <si>
    <t>WACC</t>
  </si>
  <si>
    <r>
      <t>Cash from Operating Activity </t>
    </r>
    <r>
      <rPr>
        <sz val="11"/>
        <color rgb="FF665EFD"/>
        <rFont val="Arial"/>
        <family val="2"/>
      </rPr>
      <t>-</t>
    </r>
  </si>
  <si>
    <t>Operating investments</t>
  </si>
  <si>
    <r>
      <t>Cash from Investing Activity </t>
    </r>
    <r>
      <rPr>
        <sz val="11"/>
        <color rgb="FF665EFD"/>
        <rFont val="Arial"/>
        <family val="2"/>
      </rPr>
      <t>-</t>
    </r>
  </si>
  <si>
    <t>Investment income</t>
  </si>
  <si>
    <r>
      <t>Cash from Financing Activity </t>
    </r>
    <r>
      <rPr>
        <sz val="11"/>
        <color rgb="FF665EFD"/>
        <rFont val="Arial"/>
        <family val="2"/>
      </rPr>
      <t>-</t>
    </r>
  </si>
  <si>
    <t>Proceeds from debentures</t>
  </si>
  <si>
    <t>Share application money</t>
  </si>
  <si>
    <t>Computers</t>
  </si>
  <si>
    <t>Trade receivables</t>
  </si>
  <si>
    <t>Other Assets -</t>
  </si>
  <si>
    <t>Calculation Of PV Of FCFF</t>
  </si>
  <si>
    <t xml:space="preserve">EBIT </t>
  </si>
  <si>
    <t xml:space="preserve">Tax Rate </t>
  </si>
  <si>
    <t xml:space="preserve">Less: Reinvestment Rate </t>
  </si>
  <si>
    <t>Free Cash Flow Of Firm(FCFF)</t>
  </si>
  <si>
    <t>Expected Growth</t>
  </si>
  <si>
    <t>Terminal Growth</t>
  </si>
  <si>
    <t>PV Of  FCFF</t>
  </si>
  <si>
    <t xml:space="preserve">Mid Year Convension </t>
  </si>
  <si>
    <t xml:space="preserve">Discounting Factor </t>
  </si>
  <si>
    <t>Calculation OF Terminal Value</t>
  </si>
  <si>
    <t>FCFF (n+1)</t>
  </si>
  <si>
    <t xml:space="preserve">Terminal Value Rate </t>
  </si>
  <si>
    <t xml:space="preserve">Terminal Value </t>
  </si>
  <si>
    <t>Calculation Of Equity Value</t>
  </si>
  <si>
    <t>PV Of FCFF</t>
  </si>
  <si>
    <t xml:space="preserve">PV Of Terminal Value </t>
  </si>
  <si>
    <t>Value Of Operating Asset</t>
  </si>
  <si>
    <t xml:space="preserve">Add: Cash </t>
  </si>
  <si>
    <t>Less : Debt</t>
  </si>
  <si>
    <t xml:space="preserve">Value Of Equity </t>
  </si>
  <si>
    <t>No Of Shares</t>
  </si>
  <si>
    <t>Equity Value Per Share</t>
  </si>
  <si>
    <t>Share Price</t>
  </si>
  <si>
    <t>Discounted/Primium</t>
  </si>
  <si>
    <t>Comparable Of Company Valuation</t>
  </si>
  <si>
    <t xml:space="preserve">Company </t>
  </si>
  <si>
    <t>Ticker</t>
  </si>
  <si>
    <t xml:space="preserve">Share Price </t>
  </si>
  <si>
    <t>Share Outstanding</t>
  </si>
  <si>
    <t xml:space="preserve">Equity Value </t>
  </si>
  <si>
    <t>Net Debt</t>
  </si>
  <si>
    <t>Enterprice Value</t>
  </si>
  <si>
    <t>Market Data</t>
  </si>
  <si>
    <t xml:space="preserve">Revenue </t>
  </si>
  <si>
    <t>Net Income</t>
  </si>
  <si>
    <t>Valuation</t>
  </si>
  <si>
    <t>Financial</t>
  </si>
  <si>
    <t>EV / EBITDA</t>
  </si>
  <si>
    <t>Eternal Ltd</t>
  </si>
  <si>
    <t>Swiggy</t>
  </si>
  <si>
    <t>No. Eq. Shares Cr.</t>
  </si>
  <si>
    <t>Cash End Rs.Cr.</t>
  </si>
  <si>
    <t>EV Rs.Cr.</t>
  </si>
  <si>
    <t>Sales Rs.Cr.</t>
  </si>
  <si>
    <t>NP 12M Rs.Cr.</t>
  </si>
  <si>
    <t>Market Cap</t>
  </si>
  <si>
    <t>EV</t>
  </si>
  <si>
    <t>EV/Revenue</t>
  </si>
  <si>
    <t>EV/EBITDA</t>
  </si>
  <si>
    <t>P/E</t>
  </si>
  <si>
    <t xml:space="preserve">High </t>
  </si>
  <si>
    <t xml:space="preserve">75 th Percetile </t>
  </si>
  <si>
    <t xml:space="preserve">Average </t>
  </si>
  <si>
    <t xml:space="preserve">Median </t>
  </si>
  <si>
    <t xml:space="preserve">25 th Percentile </t>
  </si>
  <si>
    <t>Low</t>
  </si>
  <si>
    <t xml:space="preserve">AvenuesuperMart Comparable Valuation </t>
  </si>
  <si>
    <t>Implied Interprice Value</t>
  </si>
  <si>
    <t xml:space="preserve">Net Debt </t>
  </si>
  <si>
    <t xml:space="preserve">Implied Market Value </t>
  </si>
  <si>
    <t>Implied Value Per share</t>
  </si>
  <si>
    <t>Sensitivity Analysis</t>
  </si>
  <si>
    <t>Close</t>
  </si>
  <si>
    <t>Avenue SuperMart Historical Data  - 2018-2025</t>
  </si>
  <si>
    <t>Calculation Of Value At Risk -AvenueSuperMart</t>
  </si>
  <si>
    <t xml:space="preserve">Mean </t>
  </si>
  <si>
    <t xml:space="preserve">Standard Deviation </t>
  </si>
  <si>
    <t xml:space="preserve">Max </t>
  </si>
  <si>
    <t>Min</t>
  </si>
  <si>
    <t>Percentile</t>
  </si>
  <si>
    <t xml:space="preserve">Sorted Return </t>
  </si>
  <si>
    <t>CMP</t>
  </si>
  <si>
    <t>Stock Price</t>
  </si>
  <si>
    <t>Confidence</t>
  </si>
  <si>
    <t>VAR %</t>
  </si>
  <si>
    <t>VAR(INR)</t>
  </si>
  <si>
    <t>Replication</t>
  </si>
  <si>
    <t>Simulated Returns</t>
  </si>
  <si>
    <t>Historcal Approch</t>
  </si>
  <si>
    <t>MonteCarlo Simulation</t>
  </si>
  <si>
    <t>52 Week (High- INR 5,484.85 &amp; Low - INR 3,340.00)</t>
  </si>
  <si>
    <t xml:space="preserve">About The Company </t>
  </si>
  <si>
    <t xml:space="preserve">Summery </t>
  </si>
  <si>
    <t>Return On Equity (ROE)</t>
  </si>
  <si>
    <t>Net Profit</t>
  </si>
  <si>
    <t>Average Shareholder Equity</t>
  </si>
  <si>
    <t xml:space="preserve">Return On Equity </t>
  </si>
  <si>
    <t>ROE - Dupond Analysis</t>
  </si>
  <si>
    <t>Net Profit Margine(A)</t>
  </si>
  <si>
    <t>Reserve</t>
  </si>
  <si>
    <t xml:space="preserve">Average Total Asset </t>
  </si>
  <si>
    <t>Asset Turnover Ratio (B)</t>
  </si>
  <si>
    <t>Equity Multiplier (C)</t>
  </si>
  <si>
    <t>Return On Asset (ROA)</t>
  </si>
  <si>
    <t>ROA - Dupond Analysis</t>
  </si>
  <si>
    <t>Return On Asset (A*B)</t>
  </si>
  <si>
    <t>Return On Asset</t>
  </si>
  <si>
    <t>Avenue Supermarts Limited,  DMart, is an Indian retail corporation that operates a chain of supermarkets and hypermarkets. The company was founded by Radhakishan Damani and is based in Mumbai. As of March 2025, DMart has 415 stores across 12 states and union territories in India]
In March 2024, the company had a total of 13,971 permanent employees and 59,961 employees hired on contractual basis</t>
  </si>
  <si>
    <t>Altman's Z Score Analysis</t>
  </si>
  <si>
    <t>Working Capital/Total Asset</t>
  </si>
  <si>
    <t xml:space="preserve">Retain Earning </t>
  </si>
  <si>
    <t>Reatain Earning / Total Asset</t>
  </si>
  <si>
    <t>EBIT / Total Asset</t>
  </si>
  <si>
    <t>EBIT/ Total Asset</t>
  </si>
  <si>
    <t>Market Cap /Long Term Liablities</t>
  </si>
  <si>
    <t>Market Cap(Cr)</t>
  </si>
  <si>
    <t>Long term Liablities</t>
  </si>
  <si>
    <t>Total Sales/ Total Asset</t>
  </si>
  <si>
    <t>Altman's Z Score</t>
  </si>
  <si>
    <t>Final Score</t>
  </si>
  <si>
    <t xml:space="preserve">Finacial Stability </t>
  </si>
  <si>
    <t>Beta</t>
  </si>
  <si>
    <t>FORCASTING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</si>
</sst>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7">
    <numFmt numFmtId="43" formatCode="_(* #,##0.00_);_(* \(#,##0.00\);_(* &quot;-&quot;??_);_(@_)"/>
    <numFmt numFmtId="164" formatCode="_ * #,##0.00_ ;_ * \-#,##0.00_ ;_ * &quot;-&quot;??_ ;_ @_ "/>
    <numFmt numFmtId="165" formatCode="[$-409]mmm\-yy;@"/>
    <numFmt numFmtId="166" formatCode="[$-409]mmmm\-yy;@"/>
    <numFmt numFmtId="167" formatCode="[$₹-44F]#,##0.00"/>
    <numFmt numFmtId="168" formatCode="[$₹-439]#,##0;[Red][$₹-439]\-#,##0"/>
    <numFmt numFmtId="169" formatCode="0.00&quot;x&quot;"/>
    <numFmt numFmtId="170" formatCode="0&quot; Days&quot;"/>
    <numFmt numFmtId="171" formatCode="#,##0.0"/>
    <numFmt numFmtId="172" formatCode="0.0000%"/>
    <numFmt numFmtId="173" formatCode="#,##0.0;\(#,##0.0\);\-"/>
    <numFmt numFmtId="174" formatCode="0.0"/>
    <numFmt numFmtId="175" formatCode="0.00\x"/>
    <numFmt numFmtId="176" formatCode="0.0\x"/>
    <numFmt numFmtId="177" formatCode="mm/dd/yy;@"/>
    <numFmt numFmtId="178" formatCode="0.0000"/>
    <numFmt numFmtId="179" formatCode="0.000"/>
  </numFmts>
  <fonts count="37" x14ac:knownFonts="1">
    <font>
      <sz val="11"/>
      <color theme="1"/>
      <name val="Calibri"/>
      <family val="2"/>
      <scheme val="minor"/>
    </font>
    <font>
      <b/>
      <sz val="11"/>
      <color theme="1"/>
      <name val="Calibri"/>
      <family val="2"/>
      <scheme val="minor"/>
    </font>
    <font>
      <b/>
      <sz val="11"/>
      <color theme="0"/>
      <name val="Calibri"/>
      <family val="2"/>
      <scheme val="minor"/>
    </font>
    <font>
      <sz val="11"/>
      <color theme="1"/>
      <name val="Calibri"/>
      <family val="2"/>
      <scheme val="minor"/>
    </font>
    <font>
      <u/>
      <sz val="11"/>
      <color theme="10"/>
      <name val="Calibri"/>
      <family val="2"/>
    </font>
    <font>
      <sz val="11"/>
      <color theme="0"/>
      <name val="Calibri"/>
      <family val="2"/>
      <scheme val="minor"/>
    </font>
    <font>
      <b/>
      <sz val="11"/>
      <color rgb="FFFF0000"/>
      <name val="Calibri"/>
      <family val="2"/>
      <scheme val="minor"/>
    </font>
    <font>
      <sz val="11"/>
      <name val="Calibri"/>
      <family val="2"/>
      <scheme val="minor"/>
    </font>
    <font>
      <sz val="11"/>
      <color theme="0" tint="-0.499984740745262"/>
      <name val="Calibri"/>
      <family val="2"/>
      <scheme val="minor"/>
    </font>
    <font>
      <sz val="11"/>
      <color rgb="FF606F7B"/>
      <name val="Arial"/>
      <family val="2"/>
    </font>
    <font>
      <sz val="11"/>
      <color rgb="FF22222F"/>
      <name val="Arial"/>
      <family val="2"/>
    </font>
    <font>
      <sz val="11"/>
      <color rgb="FF665EFD"/>
      <name val="Arial"/>
      <family val="2"/>
    </font>
    <font>
      <sz val="11"/>
      <color rgb="FF22222F"/>
      <name val="Arial"/>
      <family val="2"/>
    </font>
    <font>
      <b/>
      <sz val="11"/>
      <name val="Calibri"/>
      <family val="2"/>
      <scheme val="minor"/>
    </font>
    <font>
      <b/>
      <sz val="11"/>
      <color rgb="FF22222F"/>
      <name val="Arial"/>
      <family val="2"/>
    </font>
    <font>
      <b/>
      <sz val="11"/>
      <color rgb="FF665EFD"/>
      <name val="Arial"/>
      <family val="2"/>
    </font>
    <font>
      <sz val="11"/>
      <color theme="7"/>
      <name val="Calibri"/>
      <family val="2"/>
      <scheme val="minor"/>
    </font>
    <font>
      <vertAlign val="superscript"/>
      <sz val="11"/>
      <color theme="1"/>
      <name val="Calibri"/>
      <family val="2"/>
      <scheme val="minor"/>
    </font>
    <font>
      <sz val="11"/>
      <color rgb="FF3333FF"/>
      <name val="Calibri"/>
      <family val="2"/>
      <scheme val="minor"/>
    </font>
    <font>
      <sz val="11"/>
      <color rgb="FF0000FF"/>
      <name val="Calibri"/>
      <family val="2"/>
      <scheme val="minor"/>
    </font>
    <font>
      <i/>
      <sz val="9"/>
      <color theme="1"/>
      <name val="calibri"/>
      <family val="2"/>
    </font>
    <font>
      <b/>
      <sz val="11"/>
      <color rgb="FFFFFFFF"/>
      <name val="Calibri"/>
      <family val="2"/>
      <scheme val="minor"/>
    </font>
    <font>
      <i/>
      <sz val="11"/>
      <color theme="1"/>
      <name val="Calibri"/>
      <family val="2"/>
      <scheme val="minor"/>
    </font>
    <font>
      <sz val="11"/>
      <color rgb="FF22222F"/>
      <name val="Arial"/>
      <family val="2"/>
    </font>
    <font>
      <sz val="11"/>
      <color theme="0"/>
      <name val="Arial"/>
      <family val="2"/>
    </font>
    <font>
      <i/>
      <sz val="11"/>
      <color rgb="FF7030A0"/>
      <name val="Calibri"/>
      <family val="2"/>
      <scheme val="minor"/>
    </font>
    <font>
      <sz val="11"/>
      <color rgb="FF606F7B"/>
      <name val="Arial"/>
      <family val="2"/>
    </font>
    <font>
      <sz val="11"/>
      <color rgb="FF22222F"/>
      <name val="Arial"/>
      <family val="2"/>
    </font>
    <font>
      <sz val="10"/>
      <color theme="1"/>
      <name val="Arial"/>
      <family val="2"/>
    </font>
    <font>
      <sz val="10"/>
      <color theme="0"/>
      <name val="Arial"/>
      <family val="2"/>
    </font>
    <font>
      <b/>
      <sz val="22"/>
      <color rgb="FF028655"/>
      <name val="Calibri"/>
      <family val="2"/>
      <scheme val="minor"/>
    </font>
    <font>
      <b/>
      <sz val="11"/>
      <color rgb="FF028655"/>
      <name val="Calibri"/>
      <family val="2"/>
      <scheme val="minor"/>
    </font>
    <font>
      <b/>
      <sz val="14"/>
      <color theme="1"/>
      <name val="Calibri"/>
      <family val="2"/>
      <scheme val="minor"/>
    </font>
    <font>
      <b/>
      <sz val="14"/>
      <color rgb="FF028655"/>
      <name val="Calibri"/>
      <family val="2"/>
      <scheme val="minor"/>
    </font>
    <font>
      <b/>
      <sz val="12"/>
      <color rgb="FF028655"/>
      <name val="Calibri"/>
      <family val="2"/>
      <scheme val="minor"/>
    </font>
    <font>
      <b/>
      <sz val="16"/>
      <color rgb="FF028655"/>
      <name val="Calibri"/>
      <family val="2"/>
      <scheme val="minor"/>
    </font>
    <font>
      <b/>
      <i/>
      <sz val="11"/>
      <color rgb="FF028655"/>
      <name val="Calibri"/>
      <family val="2"/>
      <scheme val="minor"/>
    </font>
  </fonts>
  <fills count="16">
    <fill>
      <patternFill patternType="none"/>
    </fill>
    <fill>
      <patternFill patternType="gray125"/>
    </fill>
    <fill>
      <patternFill patternType="solid">
        <fgColor theme="4" tint="0.39997558519241921"/>
        <bgColor indexed="65"/>
      </patternFill>
    </fill>
    <fill>
      <patternFill patternType="solid">
        <fgColor theme="6" tint="0.39997558519241921"/>
        <bgColor indexed="65"/>
      </patternFill>
    </fill>
    <fill>
      <patternFill patternType="solid">
        <fgColor theme="9"/>
      </patternFill>
    </fill>
    <fill>
      <patternFill patternType="solid">
        <fgColor rgb="FF0275D8"/>
        <bgColor indexed="64"/>
      </patternFill>
    </fill>
    <fill>
      <patternFill patternType="solid">
        <fgColor rgb="FF0070C0"/>
        <bgColor indexed="64"/>
      </patternFill>
    </fill>
    <fill>
      <patternFill patternType="solid">
        <fgColor rgb="FFFFFFFF"/>
        <bgColor indexed="64"/>
      </patternFill>
    </fill>
    <fill>
      <patternFill patternType="solid">
        <fgColor rgb="FFF8F8FC"/>
        <bgColor indexed="64"/>
      </patternFill>
    </fill>
    <fill>
      <patternFill patternType="solid">
        <fgColor rgb="FF0000FF"/>
        <bgColor indexed="64"/>
      </patternFill>
    </fill>
    <fill>
      <patternFill patternType="solid">
        <fgColor theme="2"/>
        <bgColor indexed="64"/>
      </patternFill>
    </fill>
    <fill>
      <patternFill patternType="solid">
        <fgColor theme="7" tint="-0.499984740745262"/>
        <bgColor indexed="64"/>
      </patternFill>
    </fill>
    <fill>
      <patternFill patternType="solid">
        <fgColor rgb="FF1E4E79"/>
        <bgColor indexed="64"/>
      </patternFill>
    </fill>
    <fill>
      <patternFill patternType="solid">
        <fgColor theme="3" tint="0.79998168889431442"/>
        <bgColor indexed="64"/>
      </patternFill>
    </fill>
    <fill>
      <patternFill patternType="solid">
        <fgColor rgb="FF028655"/>
        <bgColor indexed="64"/>
      </patternFill>
    </fill>
    <fill>
      <patternFill patternType="solid">
        <fgColor rgb="FFE5F8F4"/>
        <bgColor indexed="64"/>
      </patternFill>
    </fill>
  </fills>
  <borders count="40">
    <border>
      <left/>
      <right/>
      <top/>
      <bottom/>
      <diagonal/>
    </border>
    <border>
      <left/>
      <right/>
      <top/>
      <bottom style="medium">
        <color rgb="FFDBE4F0"/>
      </bottom>
      <diagonal/>
    </border>
    <border>
      <left/>
      <right/>
      <top style="medium">
        <color rgb="FFDBE4F0"/>
      </top>
      <bottom/>
      <diagonal/>
    </border>
    <border>
      <left/>
      <right/>
      <top style="thin">
        <color auto="1"/>
      </top>
      <bottom style="thin">
        <color auto="1"/>
      </bottom>
      <diagonal/>
    </border>
    <border>
      <left/>
      <right/>
      <top style="thin">
        <color auto="1"/>
      </top>
      <bottom/>
      <diagonal/>
    </border>
    <border>
      <left/>
      <right/>
      <top/>
      <bottom style="thin">
        <color auto="1"/>
      </bottom>
      <diagonal/>
    </border>
    <border>
      <left style="thin">
        <color indexed="64"/>
      </left>
      <right/>
      <top style="thin">
        <color indexed="64"/>
      </top>
      <bottom style="thin">
        <color indexed="64"/>
      </bottom>
      <diagonal/>
    </border>
    <border>
      <left style="thin">
        <color indexed="64"/>
      </left>
      <right/>
      <top/>
      <bottom/>
      <diagonal/>
    </border>
    <border>
      <left style="medium">
        <color rgb="FFCCCCCC"/>
      </left>
      <right style="medium">
        <color rgb="FFCCCCCC"/>
      </right>
      <top style="medium">
        <color rgb="FFCCCCCC"/>
      </top>
      <bottom style="medium">
        <color rgb="FFCCCCCC"/>
      </bottom>
      <diagonal/>
    </border>
    <border>
      <left style="medium">
        <color rgb="FFCCCCCC"/>
      </left>
      <right/>
      <top/>
      <bottom/>
      <diagonal/>
    </border>
    <border>
      <left/>
      <right style="medium">
        <color rgb="FFCCCCCC"/>
      </right>
      <top/>
      <bottom/>
      <diagonal/>
    </border>
    <border>
      <left/>
      <right/>
      <top/>
      <bottom style="medium">
        <color rgb="FF1E4E79"/>
      </bottom>
      <diagonal/>
    </border>
    <border>
      <left/>
      <right/>
      <top/>
      <bottom style="medium">
        <color indexed="64"/>
      </bottom>
      <diagonal/>
    </border>
    <border>
      <left/>
      <right/>
      <top style="medium">
        <color indexed="64"/>
      </top>
      <bottom style="thin">
        <color auto="1"/>
      </bottom>
      <diagonal/>
    </border>
    <border>
      <left style="thin">
        <color indexed="64"/>
      </left>
      <right/>
      <top/>
      <bottom style="thin">
        <color auto="1"/>
      </bottom>
      <diagonal/>
    </border>
    <border>
      <left/>
      <right/>
      <top style="medium">
        <color rgb="FFDBE4F0"/>
      </top>
      <bottom style="thin">
        <color auto="1"/>
      </bottom>
      <diagonal/>
    </border>
    <border>
      <left/>
      <right/>
      <top style="thin">
        <color auto="1"/>
      </top>
      <bottom style="thick">
        <color auto="1"/>
      </bottom>
      <diagonal/>
    </border>
    <border>
      <left/>
      <right/>
      <top/>
      <bottom style="thick">
        <color auto="1"/>
      </bottom>
      <diagonal/>
    </border>
    <border>
      <left/>
      <right/>
      <top/>
      <bottom style="thin">
        <color theme="0"/>
      </bottom>
      <diagonal/>
    </border>
    <border>
      <left/>
      <right/>
      <top/>
      <bottom style="medium">
        <color rgb="FF028655"/>
      </bottom>
      <diagonal/>
    </border>
    <border>
      <left/>
      <right/>
      <top style="medium">
        <color rgb="FF028655"/>
      </top>
      <bottom/>
      <diagonal/>
    </border>
    <border>
      <left style="dashed">
        <color auto="1"/>
      </left>
      <right style="dashed">
        <color auto="1"/>
      </right>
      <top style="dashed">
        <color auto="1"/>
      </top>
      <bottom style="dashed">
        <color auto="1"/>
      </bottom>
      <diagonal/>
    </border>
    <border>
      <left/>
      <right/>
      <top style="dashed">
        <color auto="1"/>
      </top>
      <bottom style="dashed">
        <color auto="1"/>
      </bottom>
      <diagonal/>
    </border>
    <border>
      <left style="dashed">
        <color auto="1"/>
      </left>
      <right style="dashed">
        <color auto="1"/>
      </right>
      <top style="dashed">
        <color auto="1"/>
      </top>
      <bottom style="thick">
        <color auto="1"/>
      </bottom>
      <diagonal/>
    </border>
    <border>
      <left style="medium">
        <color auto="1"/>
      </left>
      <right style="medium">
        <color auto="1"/>
      </right>
      <top style="medium">
        <color auto="1"/>
      </top>
      <bottom style="medium">
        <color auto="1"/>
      </bottom>
      <diagonal/>
    </border>
    <border>
      <left style="thin">
        <color auto="1"/>
      </left>
      <right style="thin">
        <color auto="1"/>
      </right>
      <top style="thin">
        <color auto="1"/>
      </top>
      <bottom style="thin">
        <color auto="1"/>
      </bottom>
      <diagonal/>
    </border>
    <border>
      <left/>
      <right style="thin">
        <color auto="1"/>
      </right>
      <top/>
      <bottom/>
      <diagonal/>
    </border>
    <border>
      <left style="thin">
        <color auto="1"/>
      </left>
      <right style="thin">
        <color auto="1"/>
      </right>
      <top style="thin">
        <color auto="1"/>
      </top>
      <bottom style="thick">
        <color auto="1"/>
      </bottom>
      <diagonal/>
    </border>
    <border>
      <left style="thin">
        <color rgb="FFCCCCCC"/>
      </left>
      <right style="thin">
        <color rgb="FFCCCCCC"/>
      </right>
      <top style="thin">
        <color rgb="FFCCCCCC"/>
      </top>
      <bottom style="thin">
        <color rgb="FFCCCCCC"/>
      </bottom>
      <diagonal/>
    </border>
    <border>
      <left style="medium">
        <color rgb="FFCCCCCC"/>
      </left>
      <right/>
      <top style="medium">
        <color rgb="FFCCCCCC"/>
      </top>
      <bottom style="medium">
        <color rgb="FFCCCCCC"/>
      </bottom>
      <diagonal/>
    </border>
    <border>
      <left style="medium">
        <color rgb="FFCCCCCC"/>
      </left>
      <right style="medium">
        <color rgb="FFCCCCCC"/>
      </right>
      <top style="medium">
        <color rgb="FFCCCCCC"/>
      </top>
      <bottom/>
      <diagonal/>
    </border>
    <border>
      <left style="medium">
        <color rgb="FFCCCCCC"/>
      </left>
      <right style="thin">
        <color rgb="FFCCCCCC"/>
      </right>
      <top style="medium">
        <color rgb="FFCCCCCC"/>
      </top>
      <bottom style="medium">
        <color rgb="FFCCCCCC"/>
      </bottom>
      <diagonal/>
    </border>
    <border>
      <left style="thin">
        <color rgb="FFCCCCCC"/>
      </left>
      <right style="thin">
        <color rgb="FFCCCCCC"/>
      </right>
      <top style="medium">
        <color rgb="FFCCCCCC"/>
      </top>
      <bottom style="medium">
        <color rgb="FFCCCCCC"/>
      </bottom>
      <diagonal/>
    </border>
    <border>
      <left style="thin">
        <color rgb="FFCCCCCC"/>
      </left>
      <right/>
      <top style="medium">
        <color rgb="FFCCCCCC"/>
      </top>
      <bottom/>
      <diagonal/>
    </border>
    <border>
      <left/>
      <right style="thin">
        <color rgb="FFCCCCCC"/>
      </right>
      <top style="medium">
        <color rgb="FFCCCCCC"/>
      </top>
      <bottom/>
      <diagonal/>
    </border>
    <border>
      <left style="thin">
        <color rgb="FFCCCCCC"/>
      </left>
      <right/>
      <top/>
      <bottom/>
      <diagonal/>
    </border>
    <border>
      <left/>
      <right style="thin">
        <color rgb="FFCCCCCC"/>
      </right>
      <top/>
      <bottom/>
      <diagonal/>
    </border>
    <border>
      <left style="thin">
        <color rgb="FFCCCCCC"/>
      </left>
      <right/>
      <top/>
      <bottom style="medium">
        <color rgb="FFCCCCCC"/>
      </bottom>
      <diagonal/>
    </border>
    <border>
      <left/>
      <right style="thin">
        <color rgb="FFCCCCCC"/>
      </right>
      <top/>
      <bottom style="medium">
        <color rgb="FFCCCCCC"/>
      </bottom>
      <diagonal/>
    </border>
    <border>
      <left/>
      <right style="thin">
        <color rgb="FFCCCCCC"/>
      </right>
      <top style="medium">
        <color rgb="FFCCCCCC"/>
      </top>
      <bottom style="medium">
        <color rgb="FFCCCCCC"/>
      </bottom>
      <diagonal/>
    </border>
  </borders>
  <cellStyleXfs count="7">
    <xf numFmtId="0" fontId="0" fillId="0" borderId="0"/>
    <xf numFmtId="164" fontId="3" fillId="0" borderId="0" applyFont="0" applyFill="0" applyBorder="0" applyAlignment="0" applyProtection="0"/>
    <xf numFmtId="0" fontId="4" fillId="0" borderId="0" applyNumberFormat="0" applyFill="0" applyBorder="0" applyAlignment="0" applyProtection="0">
      <alignment vertical="top"/>
      <protection locked="0"/>
    </xf>
    <xf numFmtId="0" fontId="5" fillId="2" borderId="0" applyNumberFormat="0" applyBorder="0" applyAlignment="0" applyProtection="0"/>
    <xf numFmtId="0" fontId="5" fillId="3" borderId="0" applyNumberFormat="0" applyBorder="0" applyAlignment="0" applyProtection="0"/>
    <xf numFmtId="0" fontId="5" fillId="4" borderId="0" applyNumberFormat="0" applyBorder="0" applyAlignment="0" applyProtection="0"/>
    <xf numFmtId="9" fontId="3" fillId="0" borderId="0" applyFont="0" applyFill="0" applyBorder="0" applyAlignment="0" applyProtection="0"/>
  </cellStyleXfs>
  <cellXfs count="291">
    <xf numFmtId="0" fontId="0" fillId="0" borderId="0" xfId="0"/>
    <xf numFmtId="164" fontId="1" fillId="0" borderId="0" xfId="1" applyFont="1" applyBorder="1"/>
    <xf numFmtId="0" fontId="1" fillId="0" borderId="0" xfId="0" applyFont="1"/>
    <xf numFmtId="0" fontId="6" fillId="0" borderId="0" xfId="0" applyFont="1"/>
    <xf numFmtId="164" fontId="0" fillId="0" borderId="0" xfId="1" applyFont="1" applyBorder="1"/>
    <xf numFmtId="10" fontId="0" fillId="0" borderId="0" xfId="0" applyNumberFormat="1"/>
    <xf numFmtId="164" fontId="3" fillId="0" borderId="0" xfId="1" applyFont="1" applyBorder="1"/>
    <xf numFmtId="9" fontId="3" fillId="0" borderId="0" xfId="1" applyNumberFormat="1" applyFont="1" applyBorder="1"/>
    <xf numFmtId="164" fontId="2" fillId="2" borderId="0" xfId="3" applyNumberFormat="1" applyFont="1" applyBorder="1"/>
    <xf numFmtId="164" fontId="2" fillId="3" borderId="0" xfId="4" applyNumberFormat="1" applyFont="1" applyBorder="1"/>
    <xf numFmtId="9" fontId="1" fillId="0" borderId="0" xfId="6" applyFont="1" applyBorder="1"/>
    <xf numFmtId="0" fontId="2" fillId="5" borderId="0" xfId="0" applyFont="1" applyFill="1"/>
    <xf numFmtId="165" fontId="2" fillId="5" borderId="0" xfId="0" applyNumberFormat="1" applyFont="1" applyFill="1" applyAlignment="1">
      <alignment horizontal="center"/>
    </xf>
    <xf numFmtId="0" fontId="2" fillId="5" borderId="0" xfId="0" applyFont="1" applyFill="1" applyAlignment="1">
      <alignment horizontal="center"/>
    </xf>
    <xf numFmtId="164" fontId="0" fillId="0" borderId="0" xfId="1" applyFont="1" applyBorder="1" applyAlignment="1">
      <alignment horizontal="center"/>
    </xf>
    <xf numFmtId="164" fontId="1" fillId="0" borderId="0" xfId="1" applyFont="1" applyBorder="1" applyAlignment="1">
      <alignment horizontal="center"/>
    </xf>
    <xf numFmtId="10" fontId="1" fillId="0" borderId="0" xfId="0" applyNumberFormat="1" applyFont="1"/>
    <xf numFmtId="165" fontId="2" fillId="5" borderId="0" xfId="1" applyNumberFormat="1" applyFont="1" applyFill="1" applyBorder="1"/>
    <xf numFmtId="165" fontId="7" fillId="0" borderId="0" xfId="1" applyNumberFormat="1" applyFont="1" applyFill="1" applyBorder="1"/>
    <xf numFmtId="0" fontId="7" fillId="0" borderId="0" xfId="0" applyFont="1"/>
    <xf numFmtId="43" fontId="0" fillId="0" borderId="0" xfId="1" applyNumberFormat="1" applyFont="1" applyBorder="1"/>
    <xf numFmtId="164" fontId="0" fillId="0" borderId="0" xfId="1" applyFont="1" applyFill="1" applyBorder="1"/>
    <xf numFmtId="164" fontId="0" fillId="0" borderId="0" xfId="1" applyFont="1" applyFill="1" applyBorder="1" applyAlignment="1">
      <alignment horizontal="center"/>
    </xf>
    <xf numFmtId="164" fontId="3" fillId="0" borderId="0" xfId="1" applyFont="1" applyFill="1" applyBorder="1"/>
    <xf numFmtId="0" fontId="5" fillId="6" borderId="0" xfId="0" applyFont="1" applyFill="1"/>
    <xf numFmtId="166" fontId="5" fillId="6" borderId="0" xfId="0" applyNumberFormat="1" applyFont="1" applyFill="1"/>
    <xf numFmtId="0" fontId="5" fillId="6" borderId="0" xfId="0" applyFont="1" applyFill="1" applyAlignment="1">
      <alignment horizontal="right"/>
    </xf>
    <xf numFmtId="167" fontId="0" fillId="0" borderId="0" xfId="0" applyNumberFormat="1"/>
    <xf numFmtId="0" fontId="0" fillId="7" borderId="0" xfId="0" applyFill="1"/>
    <xf numFmtId="17" fontId="9" fillId="7" borderId="1" xfId="0" applyNumberFormat="1" applyFont="1" applyFill="1" applyBorder="1" applyAlignment="1">
      <alignment horizontal="right" vertical="center" wrapText="1"/>
    </xf>
    <xf numFmtId="0" fontId="12" fillId="8" borderId="0" xfId="0" applyFont="1" applyFill="1" applyAlignment="1">
      <alignment horizontal="left" vertical="center"/>
    </xf>
    <xf numFmtId="0" fontId="12" fillId="7" borderId="0" xfId="0" applyFont="1" applyFill="1" applyAlignment="1">
      <alignment horizontal="left" vertical="center"/>
    </xf>
    <xf numFmtId="3" fontId="0" fillId="0" borderId="0" xfId="0" applyNumberFormat="1"/>
    <xf numFmtId="0" fontId="1" fillId="0" borderId="3" xfId="0" applyFont="1" applyBorder="1"/>
    <xf numFmtId="0" fontId="14" fillId="8" borderId="0" xfId="0" applyFont="1" applyFill="1" applyAlignment="1">
      <alignment horizontal="left" vertical="center"/>
    </xf>
    <xf numFmtId="10" fontId="0" fillId="0" borderId="0" xfId="6" applyNumberFormat="1" applyFont="1"/>
    <xf numFmtId="0" fontId="0" fillId="0" borderId="4" xfId="0" applyBorder="1"/>
    <xf numFmtId="10" fontId="0" fillId="0" borderId="4" xfId="6" applyNumberFormat="1" applyFont="1" applyBorder="1"/>
    <xf numFmtId="10" fontId="0" fillId="0" borderId="0" xfId="6" applyNumberFormat="1" applyFont="1" applyBorder="1"/>
    <xf numFmtId="0" fontId="0" fillId="0" borderId="5" xfId="0" applyBorder="1"/>
    <xf numFmtId="10" fontId="0" fillId="0" borderId="5" xfId="6" applyNumberFormat="1" applyFont="1" applyBorder="1"/>
    <xf numFmtId="10" fontId="0" fillId="0" borderId="4" xfId="0" applyNumberFormat="1" applyBorder="1"/>
    <xf numFmtId="10" fontId="0" fillId="0" borderId="5" xfId="0" applyNumberFormat="1" applyBorder="1"/>
    <xf numFmtId="169" fontId="0" fillId="0" borderId="5" xfId="0" applyNumberFormat="1" applyBorder="1"/>
    <xf numFmtId="169" fontId="0" fillId="0" borderId="4" xfId="0" applyNumberFormat="1" applyBorder="1"/>
    <xf numFmtId="169" fontId="0" fillId="0" borderId="0" xfId="0" applyNumberFormat="1"/>
    <xf numFmtId="170" fontId="0" fillId="0" borderId="4" xfId="0" applyNumberFormat="1" applyBorder="1"/>
    <xf numFmtId="170" fontId="0" fillId="0" borderId="0" xfId="0" applyNumberFormat="1"/>
    <xf numFmtId="170" fontId="0" fillId="0" borderId="5" xfId="0" applyNumberFormat="1" applyBorder="1"/>
    <xf numFmtId="0" fontId="0" fillId="5" borderId="0" xfId="0" applyFill="1" applyAlignment="1">
      <alignment horizontal="center"/>
    </xf>
    <xf numFmtId="0" fontId="0" fillId="10" borderId="0" xfId="0" applyFill="1"/>
    <xf numFmtId="0" fontId="18" fillId="0" borderId="8" xfId="0" applyFont="1" applyBorder="1" applyAlignment="1">
      <alignment wrapText="1"/>
    </xf>
    <xf numFmtId="0" fontId="18" fillId="0" borderId="8" xfId="0" applyFont="1" applyBorder="1" applyAlignment="1">
      <alignment horizontal="right" wrapText="1"/>
    </xf>
    <xf numFmtId="10" fontId="18" fillId="0" borderId="8" xfId="0" applyNumberFormat="1" applyFont="1" applyBorder="1" applyAlignment="1">
      <alignment horizontal="right" vertical="top" wrapText="1"/>
    </xf>
    <xf numFmtId="2" fontId="18" fillId="0" borderId="8" xfId="0" applyNumberFormat="1" applyFont="1" applyBorder="1" applyAlignment="1">
      <alignment horizontal="right" vertical="top" wrapText="1"/>
    </xf>
    <xf numFmtId="0" fontId="1" fillId="0" borderId="5" xfId="0" applyFont="1" applyBorder="1"/>
    <xf numFmtId="2" fontId="0" fillId="0" borderId="4" xfId="0" applyNumberFormat="1" applyBorder="1"/>
    <xf numFmtId="172" fontId="0" fillId="0" borderId="4" xfId="0" applyNumberFormat="1" applyBorder="1"/>
    <xf numFmtId="2" fontId="0" fillId="0" borderId="0" xfId="0" applyNumberFormat="1"/>
    <xf numFmtId="10" fontId="19" fillId="0" borderId="0" xfId="0" applyNumberFormat="1" applyFont="1"/>
    <xf numFmtId="0" fontId="20" fillId="0" borderId="0" xfId="0" applyFont="1"/>
    <xf numFmtId="0" fontId="1" fillId="0" borderId="11" xfId="0" applyFont="1" applyBorder="1" applyAlignment="1">
      <alignment horizontal="right" wrapText="1"/>
    </xf>
    <xf numFmtId="14" fontId="0" fillId="0" borderId="0" xfId="0" applyNumberFormat="1" applyAlignment="1">
      <alignment wrapText="1"/>
    </xf>
    <xf numFmtId="4" fontId="0" fillId="0" borderId="0" xfId="0" applyNumberFormat="1" applyAlignment="1">
      <alignment horizontal="right" wrapText="1"/>
    </xf>
    <xf numFmtId="0" fontId="0" fillId="0" borderId="0" xfId="0" applyAlignment="1">
      <alignment wrapText="1"/>
    </xf>
    <xf numFmtId="10" fontId="0" fillId="0" borderId="0" xfId="0" applyNumberFormat="1" applyAlignment="1">
      <alignment horizontal="right" wrapText="1"/>
    </xf>
    <xf numFmtId="0" fontId="1" fillId="0" borderId="11" xfId="0" applyFont="1" applyBorder="1"/>
    <xf numFmtId="0" fontId="5" fillId="0" borderId="0" xfId="0" applyFont="1"/>
    <xf numFmtId="0" fontId="0" fillId="0" borderId="12" xfId="0" applyBorder="1"/>
    <xf numFmtId="0" fontId="22" fillId="0" borderId="13" xfId="0" applyFont="1" applyBorder="1" applyAlignment="1">
      <alignment horizontal="center"/>
    </xf>
    <xf numFmtId="0" fontId="22" fillId="0" borderId="13" xfId="0" applyFont="1" applyBorder="1" applyAlignment="1">
      <alignment horizontal="centerContinuous"/>
    </xf>
    <xf numFmtId="0" fontId="1" fillId="0" borderId="0" xfId="0" applyFont="1" applyAlignment="1">
      <alignment horizontal="right" wrapText="1"/>
    </xf>
    <xf numFmtId="0" fontId="1" fillId="0" borderId="11" xfId="0" applyFont="1" applyBorder="1" applyAlignment="1">
      <alignment horizontal="right"/>
    </xf>
    <xf numFmtId="0" fontId="5" fillId="5" borderId="0" xfId="0" applyFont="1" applyFill="1"/>
    <xf numFmtId="2" fontId="19" fillId="0" borderId="0" xfId="0" applyNumberFormat="1" applyFont="1"/>
    <xf numFmtId="165" fontId="0" fillId="0" borderId="0" xfId="0" applyNumberFormat="1"/>
    <xf numFmtId="0" fontId="10" fillId="8" borderId="0" xfId="0" applyFont="1" applyFill="1" applyAlignment="1">
      <alignment horizontal="left" vertical="center" indent="2"/>
    </xf>
    <xf numFmtId="0" fontId="10" fillId="8" borderId="0" xfId="0" applyFont="1" applyFill="1" applyAlignment="1">
      <alignment horizontal="left" vertical="center"/>
    </xf>
    <xf numFmtId="0" fontId="10" fillId="7" borderId="0" xfId="0" applyFont="1" applyFill="1" applyAlignment="1">
      <alignment horizontal="left" vertical="center"/>
    </xf>
    <xf numFmtId="17" fontId="24" fillId="5" borderId="1" xfId="0" applyNumberFormat="1" applyFont="1" applyFill="1" applyBorder="1" applyAlignment="1">
      <alignment horizontal="right" vertical="center" wrapText="1"/>
    </xf>
    <xf numFmtId="17" fontId="24" fillId="5" borderId="7" xfId="0" applyNumberFormat="1" applyFont="1" applyFill="1" applyBorder="1" applyAlignment="1">
      <alignment horizontal="right" vertical="center" wrapText="1"/>
    </xf>
    <xf numFmtId="17" fontId="24" fillId="0" borderId="7" xfId="0" applyNumberFormat="1" applyFont="1" applyBorder="1" applyAlignment="1">
      <alignment horizontal="right" vertical="center" wrapText="1"/>
    </xf>
    <xf numFmtId="17" fontId="24" fillId="0" borderId="0" xfId="0" applyNumberFormat="1" applyFont="1" applyAlignment="1">
      <alignment horizontal="right" vertical="center" wrapText="1"/>
    </xf>
    <xf numFmtId="0" fontId="14" fillId="7" borderId="0" xfId="0" applyFont="1" applyFill="1" applyAlignment="1">
      <alignment horizontal="left" vertical="center" indent="2"/>
    </xf>
    <xf numFmtId="0" fontId="23" fillId="8" borderId="3" xfId="0" applyFont="1" applyFill="1" applyBorder="1" applyAlignment="1">
      <alignment horizontal="left" vertical="center" indent="2"/>
    </xf>
    <xf numFmtId="3" fontId="23" fillId="8" borderId="6" xfId="0" applyNumberFormat="1" applyFont="1" applyFill="1" applyBorder="1" applyAlignment="1">
      <alignment horizontal="right" vertical="center" wrapText="1"/>
    </xf>
    <xf numFmtId="3" fontId="23" fillId="8" borderId="3" xfId="0" applyNumberFormat="1" applyFont="1" applyFill="1" applyBorder="1" applyAlignment="1">
      <alignment horizontal="right" vertical="center" wrapText="1"/>
    </xf>
    <xf numFmtId="0" fontId="14" fillId="8" borderId="5" xfId="0" applyFont="1" applyFill="1" applyBorder="1" applyAlignment="1">
      <alignment horizontal="left" vertical="center" indent="2"/>
    </xf>
    <xf numFmtId="0" fontId="14" fillId="8" borderId="3" xfId="0" applyFont="1" applyFill="1" applyBorder="1" applyAlignment="1">
      <alignment horizontal="left" vertical="center" indent="2"/>
    </xf>
    <xf numFmtId="0" fontId="23" fillId="7" borderId="15" xfId="0" applyFont="1" applyFill="1" applyBorder="1" applyAlignment="1">
      <alignment horizontal="left" vertical="center" indent="2"/>
    </xf>
    <xf numFmtId="0" fontId="23" fillId="7" borderId="15" xfId="0" applyFont="1" applyFill="1" applyBorder="1" applyAlignment="1">
      <alignment horizontal="left" vertical="center"/>
    </xf>
    <xf numFmtId="0" fontId="23" fillId="8" borderId="15" xfId="0" applyFont="1" applyFill="1" applyBorder="1" applyAlignment="1">
      <alignment horizontal="left" vertical="center" indent="2"/>
    </xf>
    <xf numFmtId="0" fontId="23" fillId="8" borderId="15" xfId="0" applyFont="1" applyFill="1" applyBorder="1" applyAlignment="1">
      <alignment horizontal="left" vertical="center"/>
    </xf>
    <xf numFmtId="0" fontId="14" fillId="7" borderId="0" xfId="0" applyFont="1" applyFill="1" applyAlignment="1">
      <alignment horizontal="left" vertical="center"/>
    </xf>
    <xf numFmtId="173" fontId="10" fillId="8" borderId="6" xfId="0" applyNumberFormat="1" applyFont="1" applyFill="1" applyBorder="1" applyAlignment="1">
      <alignment horizontal="right" vertical="center" wrapText="1"/>
    </xf>
    <xf numFmtId="173" fontId="10" fillId="8" borderId="3" xfId="0" applyNumberFormat="1" applyFont="1" applyFill="1" applyBorder="1" applyAlignment="1">
      <alignment horizontal="right" vertical="center" wrapText="1"/>
    </xf>
    <xf numFmtId="173" fontId="23" fillId="8" borderId="6" xfId="0" applyNumberFormat="1" applyFont="1" applyFill="1" applyBorder="1" applyAlignment="1">
      <alignment horizontal="right" vertical="center" wrapText="1"/>
    </xf>
    <xf numFmtId="173" fontId="23" fillId="8" borderId="3" xfId="0" applyNumberFormat="1" applyFont="1" applyFill="1" applyBorder="1" applyAlignment="1">
      <alignment horizontal="right" vertical="center" wrapText="1"/>
    </xf>
    <xf numFmtId="173" fontId="23" fillId="7" borderId="6" xfId="0" applyNumberFormat="1" applyFont="1" applyFill="1" applyBorder="1" applyAlignment="1">
      <alignment horizontal="right" vertical="center" wrapText="1"/>
    </xf>
    <xf numFmtId="173" fontId="23" fillId="7" borderId="3" xfId="0" applyNumberFormat="1" applyFont="1" applyFill="1" applyBorder="1" applyAlignment="1">
      <alignment horizontal="right" vertical="center" wrapText="1"/>
    </xf>
    <xf numFmtId="173" fontId="10" fillId="7" borderId="6" xfId="0" applyNumberFormat="1" applyFont="1" applyFill="1" applyBorder="1" applyAlignment="1">
      <alignment horizontal="right" vertical="center" wrapText="1"/>
    </xf>
    <xf numFmtId="173" fontId="10" fillId="7" borderId="3" xfId="0" applyNumberFormat="1" applyFont="1" applyFill="1" applyBorder="1" applyAlignment="1">
      <alignment horizontal="right" vertical="center" wrapText="1"/>
    </xf>
    <xf numFmtId="173" fontId="23" fillId="7" borderId="14" xfId="0" applyNumberFormat="1" applyFont="1" applyFill="1" applyBorder="1" applyAlignment="1">
      <alignment horizontal="right" vertical="center" wrapText="1"/>
    </xf>
    <xf numFmtId="173" fontId="23" fillId="7" borderId="15" xfId="0" applyNumberFormat="1" applyFont="1" applyFill="1" applyBorder="1" applyAlignment="1">
      <alignment horizontal="right" vertical="center" wrapText="1"/>
    </xf>
    <xf numFmtId="173" fontId="10" fillId="7" borderId="7" xfId="0" applyNumberFormat="1" applyFont="1" applyFill="1" applyBorder="1" applyAlignment="1">
      <alignment horizontal="right" vertical="center" wrapText="1"/>
    </xf>
    <xf numFmtId="173" fontId="10" fillId="7" borderId="0" xfId="0" applyNumberFormat="1" applyFont="1" applyFill="1" applyAlignment="1">
      <alignment horizontal="right" vertical="center" wrapText="1"/>
    </xf>
    <xf numFmtId="173" fontId="10" fillId="8" borderId="7" xfId="0" applyNumberFormat="1" applyFont="1" applyFill="1" applyBorder="1" applyAlignment="1">
      <alignment horizontal="right" vertical="center" wrapText="1"/>
    </xf>
    <xf numFmtId="173" fontId="10" fillId="8" borderId="0" xfId="0" applyNumberFormat="1" applyFont="1" applyFill="1" applyAlignment="1">
      <alignment horizontal="right" vertical="center" wrapText="1"/>
    </xf>
    <xf numFmtId="173" fontId="23" fillId="8" borderId="5" xfId="0" applyNumberFormat="1" applyFont="1" applyFill="1" applyBorder="1" applyAlignment="1">
      <alignment horizontal="right" vertical="center" wrapText="1"/>
    </xf>
    <xf numFmtId="173" fontId="23" fillId="8" borderId="15" xfId="0" applyNumberFormat="1" applyFont="1" applyFill="1" applyBorder="1" applyAlignment="1">
      <alignment horizontal="right" vertical="center" wrapText="1"/>
    </xf>
    <xf numFmtId="173" fontId="23" fillId="8" borderId="14" xfId="0" applyNumberFormat="1" applyFont="1" applyFill="1" applyBorder="1" applyAlignment="1">
      <alignment horizontal="right" vertical="center" wrapText="1"/>
    </xf>
    <xf numFmtId="0" fontId="0" fillId="0" borderId="3" xfId="0" applyBorder="1"/>
    <xf numFmtId="0" fontId="1" fillId="0" borderId="16" xfId="0" applyFont="1" applyBorder="1"/>
    <xf numFmtId="0" fontId="1" fillId="0" borderId="17" xfId="0" applyFont="1" applyBorder="1"/>
    <xf numFmtId="9" fontId="0" fillId="0" borderId="0" xfId="6" applyFont="1"/>
    <xf numFmtId="0" fontId="0" fillId="0" borderId="16" xfId="0" applyBorder="1"/>
    <xf numFmtId="9" fontId="1" fillId="0" borderId="16" xfId="6" applyFont="1" applyBorder="1"/>
    <xf numFmtId="173" fontId="0" fillId="0" borderId="3" xfId="0" applyNumberFormat="1" applyBorder="1"/>
    <xf numFmtId="173" fontId="1" fillId="0" borderId="3" xfId="0" applyNumberFormat="1" applyFont="1" applyBorder="1"/>
    <xf numFmtId="173" fontId="0" fillId="0" borderId="0" xfId="0" applyNumberFormat="1"/>
    <xf numFmtId="173" fontId="0" fillId="0" borderId="5" xfId="0" applyNumberFormat="1" applyBorder="1"/>
    <xf numFmtId="173" fontId="0" fillId="0" borderId="4" xfId="0" applyNumberFormat="1" applyBorder="1"/>
    <xf numFmtId="173" fontId="1" fillId="0" borderId="17" xfId="0" applyNumberFormat="1" applyFont="1" applyBorder="1"/>
    <xf numFmtId="1" fontId="0" fillId="0" borderId="3" xfId="0" applyNumberFormat="1" applyBorder="1"/>
    <xf numFmtId="10" fontId="25" fillId="0" borderId="3" xfId="0" applyNumberFormat="1" applyFont="1" applyBorder="1"/>
    <xf numFmtId="9" fontId="0" fillId="0" borderId="16" xfId="6" applyFont="1" applyBorder="1"/>
    <xf numFmtId="9" fontId="0" fillId="0" borderId="3" xfId="0" applyNumberFormat="1" applyBorder="1"/>
    <xf numFmtId="9" fontId="0" fillId="0" borderId="16" xfId="0" applyNumberFormat="1" applyBorder="1"/>
    <xf numFmtId="10" fontId="0" fillId="0" borderId="16" xfId="0" applyNumberFormat="1" applyBorder="1"/>
    <xf numFmtId="9" fontId="0" fillId="10" borderId="0" xfId="0" applyNumberFormat="1" applyFill="1"/>
    <xf numFmtId="3" fontId="0" fillId="0" borderId="3" xfId="0" applyNumberFormat="1" applyBorder="1"/>
    <xf numFmtId="10" fontId="0" fillId="0" borderId="3" xfId="0" applyNumberFormat="1" applyBorder="1"/>
    <xf numFmtId="2" fontId="0" fillId="0" borderId="3" xfId="0" applyNumberFormat="1" applyBorder="1"/>
    <xf numFmtId="2" fontId="0" fillId="0" borderId="16" xfId="0" applyNumberFormat="1" applyBorder="1"/>
    <xf numFmtId="0" fontId="0" fillId="0" borderId="17" xfId="0" applyBorder="1"/>
    <xf numFmtId="172" fontId="0" fillId="0" borderId="17" xfId="0" applyNumberFormat="1" applyBorder="1"/>
    <xf numFmtId="10" fontId="0" fillId="0" borderId="17" xfId="0" applyNumberFormat="1" applyBorder="1"/>
    <xf numFmtId="0" fontId="8" fillId="0" borderId="0" xfId="0" applyFont="1"/>
    <xf numFmtId="10" fontId="8" fillId="0" borderId="0" xfId="0" applyNumberFormat="1" applyFont="1"/>
    <xf numFmtId="168" fontId="0" fillId="0" borderId="0" xfId="0" applyNumberFormat="1"/>
    <xf numFmtId="167" fontId="1" fillId="0" borderId="0" xfId="0" applyNumberFormat="1" applyFont="1"/>
    <xf numFmtId="0" fontId="13" fillId="0" borderId="0" xfId="0" applyFont="1"/>
    <xf numFmtId="0" fontId="14" fillId="8" borderId="0" xfId="0" applyFont="1" applyFill="1" applyAlignment="1">
      <alignment vertical="top"/>
    </xf>
    <xf numFmtId="0" fontId="14" fillId="8" borderId="0" xfId="0" applyFont="1" applyFill="1" applyAlignment="1">
      <alignment vertical="center"/>
    </xf>
    <xf numFmtId="0" fontId="14" fillId="7" borderId="0" xfId="0" applyFont="1" applyFill="1" applyAlignment="1">
      <alignment vertical="center"/>
    </xf>
    <xf numFmtId="17" fontId="26" fillId="7" borderId="1" xfId="0" applyNumberFormat="1" applyFont="1" applyFill="1" applyBorder="1" applyAlignment="1">
      <alignment horizontal="right" vertical="center" wrapText="1"/>
    </xf>
    <xf numFmtId="0" fontId="27" fillId="8" borderId="2" xfId="0" applyFont="1" applyFill="1" applyBorder="1" applyAlignment="1">
      <alignment horizontal="left" vertical="center" indent="2"/>
    </xf>
    <xf numFmtId="0" fontId="27" fillId="8" borderId="2" xfId="0" applyFont="1" applyFill="1" applyBorder="1" applyAlignment="1">
      <alignment horizontal="right" vertical="center" wrapText="1"/>
    </xf>
    <xf numFmtId="3" fontId="27" fillId="8" borderId="2" xfId="0" applyNumberFormat="1" applyFont="1" applyFill="1" applyBorder="1" applyAlignment="1">
      <alignment horizontal="right" vertical="center" wrapText="1"/>
    </xf>
    <xf numFmtId="0" fontId="27" fillId="8" borderId="2" xfId="0" applyFont="1" applyFill="1" applyBorder="1" applyAlignment="1">
      <alignment horizontal="left" vertical="center"/>
    </xf>
    <xf numFmtId="0" fontId="10" fillId="8" borderId="0" xfId="0" applyFont="1" applyFill="1" applyAlignment="1">
      <alignment horizontal="right" vertical="center" wrapText="1"/>
    </xf>
    <xf numFmtId="3" fontId="10" fillId="8" borderId="0" xfId="0" applyNumberFormat="1" applyFont="1" applyFill="1" applyAlignment="1">
      <alignment horizontal="right" vertical="center" wrapText="1"/>
    </xf>
    <xf numFmtId="0" fontId="27" fillId="7" borderId="2" xfId="0" applyFont="1" applyFill="1" applyBorder="1" applyAlignment="1">
      <alignment horizontal="left" vertical="center" indent="2"/>
    </xf>
    <xf numFmtId="0" fontId="27" fillId="7" borderId="2" xfId="0" applyFont="1" applyFill="1" applyBorder="1" applyAlignment="1">
      <alignment horizontal="right" vertical="center" wrapText="1"/>
    </xf>
    <xf numFmtId="3" fontId="27" fillId="7" borderId="2" xfId="0" applyNumberFormat="1" applyFont="1" applyFill="1" applyBorder="1" applyAlignment="1">
      <alignment horizontal="right" vertical="center" wrapText="1"/>
    </xf>
    <xf numFmtId="0" fontId="10" fillId="7" borderId="0" xfId="0" applyFont="1" applyFill="1" applyAlignment="1">
      <alignment horizontal="right" vertical="center" wrapText="1"/>
    </xf>
    <xf numFmtId="3" fontId="10" fillId="7" borderId="0" xfId="0" applyNumberFormat="1" applyFont="1" applyFill="1" applyAlignment="1">
      <alignment horizontal="right" vertical="center" wrapText="1"/>
    </xf>
    <xf numFmtId="0" fontId="23" fillId="8" borderId="5" xfId="0" applyFont="1" applyFill="1" applyBorder="1" applyAlignment="1">
      <alignment horizontal="left" vertical="center" indent="2"/>
    </xf>
    <xf numFmtId="3" fontId="23" fillId="8" borderId="14" xfId="0" applyNumberFormat="1" applyFont="1" applyFill="1" applyBorder="1" applyAlignment="1">
      <alignment horizontal="right" vertical="center" wrapText="1"/>
    </xf>
    <xf numFmtId="3" fontId="23" fillId="8" borderId="5" xfId="0" applyNumberFormat="1" applyFont="1" applyFill="1" applyBorder="1" applyAlignment="1">
      <alignment horizontal="right" vertical="center" wrapText="1"/>
    </xf>
    <xf numFmtId="17" fontId="5" fillId="5" borderId="0" xfId="0" applyNumberFormat="1" applyFont="1" applyFill="1"/>
    <xf numFmtId="174" fontId="0" fillId="0" borderId="0" xfId="0" applyNumberFormat="1"/>
    <xf numFmtId="0" fontId="5" fillId="5" borderId="0" xfId="0" applyFont="1" applyFill="1" applyAlignment="1">
      <alignment wrapText="1"/>
    </xf>
    <xf numFmtId="0" fontId="5" fillId="5" borderId="0" xfId="0" applyFont="1" applyFill="1" applyAlignment="1">
      <alignment horizontal="center" wrapText="1"/>
    </xf>
    <xf numFmtId="0" fontId="5" fillId="0" borderId="18" xfId="0" applyFont="1" applyBorder="1" applyAlignment="1">
      <alignment horizontal="center"/>
    </xf>
    <xf numFmtId="0" fontId="5" fillId="0" borderId="18" xfId="0" applyFont="1" applyBorder="1"/>
    <xf numFmtId="0" fontId="0" fillId="13" borderId="0" xfId="0" applyFill="1"/>
    <xf numFmtId="0" fontId="1" fillId="13" borderId="17" xfId="0" applyFont="1" applyFill="1" applyBorder="1"/>
    <xf numFmtId="0" fontId="28" fillId="0" borderId="8" xfId="0" applyFont="1" applyBorder="1" applyAlignment="1">
      <alignment horizontal="right" wrapText="1"/>
    </xf>
    <xf numFmtId="174" fontId="28" fillId="0" borderId="8" xfId="0" applyNumberFormat="1" applyFont="1" applyBorder="1" applyAlignment="1">
      <alignment horizontal="right" wrapText="1"/>
    </xf>
    <xf numFmtId="177" fontId="28" fillId="0" borderId="8" xfId="0" applyNumberFormat="1" applyFont="1" applyBorder="1" applyAlignment="1">
      <alignment horizontal="left" wrapText="1"/>
    </xf>
    <xf numFmtId="178" fontId="0" fillId="0" borderId="0" xfId="0" applyNumberFormat="1"/>
    <xf numFmtId="177" fontId="29" fillId="5" borderId="8" xfId="0" applyNumberFormat="1" applyFont="1" applyFill="1" applyBorder="1" applyAlignment="1">
      <alignment horizontal="left" wrapText="1"/>
    </xf>
    <xf numFmtId="174" fontId="29" fillId="5" borderId="8" xfId="0" applyNumberFormat="1" applyFont="1" applyFill="1" applyBorder="1" applyAlignment="1">
      <alignment wrapText="1"/>
    </xf>
    <xf numFmtId="174" fontId="0" fillId="0" borderId="0" xfId="6" applyNumberFormat="1" applyFont="1"/>
    <xf numFmtId="0" fontId="5" fillId="5" borderId="0" xfId="0" applyFont="1" applyFill="1" applyAlignment="1">
      <alignment horizontal="left"/>
    </xf>
    <xf numFmtId="0" fontId="0" fillId="5" borderId="0" xfId="0" applyFill="1"/>
    <xf numFmtId="174" fontId="29" fillId="5" borderId="0" xfId="0" applyNumberFormat="1" applyFont="1" applyFill="1"/>
    <xf numFmtId="179" fontId="0" fillId="0" borderId="0" xfId="0" applyNumberFormat="1"/>
    <xf numFmtId="0" fontId="30" fillId="0" borderId="0" xfId="0" applyFont="1"/>
    <xf numFmtId="0" fontId="31" fillId="0" borderId="0" xfId="0" applyFont="1"/>
    <xf numFmtId="0" fontId="32" fillId="0" borderId="0" xfId="0" applyFont="1"/>
    <xf numFmtId="0" fontId="0" fillId="0" borderId="19" xfId="0" applyBorder="1"/>
    <xf numFmtId="10" fontId="0" fillId="15" borderId="0" xfId="6" applyNumberFormat="1" applyFont="1" applyFill="1"/>
    <xf numFmtId="0" fontId="1" fillId="15" borderId="0" xfId="0" applyFont="1" applyFill="1"/>
    <xf numFmtId="175" fontId="0" fillId="15" borderId="0" xfId="6" applyNumberFormat="1" applyFont="1" applyFill="1"/>
    <xf numFmtId="0" fontId="33" fillId="0" borderId="0" xfId="0" applyFont="1"/>
    <xf numFmtId="0" fontId="34" fillId="0" borderId="0" xfId="0" applyFont="1"/>
    <xf numFmtId="174" fontId="1" fillId="15" borderId="0" xfId="0" applyNumberFormat="1" applyFont="1" applyFill="1"/>
    <xf numFmtId="0" fontId="36" fillId="0" borderId="0" xfId="0" applyFont="1" applyAlignment="1">
      <alignment horizontal="center"/>
    </xf>
    <xf numFmtId="0" fontId="5" fillId="5" borderId="0" xfId="0" applyFont="1" applyFill="1" applyAlignment="1">
      <alignment horizontal="center"/>
    </xf>
    <xf numFmtId="0" fontId="5" fillId="9" borderId="21" xfId="0" applyFont="1" applyFill="1" applyBorder="1"/>
    <xf numFmtId="0" fontId="0" fillId="0" borderId="21" xfId="0" applyBorder="1"/>
    <xf numFmtId="171" fontId="16" fillId="0" borderId="21" xfId="0" applyNumberFormat="1" applyFont="1" applyBorder="1"/>
    <xf numFmtId="10" fontId="0" fillId="0" borderId="21" xfId="6" applyNumberFormat="1" applyFont="1" applyBorder="1"/>
    <xf numFmtId="2" fontId="0" fillId="0" borderId="21" xfId="0" applyNumberFormat="1" applyBorder="1"/>
    <xf numFmtId="10" fontId="0" fillId="0" borderId="21" xfId="0" applyNumberFormat="1" applyBorder="1" applyAlignment="1">
      <alignment horizontal="right" wrapText="1"/>
    </xf>
    <xf numFmtId="10" fontId="0" fillId="0" borderId="21" xfId="0" applyNumberFormat="1" applyBorder="1"/>
    <xf numFmtId="0" fontId="19" fillId="0" borderId="21" xfId="0" applyFont="1" applyBorder="1"/>
    <xf numFmtId="0" fontId="0" fillId="0" borderId="22" xfId="0" applyBorder="1"/>
    <xf numFmtId="17" fontId="0" fillId="0" borderId="21" xfId="0" applyNumberFormat="1" applyBorder="1"/>
    <xf numFmtId="165" fontId="0" fillId="0" borderId="21" xfId="0" applyNumberFormat="1" applyBorder="1"/>
    <xf numFmtId="10" fontId="19" fillId="0" borderId="21" xfId="0" applyNumberFormat="1" applyFont="1" applyBorder="1"/>
    <xf numFmtId="174" fontId="0" fillId="0" borderId="21" xfId="0" applyNumberFormat="1" applyBorder="1"/>
    <xf numFmtId="0" fontId="0" fillId="0" borderId="23" xfId="0" applyBorder="1"/>
    <xf numFmtId="2" fontId="0" fillId="0" borderId="23" xfId="0" applyNumberFormat="1" applyBorder="1"/>
    <xf numFmtId="0" fontId="0" fillId="10" borderId="21" xfId="0" applyFill="1" applyBorder="1"/>
    <xf numFmtId="10" fontId="0" fillId="10" borderId="21" xfId="0" applyNumberFormat="1" applyFill="1" applyBorder="1"/>
    <xf numFmtId="0" fontId="0" fillId="10" borderId="23" xfId="0" applyFill="1" applyBorder="1"/>
    <xf numFmtId="10" fontId="0" fillId="10" borderId="23" xfId="0" applyNumberFormat="1" applyFill="1" applyBorder="1"/>
    <xf numFmtId="0" fontId="1" fillId="0" borderId="23" xfId="0" applyFont="1" applyBorder="1"/>
    <xf numFmtId="2" fontId="1" fillId="0" borderId="23" xfId="0" applyNumberFormat="1" applyFont="1" applyBorder="1"/>
    <xf numFmtId="2" fontId="5" fillId="0" borderId="21" xfId="0" applyNumberFormat="1" applyFont="1" applyBorder="1"/>
    <xf numFmtId="10" fontId="1" fillId="0" borderId="21" xfId="0" applyNumberFormat="1" applyFont="1" applyBorder="1"/>
    <xf numFmtId="10" fontId="1" fillId="0" borderId="21" xfId="0" applyNumberFormat="1" applyFont="1" applyBorder="1" applyAlignment="1">
      <alignment horizontal="left"/>
    </xf>
    <xf numFmtId="10" fontId="1" fillId="0" borderId="23" xfId="0" applyNumberFormat="1" applyFont="1" applyBorder="1" applyAlignment="1">
      <alignment horizontal="left"/>
    </xf>
    <xf numFmtId="0" fontId="1" fillId="0" borderId="21" xfId="0" applyFont="1" applyBorder="1"/>
    <xf numFmtId="2" fontId="1" fillId="0" borderId="21" xfId="0" applyNumberFormat="1" applyFont="1" applyBorder="1"/>
    <xf numFmtId="175" fontId="1" fillId="0" borderId="23" xfId="0" applyNumberFormat="1" applyFont="1" applyBorder="1"/>
    <xf numFmtId="0" fontId="1" fillId="0" borderId="24" xfId="0" applyFont="1" applyBorder="1" applyAlignment="1">
      <alignment horizontal="left"/>
    </xf>
    <xf numFmtId="0" fontId="1" fillId="0" borderId="24" xfId="0" applyFont="1" applyBorder="1" applyAlignment="1">
      <alignment horizontal="right"/>
    </xf>
    <xf numFmtId="0" fontId="0" fillId="0" borderId="24" xfId="0" applyBorder="1" applyAlignment="1">
      <alignment horizontal="left"/>
    </xf>
    <xf numFmtId="0" fontId="0" fillId="0" borderId="24" xfId="0" applyBorder="1" applyAlignment="1">
      <alignment horizontal="right"/>
    </xf>
    <xf numFmtId="10" fontId="0" fillId="0" borderId="25" xfId="0" applyNumberFormat="1" applyBorder="1"/>
    <xf numFmtId="10" fontId="0" fillId="0" borderId="25" xfId="0" applyNumberFormat="1" applyBorder="1" applyAlignment="1">
      <alignment horizontal="right"/>
    </xf>
    <xf numFmtId="0" fontId="0" fillId="10" borderId="25" xfId="0" applyFill="1" applyBorder="1"/>
    <xf numFmtId="0" fontId="0" fillId="10" borderId="25" xfId="0" applyFill="1" applyBorder="1" applyAlignment="1">
      <alignment wrapText="1"/>
    </xf>
    <xf numFmtId="174" fontId="0" fillId="10" borderId="25" xfId="0" applyNumberFormat="1" applyFill="1" applyBorder="1" applyAlignment="1">
      <alignment wrapText="1"/>
    </xf>
    <xf numFmtId="0" fontId="0" fillId="0" borderId="25" xfId="0" applyBorder="1"/>
    <xf numFmtId="174" fontId="0" fillId="0" borderId="25" xfId="0" applyNumberFormat="1" applyBorder="1"/>
    <xf numFmtId="2" fontId="0" fillId="10" borderId="25" xfId="0" applyNumberFormat="1" applyFill="1" applyBorder="1"/>
    <xf numFmtId="176" fontId="0" fillId="10" borderId="25" xfId="0" applyNumberFormat="1" applyFill="1" applyBorder="1"/>
    <xf numFmtId="174" fontId="0" fillId="10" borderId="25" xfId="0" applyNumberFormat="1" applyFill="1" applyBorder="1"/>
    <xf numFmtId="176" fontId="0" fillId="0" borderId="25" xfId="0" applyNumberFormat="1" applyBorder="1"/>
    <xf numFmtId="174" fontId="0" fillId="0" borderId="25" xfId="0" applyNumberFormat="1" applyBorder="1" applyAlignment="1">
      <alignment wrapText="1"/>
    </xf>
    <xf numFmtId="176" fontId="1" fillId="10" borderId="25" xfId="0" applyNumberFormat="1" applyFont="1" applyFill="1" applyBorder="1"/>
    <xf numFmtId="174" fontId="0" fillId="13" borderId="25" xfId="0" applyNumberFormat="1" applyFill="1" applyBorder="1"/>
    <xf numFmtId="174" fontId="1" fillId="13" borderId="27" xfId="0" applyNumberFormat="1" applyFont="1" applyFill="1" applyBorder="1"/>
    <xf numFmtId="174" fontId="28" fillId="0" borderId="29" xfId="0" applyNumberFormat="1" applyFont="1" applyBorder="1" applyAlignment="1">
      <alignment horizontal="right" wrapText="1"/>
    </xf>
    <xf numFmtId="0" fontId="28" fillId="0" borderId="29" xfId="0" applyFont="1" applyBorder="1" applyAlignment="1">
      <alignment horizontal="right" wrapText="1"/>
    </xf>
    <xf numFmtId="174" fontId="29" fillId="5" borderId="30" xfId="0" applyNumberFormat="1" applyFont="1" applyFill="1" applyBorder="1"/>
    <xf numFmtId="178" fontId="0" fillId="0" borderId="28" xfId="0" applyNumberFormat="1" applyBorder="1"/>
    <xf numFmtId="0" fontId="0" fillId="0" borderId="28" xfId="0" applyBorder="1"/>
    <xf numFmtId="179" fontId="0" fillId="0" borderId="28" xfId="0" applyNumberFormat="1" applyBorder="1"/>
    <xf numFmtId="0" fontId="0" fillId="0" borderId="32" xfId="0" applyBorder="1"/>
    <xf numFmtId="10" fontId="0" fillId="0" borderId="32" xfId="6" applyNumberFormat="1" applyFont="1" applyBorder="1"/>
    <xf numFmtId="174" fontId="0" fillId="0" borderId="32" xfId="6" applyNumberFormat="1" applyFont="1" applyBorder="1"/>
    <xf numFmtId="178" fontId="0" fillId="0" borderId="31" xfId="0" applyNumberFormat="1" applyBorder="1"/>
    <xf numFmtId="178" fontId="0" fillId="0" borderId="32" xfId="0" applyNumberFormat="1" applyBorder="1"/>
    <xf numFmtId="10" fontId="0" fillId="0" borderId="31" xfId="0" applyNumberFormat="1" applyBorder="1"/>
    <xf numFmtId="10" fontId="0" fillId="0" borderId="32" xfId="0" applyNumberFormat="1" applyBorder="1"/>
    <xf numFmtId="9" fontId="0" fillId="0" borderId="32" xfId="6" applyFont="1" applyBorder="1"/>
    <xf numFmtId="174" fontId="0" fillId="0" borderId="32" xfId="0" applyNumberFormat="1" applyBorder="1"/>
    <xf numFmtId="2" fontId="1" fillId="0" borderId="0" xfId="0" applyNumberFormat="1" applyFont="1"/>
    <xf numFmtId="175" fontId="1" fillId="0" borderId="0" xfId="0" applyNumberFormat="1" applyFont="1"/>
    <xf numFmtId="0" fontId="0" fillId="0" borderId="33" xfId="0" applyBorder="1"/>
    <xf numFmtId="0" fontId="0" fillId="0" borderId="34" xfId="0" applyBorder="1"/>
    <xf numFmtId="0" fontId="0" fillId="0" borderId="35" xfId="0" applyBorder="1"/>
    <xf numFmtId="0" fontId="0" fillId="0" borderId="36" xfId="0" applyBorder="1"/>
    <xf numFmtId="0" fontId="0" fillId="0" borderId="37" xfId="0" applyBorder="1"/>
    <xf numFmtId="0" fontId="0" fillId="0" borderId="38" xfId="0" applyBorder="1"/>
    <xf numFmtId="0" fontId="0" fillId="0" borderId="29" xfId="0" applyBorder="1"/>
    <xf numFmtId="0" fontId="0" fillId="0" borderId="39" xfId="0" applyBorder="1"/>
    <xf numFmtId="0" fontId="5" fillId="14" borderId="0" xfId="0" applyFont="1" applyFill="1" applyAlignment="1">
      <alignment horizontal="center"/>
    </xf>
    <xf numFmtId="0" fontId="35" fillId="0" borderId="20" xfId="0" applyFont="1" applyBorder="1" applyAlignment="1">
      <alignment horizontal="center"/>
    </xf>
    <xf numFmtId="0" fontId="34" fillId="0" borderId="20" xfId="0" applyFont="1" applyBorder="1" applyAlignment="1">
      <alignment horizontal="center"/>
    </xf>
    <xf numFmtId="0" fontId="0" fillId="0" borderId="0" xfId="0" applyAlignment="1">
      <alignment horizontal="left" wrapText="1"/>
    </xf>
    <xf numFmtId="164" fontId="4" fillId="0" borderId="0" xfId="2" applyNumberFormat="1" applyBorder="1" applyAlignment="1" applyProtection="1">
      <alignment horizontal="center"/>
    </xf>
    <xf numFmtId="164" fontId="2" fillId="4" borderId="0" xfId="5" applyNumberFormat="1" applyFont="1" applyBorder="1" applyAlignment="1">
      <alignment horizontal="center"/>
    </xf>
    <xf numFmtId="0" fontId="5" fillId="6" borderId="0" xfId="0" applyFont="1" applyFill="1" applyAlignment="1">
      <alignment horizontal="center"/>
    </xf>
    <xf numFmtId="0" fontId="5" fillId="6" borderId="0" xfId="0" applyFont="1" applyFill="1" applyAlignment="1">
      <alignment horizontal="left"/>
    </xf>
    <xf numFmtId="0" fontId="5" fillId="5" borderId="21" xfId="0" applyFont="1" applyFill="1" applyBorder="1" applyAlignment="1">
      <alignment horizontal="center"/>
    </xf>
    <xf numFmtId="15" fontId="5" fillId="5" borderId="21" xfId="0" applyNumberFormat="1" applyFont="1" applyFill="1" applyBorder="1" applyAlignment="1">
      <alignment horizontal="center"/>
    </xf>
    <xf numFmtId="0" fontId="5" fillId="5" borderId="0" xfId="0" applyFont="1" applyFill="1" applyAlignment="1">
      <alignment horizontal="center"/>
    </xf>
    <xf numFmtId="0" fontId="18" fillId="0" borderId="9" xfId="0" applyFont="1" applyBorder="1" applyAlignment="1">
      <alignment horizontal="left" wrapText="1"/>
    </xf>
    <xf numFmtId="0" fontId="18" fillId="0" borderId="0" xfId="0" applyFont="1" applyAlignment="1">
      <alignment horizontal="left" wrapText="1"/>
    </xf>
    <xf numFmtId="0" fontId="18" fillId="0" borderId="10" xfId="0" applyFont="1" applyBorder="1" applyAlignment="1">
      <alignment horizontal="left" wrapText="1"/>
    </xf>
    <xf numFmtId="0" fontId="0" fillId="0" borderId="5" xfId="0" applyBorder="1" applyAlignment="1">
      <alignment horizontal="left"/>
    </xf>
    <xf numFmtId="0" fontId="0" fillId="0" borderId="5" xfId="0" applyBorder="1"/>
    <xf numFmtId="0" fontId="0" fillId="0" borderId="0" xfId="0"/>
    <xf numFmtId="0" fontId="2" fillId="5" borderId="0" xfId="0" applyFont="1" applyFill="1"/>
    <xf numFmtId="0" fontId="21" fillId="12" borderId="0" xfId="0" applyFont="1" applyFill="1" applyAlignment="1">
      <alignment horizontal="center" wrapText="1"/>
    </xf>
    <xf numFmtId="0" fontId="2" fillId="11" borderId="0" xfId="0" applyFont="1" applyFill="1" applyAlignment="1">
      <alignment horizontal="center"/>
    </xf>
    <xf numFmtId="0" fontId="0" fillId="0" borderId="25" xfId="0" applyBorder="1" applyAlignment="1">
      <alignment horizontal="center"/>
    </xf>
    <xf numFmtId="0" fontId="0" fillId="10" borderId="7" xfId="0" applyFill="1" applyBorder="1" applyAlignment="1">
      <alignment horizontal="left"/>
    </xf>
    <xf numFmtId="0" fontId="0" fillId="10" borderId="0" xfId="0" applyFill="1" applyAlignment="1">
      <alignment horizontal="left"/>
    </xf>
    <xf numFmtId="0" fontId="0" fillId="10" borderId="26" xfId="0" applyFill="1" applyBorder="1" applyAlignment="1">
      <alignment horizontal="left"/>
    </xf>
    <xf numFmtId="0" fontId="1" fillId="10" borderId="7" xfId="0" applyFont="1" applyFill="1" applyBorder="1" applyAlignment="1">
      <alignment horizontal="left"/>
    </xf>
    <xf numFmtId="0" fontId="1" fillId="10" borderId="0" xfId="0" applyFont="1" applyFill="1" applyAlignment="1">
      <alignment horizontal="left"/>
    </xf>
    <xf numFmtId="0" fontId="1" fillId="10" borderId="26" xfId="0" applyFont="1" applyFill="1" applyBorder="1" applyAlignment="1">
      <alignment horizontal="left"/>
    </xf>
    <xf numFmtId="0" fontId="5" fillId="5" borderId="18" xfId="0" applyFont="1" applyFill="1" applyBorder="1" applyAlignment="1">
      <alignment horizontal="center"/>
    </xf>
  </cellXfs>
  <cellStyles count="7">
    <cellStyle name="60% - Accent1" xfId="3" builtinId="32"/>
    <cellStyle name="60% - Accent3" xfId="4" builtinId="40"/>
    <cellStyle name="Accent6" xfId="5" builtinId="49"/>
    <cellStyle name="Comma" xfId="1" builtinId="3"/>
    <cellStyle name="Hyperlink" xfId="2" builtinId="8"/>
    <cellStyle name="Normal" xfId="0" builtinId="0"/>
    <cellStyle name="Percent" xfId="6" builtinId="5"/>
  </cellStyles>
  <dxfs count="31">
    <dxf>
      <font>
        <b/>
        <i val="0"/>
        <color theme="0"/>
      </font>
      <fill>
        <patternFill>
          <bgColor theme="5"/>
        </patternFill>
      </fill>
    </dxf>
    <dxf>
      <font>
        <b/>
        <i val="0"/>
        <strike val="0"/>
        <condense val="0"/>
        <extend val="0"/>
        <outline val="0"/>
        <shadow val="0"/>
        <u val="none"/>
        <vertAlign val="baseline"/>
        <sz val="11"/>
        <color theme="0"/>
        <name val="Calibri"/>
        <scheme val="minor"/>
      </font>
      <numFmt numFmtId="165" formatCode="[$-409]mmm\-yy;@"/>
      <fill>
        <patternFill patternType="solid">
          <fgColor theme="4"/>
          <bgColor rgb="FF0275D8"/>
        </patternFill>
      </fill>
      <alignment horizontal="center" vertical="bottom" textRotation="0" wrapText="0" relativeIndent="0" justifyLastLine="0" shrinkToFit="0" readingOrder="0"/>
      <border diagonalUp="0" diagonalDown="0" outline="0">
        <left/>
        <right/>
        <top/>
        <bottom/>
      </border>
    </dxf>
    <dxf>
      <font>
        <b/>
        <i val="0"/>
        <strike val="0"/>
        <condense val="0"/>
        <extend val="0"/>
        <outline val="0"/>
        <shadow val="0"/>
        <u val="none"/>
        <vertAlign val="baseline"/>
        <sz val="11"/>
        <color theme="0"/>
        <name val="Calibri"/>
        <scheme val="minor"/>
      </font>
      <numFmt numFmtId="165" formatCode="[$-409]mmm\-yy;@"/>
      <fill>
        <patternFill patternType="solid">
          <fgColor theme="4"/>
          <bgColor rgb="FF0275D8"/>
        </patternFill>
      </fill>
      <alignment horizontal="center" vertical="bottom" textRotation="0" wrapText="0" relativeIndent="0" justifyLastLine="0" shrinkToFit="0" readingOrder="0"/>
      <border diagonalUp="0" diagonalDown="0" outline="0">
        <left/>
        <right/>
        <top/>
        <bottom/>
      </border>
    </dxf>
    <dxf>
      <font>
        <b/>
        <i val="0"/>
        <strike val="0"/>
        <condense val="0"/>
        <extend val="0"/>
        <outline val="0"/>
        <shadow val="0"/>
        <u val="none"/>
        <vertAlign val="baseline"/>
        <sz val="11"/>
        <color theme="0"/>
        <name val="Calibri"/>
        <scheme val="minor"/>
      </font>
      <numFmt numFmtId="165" formatCode="[$-409]mmm\-yy;@"/>
      <fill>
        <patternFill patternType="solid">
          <fgColor theme="4"/>
          <bgColor rgb="FF0275D8"/>
        </patternFill>
      </fill>
      <alignment horizontal="center" vertical="bottom" textRotation="0" wrapText="0" relativeIndent="0" justifyLastLine="0" shrinkToFit="0" readingOrder="0"/>
      <border diagonalUp="0" diagonalDown="0" outline="0">
        <left/>
        <right/>
        <top/>
        <bottom/>
      </border>
    </dxf>
    <dxf>
      <font>
        <b/>
        <i val="0"/>
        <strike val="0"/>
        <condense val="0"/>
        <extend val="0"/>
        <outline val="0"/>
        <shadow val="0"/>
        <u val="none"/>
        <vertAlign val="baseline"/>
        <sz val="11"/>
        <color theme="0"/>
        <name val="Calibri"/>
        <scheme val="minor"/>
      </font>
      <numFmt numFmtId="165" formatCode="[$-409]mmm\-yy;@"/>
      <fill>
        <patternFill patternType="solid">
          <fgColor theme="4"/>
          <bgColor rgb="FF0275D8"/>
        </patternFill>
      </fill>
      <alignment horizontal="center" vertical="bottom" textRotation="0" wrapText="0" relativeIndent="0" justifyLastLine="0" shrinkToFit="0" readingOrder="0"/>
      <border diagonalUp="0" diagonalDown="0" outline="0">
        <left/>
        <right/>
        <top/>
        <bottom/>
      </border>
    </dxf>
    <dxf>
      <font>
        <b/>
        <i val="0"/>
        <strike val="0"/>
        <condense val="0"/>
        <extend val="0"/>
        <outline val="0"/>
        <shadow val="0"/>
        <u val="none"/>
        <vertAlign val="baseline"/>
        <sz val="11"/>
        <color theme="0"/>
        <name val="Calibri"/>
        <scheme val="minor"/>
      </font>
      <numFmt numFmtId="165" formatCode="[$-409]mmm\-yy;@"/>
      <fill>
        <patternFill patternType="solid">
          <fgColor theme="4"/>
          <bgColor rgb="FF0275D8"/>
        </patternFill>
      </fill>
      <alignment horizontal="center" vertical="bottom" textRotation="0" wrapText="0" relativeIndent="0" justifyLastLine="0" shrinkToFit="0" readingOrder="0"/>
      <border diagonalUp="0" diagonalDown="0" outline="0">
        <left/>
        <right/>
        <top/>
        <bottom/>
      </border>
    </dxf>
    <dxf>
      <font>
        <b/>
        <i val="0"/>
        <strike val="0"/>
        <condense val="0"/>
        <extend val="0"/>
        <outline val="0"/>
        <shadow val="0"/>
        <u val="none"/>
        <vertAlign val="baseline"/>
        <sz val="11"/>
        <color theme="0"/>
        <name val="Calibri"/>
        <scheme val="minor"/>
      </font>
      <numFmt numFmtId="165" formatCode="[$-409]mmm\-yy;@"/>
      <fill>
        <patternFill patternType="solid">
          <fgColor theme="4"/>
          <bgColor rgb="FF0275D8"/>
        </patternFill>
      </fill>
      <alignment horizontal="center" vertical="bottom" textRotation="0" wrapText="0" relativeIndent="0" justifyLastLine="0" shrinkToFit="0" readingOrder="0"/>
      <border diagonalUp="0" diagonalDown="0" outline="0">
        <left/>
        <right/>
        <top/>
        <bottom/>
      </border>
    </dxf>
    <dxf>
      <font>
        <b/>
        <i val="0"/>
        <strike val="0"/>
        <condense val="0"/>
        <extend val="0"/>
        <outline val="0"/>
        <shadow val="0"/>
        <u val="none"/>
        <vertAlign val="baseline"/>
        <sz val="11"/>
        <color theme="0"/>
        <name val="Calibri"/>
        <scheme val="minor"/>
      </font>
      <numFmt numFmtId="165" formatCode="[$-409]mmm\-yy;@"/>
      <fill>
        <patternFill patternType="solid">
          <fgColor theme="4"/>
          <bgColor rgb="FF0275D8"/>
        </patternFill>
      </fill>
      <alignment horizontal="center" vertical="bottom" textRotation="0" wrapText="0" relativeIndent="0" justifyLastLine="0" shrinkToFit="0" readingOrder="0"/>
      <border diagonalUp="0" diagonalDown="0" outline="0">
        <left/>
        <right/>
        <top/>
        <bottom/>
      </border>
    </dxf>
    <dxf>
      <font>
        <b/>
        <i val="0"/>
        <strike val="0"/>
        <condense val="0"/>
        <extend val="0"/>
        <outline val="0"/>
        <shadow val="0"/>
        <u val="none"/>
        <vertAlign val="baseline"/>
        <sz val="11"/>
        <color theme="0"/>
        <name val="Calibri"/>
        <scheme val="minor"/>
      </font>
      <numFmt numFmtId="165" formatCode="[$-409]mmm\-yy;@"/>
      <fill>
        <patternFill patternType="solid">
          <fgColor theme="4"/>
          <bgColor rgb="FF0275D8"/>
        </patternFill>
      </fill>
      <alignment horizontal="center" vertical="bottom" textRotation="0" wrapText="0" relativeIndent="0" justifyLastLine="0" shrinkToFit="0" readingOrder="0"/>
      <border diagonalUp="0" diagonalDown="0" outline="0">
        <left/>
        <right/>
        <top/>
        <bottom/>
      </border>
    </dxf>
    <dxf>
      <font>
        <b/>
        <i val="0"/>
        <strike val="0"/>
        <condense val="0"/>
        <extend val="0"/>
        <outline val="0"/>
        <shadow val="0"/>
        <u val="none"/>
        <vertAlign val="baseline"/>
        <sz val="11"/>
        <color theme="0"/>
        <name val="Calibri"/>
        <scheme val="minor"/>
      </font>
      <numFmt numFmtId="165" formatCode="[$-409]mmm\-yy;@"/>
      <fill>
        <patternFill patternType="solid">
          <fgColor theme="4"/>
          <bgColor rgb="FF0275D8"/>
        </patternFill>
      </fill>
      <alignment horizontal="center" vertical="bottom" textRotation="0" wrapText="0" relativeIndent="0" justifyLastLine="0" shrinkToFit="0" readingOrder="0"/>
      <border diagonalUp="0" diagonalDown="0" outline="0">
        <left/>
        <right/>
        <top/>
        <bottom/>
      </border>
    </dxf>
    <dxf>
      <font>
        <b/>
        <i val="0"/>
        <strike val="0"/>
        <condense val="0"/>
        <extend val="0"/>
        <outline val="0"/>
        <shadow val="0"/>
        <u val="none"/>
        <vertAlign val="baseline"/>
        <sz val="11"/>
        <color theme="0"/>
        <name val="Calibri"/>
        <scheme val="minor"/>
      </font>
      <numFmt numFmtId="165" formatCode="[$-409]mmm\-yy;@"/>
      <fill>
        <patternFill patternType="solid">
          <fgColor theme="4"/>
          <bgColor rgb="FF0275D8"/>
        </patternFill>
      </fill>
      <alignment horizontal="center" vertical="bottom" textRotation="0" wrapText="0" relativeIndent="0" justifyLastLine="0" shrinkToFit="0" readingOrder="0"/>
      <border diagonalUp="0" diagonalDown="0" outline="0">
        <left/>
        <right/>
        <top/>
        <bottom/>
      </border>
    </dxf>
    <dxf>
      <font>
        <b/>
        <i val="0"/>
        <strike val="0"/>
        <condense val="0"/>
        <extend val="0"/>
        <outline val="0"/>
        <shadow val="0"/>
        <u val="none"/>
        <vertAlign val="baseline"/>
        <sz val="11"/>
        <color theme="0"/>
        <name val="Calibri"/>
        <scheme val="minor"/>
      </font>
      <fill>
        <patternFill patternType="solid">
          <fgColor theme="4"/>
          <bgColor rgb="FF0275D8"/>
        </patternFill>
      </fill>
      <border diagonalUp="0" diagonalDown="0" outline="0">
        <left style="thin">
          <color theme="4"/>
        </left>
        <right/>
        <top/>
        <bottom/>
      </border>
    </dxf>
    <dxf>
      <font>
        <b/>
        <i val="0"/>
        <strike val="0"/>
        <condense val="0"/>
        <extend val="0"/>
        <outline val="0"/>
        <shadow val="0"/>
        <u val="none"/>
        <vertAlign val="baseline"/>
        <sz val="11"/>
        <color theme="0"/>
        <name val="Calibri"/>
        <scheme val="minor"/>
      </font>
      <numFmt numFmtId="165" formatCode="[$-409]mmm\-yy;@"/>
      <fill>
        <patternFill patternType="solid">
          <fgColor theme="4"/>
          <bgColor rgb="FF0275D8"/>
        </patternFill>
      </fill>
      <alignment horizontal="center" vertical="bottom" textRotation="0" wrapText="0" relativeIndent="0" justifyLastLine="0" shrinkToFit="0" readingOrder="0"/>
    </dxf>
    <dxf>
      <font>
        <b val="0"/>
        <i val="0"/>
        <strike val="0"/>
        <condense val="0"/>
        <extend val="0"/>
        <outline val="0"/>
        <shadow val="0"/>
        <u val="none"/>
        <vertAlign val="baseline"/>
        <sz val="11"/>
        <color theme="1"/>
        <name val="Calibri"/>
        <scheme val="minor"/>
      </font>
    </dxf>
    <dxf>
      <font>
        <b/>
        <i val="0"/>
        <strike val="0"/>
        <condense val="0"/>
        <extend val="0"/>
        <outline val="0"/>
        <shadow val="0"/>
        <u val="none"/>
        <vertAlign val="baseline"/>
        <sz val="11"/>
        <color theme="0"/>
        <name val="Calibri"/>
        <scheme val="minor"/>
      </font>
      <fill>
        <patternFill patternType="solid">
          <fgColor theme="4"/>
          <bgColor rgb="FF0275D8"/>
        </patternFill>
      </fill>
      <alignment horizontal="center" vertical="bottom" textRotation="0" wrapText="0" relativeIndent="0" justifyLastLine="0" shrinkToFit="0" readingOrder="0"/>
      <border diagonalUp="0" diagonalDown="0" outline="0">
        <left/>
        <right style="thin">
          <color theme="4"/>
        </right>
        <top/>
        <bottom/>
      </border>
    </dxf>
    <dxf>
      <font>
        <b val="0"/>
        <i val="0"/>
        <strike val="0"/>
        <condense val="0"/>
        <extend val="0"/>
        <outline val="0"/>
        <shadow val="0"/>
        <u val="none"/>
        <vertAlign val="baseline"/>
        <sz val="11"/>
        <color theme="1"/>
        <name val="Calibri"/>
        <scheme val="minor"/>
      </font>
    </dxf>
    <dxf>
      <font>
        <b/>
        <i val="0"/>
        <strike val="0"/>
        <condense val="0"/>
        <extend val="0"/>
        <outline val="0"/>
        <shadow val="0"/>
        <u val="none"/>
        <vertAlign val="baseline"/>
        <sz val="11"/>
        <color theme="0"/>
        <name val="Calibri"/>
        <scheme val="minor"/>
      </font>
      <fill>
        <patternFill patternType="solid">
          <fgColor theme="4"/>
          <bgColor rgb="FF0275D8"/>
        </patternFill>
      </fill>
      <alignment horizontal="center" vertical="bottom" textRotation="0" wrapText="0" relativeIndent="0" justifyLastLine="0" shrinkToFit="0" readingOrder="0"/>
      <border diagonalUp="0" diagonalDown="0" outline="0">
        <left/>
        <right/>
        <top/>
        <bottom/>
      </border>
    </dxf>
    <dxf>
      <font>
        <b/>
        <i val="0"/>
        <strike val="0"/>
        <condense val="0"/>
        <extend val="0"/>
        <outline val="0"/>
        <shadow val="0"/>
        <u val="none"/>
        <vertAlign val="baseline"/>
        <sz val="11"/>
        <color theme="0"/>
        <name val="Calibri"/>
        <scheme val="minor"/>
      </font>
      <fill>
        <patternFill patternType="solid">
          <fgColor theme="4"/>
          <bgColor rgb="FF0275D8"/>
        </patternFill>
      </fill>
      <alignment horizontal="center" vertical="bottom" textRotation="0" wrapText="0" relativeIndent="0" justifyLastLine="0" shrinkToFit="0" readingOrder="0"/>
      <border diagonalUp="0" diagonalDown="0" outline="0">
        <left/>
        <right/>
        <top/>
        <bottom/>
      </border>
    </dxf>
    <dxf>
      <font>
        <b/>
        <i val="0"/>
        <strike val="0"/>
        <condense val="0"/>
        <extend val="0"/>
        <outline val="0"/>
        <shadow val="0"/>
        <u val="none"/>
        <vertAlign val="baseline"/>
        <sz val="11"/>
        <color theme="0"/>
        <name val="Calibri"/>
        <scheme val="minor"/>
      </font>
      <numFmt numFmtId="165" formatCode="[$-409]mmm\-yy;@"/>
      <fill>
        <patternFill patternType="solid">
          <fgColor theme="4"/>
          <bgColor rgb="FF0275D8"/>
        </patternFill>
      </fill>
      <alignment horizontal="center" vertical="bottom" textRotation="0" wrapText="0" relativeIndent="0" justifyLastLine="0" shrinkToFit="0" readingOrder="0"/>
      <border diagonalUp="0" diagonalDown="0" outline="0">
        <left/>
        <right/>
        <top/>
        <bottom/>
      </border>
    </dxf>
    <dxf>
      <font>
        <b/>
        <i val="0"/>
        <strike val="0"/>
        <condense val="0"/>
        <extend val="0"/>
        <outline val="0"/>
        <shadow val="0"/>
        <u val="none"/>
        <vertAlign val="baseline"/>
        <sz val="11"/>
        <color theme="0"/>
        <name val="Calibri"/>
        <scheme val="minor"/>
      </font>
      <numFmt numFmtId="165" formatCode="[$-409]mmm\-yy;@"/>
      <fill>
        <patternFill patternType="solid">
          <fgColor theme="4"/>
          <bgColor rgb="FF0275D8"/>
        </patternFill>
      </fill>
      <alignment horizontal="center" vertical="bottom" textRotation="0" wrapText="0" relativeIndent="0" justifyLastLine="0" shrinkToFit="0" readingOrder="0"/>
      <border diagonalUp="0" diagonalDown="0" outline="0">
        <left/>
        <right/>
        <top/>
        <bottom/>
      </border>
    </dxf>
    <dxf>
      <font>
        <b/>
        <i val="0"/>
        <strike val="0"/>
        <condense val="0"/>
        <extend val="0"/>
        <outline val="0"/>
        <shadow val="0"/>
        <u val="none"/>
        <vertAlign val="baseline"/>
        <sz val="11"/>
        <color theme="0"/>
        <name val="Calibri"/>
        <scheme val="minor"/>
      </font>
      <numFmt numFmtId="165" formatCode="[$-409]mmm\-yy;@"/>
      <fill>
        <patternFill patternType="solid">
          <fgColor theme="4"/>
          <bgColor rgb="FF0275D8"/>
        </patternFill>
      </fill>
      <alignment horizontal="center" vertical="bottom" textRotation="0" wrapText="0" relativeIndent="0" justifyLastLine="0" shrinkToFit="0" readingOrder="0"/>
      <border diagonalUp="0" diagonalDown="0" outline="0">
        <left/>
        <right/>
        <top/>
        <bottom/>
      </border>
    </dxf>
    <dxf>
      <font>
        <b/>
        <i val="0"/>
        <strike val="0"/>
        <condense val="0"/>
        <extend val="0"/>
        <outline val="0"/>
        <shadow val="0"/>
        <u val="none"/>
        <vertAlign val="baseline"/>
        <sz val="11"/>
        <color theme="0"/>
        <name val="Calibri"/>
        <scheme val="minor"/>
      </font>
      <numFmt numFmtId="165" formatCode="[$-409]mmm\-yy;@"/>
      <fill>
        <patternFill patternType="solid">
          <fgColor theme="4"/>
          <bgColor rgb="FF0275D8"/>
        </patternFill>
      </fill>
      <alignment horizontal="center" vertical="bottom" textRotation="0" wrapText="0" relativeIndent="0" justifyLastLine="0" shrinkToFit="0" readingOrder="0"/>
      <border diagonalUp="0" diagonalDown="0" outline="0">
        <left/>
        <right/>
        <top/>
        <bottom/>
      </border>
    </dxf>
    <dxf>
      <font>
        <b/>
        <i val="0"/>
        <strike val="0"/>
        <condense val="0"/>
        <extend val="0"/>
        <outline val="0"/>
        <shadow val="0"/>
        <u val="none"/>
        <vertAlign val="baseline"/>
        <sz val="11"/>
        <color theme="0"/>
        <name val="Calibri"/>
        <scheme val="minor"/>
      </font>
      <numFmt numFmtId="165" formatCode="[$-409]mmm\-yy;@"/>
      <fill>
        <patternFill patternType="solid">
          <fgColor theme="4"/>
          <bgColor rgb="FF0275D8"/>
        </patternFill>
      </fill>
      <alignment horizontal="center" vertical="bottom" textRotation="0" wrapText="0" relativeIndent="0" justifyLastLine="0" shrinkToFit="0" readingOrder="0"/>
      <border diagonalUp="0" diagonalDown="0" outline="0">
        <left/>
        <right/>
        <top/>
        <bottom/>
      </border>
    </dxf>
    <dxf>
      <font>
        <b/>
        <i val="0"/>
        <strike val="0"/>
        <condense val="0"/>
        <extend val="0"/>
        <outline val="0"/>
        <shadow val="0"/>
        <u val="none"/>
        <vertAlign val="baseline"/>
        <sz val="11"/>
        <color theme="0"/>
        <name val="Calibri"/>
        <scheme val="minor"/>
      </font>
      <numFmt numFmtId="165" formatCode="[$-409]mmm\-yy;@"/>
      <fill>
        <patternFill patternType="solid">
          <fgColor theme="4"/>
          <bgColor rgb="FF0275D8"/>
        </patternFill>
      </fill>
      <alignment horizontal="center" vertical="bottom" textRotation="0" wrapText="0" relativeIndent="0" justifyLastLine="0" shrinkToFit="0" readingOrder="0"/>
      <border diagonalUp="0" diagonalDown="0" outline="0">
        <left/>
        <right/>
        <top/>
        <bottom/>
      </border>
    </dxf>
    <dxf>
      <font>
        <b/>
        <i val="0"/>
        <strike val="0"/>
        <condense val="0"/>
        <extend val="0"/>
        <outline val="0"/>
        <shadow val="0"/>
        <u val="none"/>
        <vertAlign val="baseline"/>
        <sz val="11"/>
        <color theme="0"/>
        <name val="Calibri"/>
        <scheme val="minor"/>
      </font>
      <numFmt numFmtId="165" formatCode="[$-409]mmm\-yy;@"/>
      <fill>
        <patternFill patternType="solid">
          <fgColor theme="4"/>
          <bgColor rgb="FF0275D8"/>
        </patternFill>
      </fill>
      <alignment horizontal="center" vertical="bottom" textRotation="0" wrapText="0" relativeIndent="0" justifyLastLine="0" shrinkToFit="0" readingOrder="0"/>
      <border diagonalUp="0" diagonalDown="0" outline="0">
        <left/>
        <right/>
        <top/>
        <bottom/>
      </border>
    </dxf>
    <dxf>
      <font>
        <b/>
        <i val="0"/>
        <strike val="0"/>
        <condense val="0"/>
        <extend val="0"/>
        <outline val="0"/>
        <shadow val="0"/>
        <u val="none"/>
        <vertAlign val="baseline"/>
        <sz val="11"/>
        <color theme="0"/>
        <name val="Calibri"/>
        <scheme val="minor"/>
      </font>
      <numFmt numFmtId="165" formatCode="[$-409]mmm\-yy;@"/>
      <fill>
        <patternFill patternType="solid">
          <fgColor theme="4"/>
          <bgColor rgb="FF0275D8"/>
        </patternFill>
      </fill>
      <alignment horizontal="center" vertical="bottom" textRotation="0" wrapText="0" relativeIndent="0" justifyLastLine="0" shrinkToFit="0" readingOrder="0"/>
      <border diagonalUp="0" diagonalDown="0" outline="0">
        <left/>
        <right/>
        <top/>
        <bottom/>
      </border>
    </dxf>
    <dxf>
      <font>
        <b/>
        <i val="0"/>
        <strike val="0"/>
        <condense val="0"/>
        <extend val="0"/>
        <outline val="0"/>
        <shadow val="0"/>
        <u val="none"/>
        <vertAlign val="baseline"/>
        <sz val="11"/>
        <color theme="0"/>
        <name val="Calibri"/>
        <scheme val="minor"/>
      </font>
      <numFmt numFmtId="165" formatCode="[$-409]mmm\-yy;@"/>
      <fill>
        <patternFill patternType="solid">
          <fgColor theme="4"/>
          <bgColor rgb="FF0275D8"/>
        </patternFill>
      </fill>
      <alignment horizontal="center" vertical="bottom" textRotation="0" wrapText="0" relativeIndent="0" justifyLastLine="0" shrinkToFit="0" readingOrder="0"/>
      <border diagonalUp="0" diagonalDown="0" outline="0">
        <left/>
        <right/>
        <top/>
        <bottom/>
      </border>
    </dxf>
    <dxf>
      <font>
        <b/>
        <i val="0"/>
        <strike val="0"/>
        <condense val="0"/>
        <extend val="0"/>
        <outline val="0"/>
        <shadow val="0"/>
        <u val="none"/>
        <vertAlign val="baseline"/>
        <sz val="11"/>
        <color theme="0"/>
        <name val="Calibri"/>
        <scheme val="minor"/>
      </font>
      <numFmt numFmtId="165" formatCode="[$-409]mmm\-yy;@"/>
      <fill>
        <patternFill patternType="solid">
          <fgColor theme="4"/>
          <bgColor rgb="FF0275D8"/>
        </patternFill>
      </fill>
      <alignment horizontal="center" vertical="bottom" textRotation="0" wrapText="0" relativeIndent="0" justifyLastLine="0" shrinkToFit="0" readingOrder="0"/>
      <border diagonalUp="0" diagonalDown="0" outline="0">
        <left/>
        <right/>
        <top/>
        <bottom/>
      </border>
    </dxf>
    <dxf>
      <font>
        <b val="0"/>
        <i val="0"/>
        <strike val="0"/>
        <condense val="0"/>
        <extend val="0"/>
        <outline val="0"/>
        <shadow val="0"/>
        <u val="none"/>
        <vertAlign val="baseline"/>
        <sz val="11"/>
        <color theme="1"/>
        <name val="Calibri"/>
        <scheme val="minor"/>
      </font>
    </dxf>
    <dxf>
      <font>
        <b/>
        <i val="0"/>
        <strike val="0"/>
        <condense val="0"/>
        <extend val="0"/>
        <outline val="0"/>
        <shadow val="0"/>
        <u val="none"/>
        <vertAlign val="baseline"/>
        <sz val="11"/>
        <color theme="0"/>
        <name val="Calibri"/>
        <scheme val="minor"/>
      </font>
      <fill>
        <patternFill patternType="solid">
          <fgColor theme="4"/>
          <bgColor rgb="FF0275D8"/>
        </patternFill>
      </fill>
      <border diagonalUp="0" diagonalDown="0" outline="0">
        <left/>
        <right/>
        <top/>
        <bottom/>
      </border>
    </dxf>
    <dxf>
      <font>
        <b/>
        <i val="0"/>
        <strike val="0"/>
        <condense val="0"/>
        <extend val="0"/>
        <outline val="0"/>
        <shadow val="0"/>
        <u val="none"/>
        <vertAlign val="baseline"/>
        <sz val="11"/>
        <color theme="0"/>
        <name val="Calibri"/>
        <scheme val="minor"/>
      </font>
      <fill>
        <patternFill patternType="solid">
          <fgColor theme="4"/>
          <bgColor rgb="FF0275D8"/>
        </patternFill>
      </fill>
      <alignment horizontal="center" vertical="bottom" textRotation="0" wrapText="0" relativeIndent="0" justifyLastLine="0" shrinkToFit="0" readingOrder="0"/>
    </dxf>
  </dxfs>
  <tableStyles count="0" defaultTableStyle="TableStyleMedium9" defaultPivotStyle="PivotStyleLight16"/>
  <colors>
    <mruColors>
      <color rgb="FF0275D8"/>
      <color rgb="FF028655"/>
      <color rgb="FFE5F8F4"/>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8.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9.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0.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1.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2.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Ex1.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spPr>
            <a:solidFill>
              <a:srgbClr val="028655"/>
            </a:solidFill>
            <a:ln>
              <a:noFill/>
            </a:ln>
            <a:effectLst/>
          </c:spPr>
          <c:invertIfNegative val="0"/>
          <c:dLbls>
            <c:numFmt formatCode="#,##0" sourceLinked="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'Alyman''s Z Score'!$H$49:$K$49</c:f>
              <c:numCache>
                <c:formatCode>[$-409]mmm\-yy;@</c:formatCode>
                <c:ptCount val="4"/>
                <c:pt idx="0">
                  <c:v>44621</c:v>
                </c:pt>
                <c:pt idx="1">
                  <c:v>44986</c:v>
                </c:pt>
                <c:pt idx="2">
                  <c:v>45352</c:v>
                </c:pt>
                <c:pt idx="3">
                  <c:v>45717</c:v>
                </c:pt>
              </c:numCache>
            </c:numRef>
          </c:cat>
          <c:val>
            <c:numRef>
              <c:f>'Alyman''s Z Score'!$H$51:$K$51</c:f>
              <c:numCache>
                <c:formatCode>0.0</c:formatCode>
                <c:ptCount val="4"/>
                <c:pt idx="0">
                  <c:v>15470.98</c:v>
                </c:pt>
                <c:pt idx="1">
                  <c:v>18104.52</c:v>
                </c:pt>
                <c:pt idx="2">
                  <c:v>21172.48</c:v>
                </c:pt>
                <c:pt idx="3">
                  <c:v>24312.78</c:v>
                </c:pt>
              </c:numCache>
            </c:numRef>
          </c:val>
          <c:extLst>
            <c:ext xmlns:c16="http://schemas.microsoft.com/office/drawing/2014/chart" uri="{C3380CC4-5D6E-409C-BE32-E72D297353CC}">
              <c16:uniqueId val="{00000000-52C6-4428-ACD6-5AA50B645C00}"/>
            </c:ext>
          </c:extLst>
        </c:ser>
        <c:dLbls>
          <c:showLegendKey val="0"/>
          <c:showVal val="0"/>
          <c:showCatName val="0"/>
          <c:showSerName val="0"/>
          <c:showPercent val="0"/>
          <c:showBubbleSize val="0"/>
        </c:dLbls>
        <c:gapWidth val="219"/>
        <c:overlap val="-27"/>
        <c:axId val="507289376"/>
        <c:axId val="507291776"/>
      </c:barChart>
      <c:catAx>
        <c:axId val="507289376"/>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7291776"/>
        <c:crosses val="autoZero"/>
        <c:auto val="0"/>
        <c:lblAlgn val="ctr"/>
        <c:lblOffset val="100"/>
        <c:noMultiLvlLbl val="0"/>
      </c:catAx>
      <c:valAx>
        <c:axId val="507291776"/>
        <c:scaling>
          <c:orientation val="minMax"/>
        </c:scaling>
        <c:delete val="1"/>
        <c:axPos val="l"/>
        <c:numFmt formatCode="0.0" sourceLinked="1"/>
        <c:majorTickMark val="none"/>
        <c:minorTickMark val="none"/>
        <c:tickLblPos val="nextTo"/>
        <c:crossAx val="50728937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spPr>
            <a:solidFill>
              <a:srgbClr val="02865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'Alyman''s Z Score'!$H$49:$K$49</c:f>
              <c:numCache>
                <c:formatCode>[$-409]mmm\-yy;@</c:formatCode>
                <c:ptCount val="4"/>
                <c:pt idx="0">
                  <c:v>44621</c:v>
                </c:pt>
                <c:pt idx="1">
                  <c:v>44986</c:v>
                </c:pt>
                <c:pt idx="2">
                  <c:v>45352</c:v>
                </c:pt>
                <c:pt idx="3">
                  <c:v>45717</c:v>
                </c:pt>
              </c:numCache>
            </c:numRef>
          </c:cat>
          <c:val>
            <c:numRef>
              <c:f>'Alyman''s Z Score'!$H$50:$K$50</c:f>
              <c:numCache>
                <c:formatCode>0.0</c:formatCode>
                <c:ptCount val="4"/>
                <c:pt idx="0">
                  <c:v>1492.55</c:v>
                </c:pt>
                <c:pt idx="1">
                  <c:v>2378.5100000000002</c:v>
                </c:pt>
                <c:pt idx="2">
                  <c:v>2536.17</c:v>
                </c:pt>
                <c:pt idx="3">
                  <c:v>2708.02</c:v>
                </c:pt>
              </c:numCache>
            </c:numRef>
          </c:val>
          <c:extLst>
            <c:ext xmlns:c16="http://schemas.microsoft.com/office/drawing/2014/chart" uri="{C3380CC4-5D6E-409C-BE32-E72D297353CC}">
              <c16:uniqueId val="{00000000-0D41-4B7C-8F45-DA8CEDDCF6E1}"/>
            </c:ext>
          </c:extLst>
        </c:ser>
        <c:dLbls>
          <c:showLegendKey val="0"/>
          <c:showVal val="0"/>
          <c:showCatName val="0"/>
          <c:showSerName val="0"/>
          <c:showPercent val="0"/>
          <c:showBubbleSize val="0"/>
        </c:dLbls>
        <c:gapWidth val="219"/>
        <c:overlap val="-27"/>
        <c:axId val="507289376"/>
        <c:axId val="507291776"/>
      </c:barChart>
      <c:dateAx>
        <c:axId val="507289376"/>
        <c:scaling>
          <c:orientation val="minMax"/>
        </c:scaling>
        <c:delete val="0"/>
        <c:axPos val="b"/>
        <c:numFmt formatCode="[$-409]mmm\-yy;@"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7291776"/>
        <c:crosses val="autoZero"/>
        <c:auto val="1"/>
        <c:lblOffset val="100"/>
        <c:baseTimeUnit val="years"/>
      </c:dateAx>
      <c:valAx>
        <c:axId val="507291776"/>
        <c:scaling>
          <c:orientation val="minMax"/>
        </c:scaling>
        <c:delete val="1"/>
        <c:axPos val="l"/>
        <c:numFmt formatCode="0.0" sourceLinked="1"/>
        <c:majorTickMark val="none"/>
        <c:minorTickMark val="none"/>
        <c:tickLblPos val="nextTo"/>
        <c:crossAx val="50728937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spPr>
            <a:solidFill>
              <a:srgbClr val="02865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'Alyman''s Z Score'!$H$43:$K$43</c:f>
              <c:numCache>
                <c:formatCode>[$-409]mmm\-yy;@</c:formatCode>
                <c:ptCount val="4"/>
                <c:pt idx="0">
                  <c:v>44621</c:v>
                </c:pt>
                <c:pt idx="1">
                  <c:v>44986</c:v>
                </c:pt>
                <c:pt idx="2">
                  <c:v>45352</c:v>
                </c:pt>
                <c:pt idx="3">
                  <c:v>45717</c:v>
                </c:pt>
              </c:numCache>
            </c:numRef>
          </c:cat>
          <c:val>
            <c:numRef>
              <c:f>'Alyman''s Z Score'!$H$46:$K$46</c:f>
              <c:numCache>
                <c:formatCode>0.00%</c:formatCode>
                <c:ptCount val="4"/>
                <c:pt idx="0">
                  <c:v>0.25397744680686035</c:v>
                </c:pt>
                <c:pt idx="1">
                  <c:v>0.24026265264143981</c:v>
                </c:pt>
                <c:pt idx="2">
                  <c:v>0.22827226664046915</c:v>
                </c:pt>
                <c:pt idx="3">
                  <c:v>0.20311539856816047</c:v>
                </c:pt>
              </c:numCache>
            </c:numRef>
          </c:val>
          <c:extLst>
            <c:ext xmlns:c16="http://schemas.microsoft.com/office/drawing/2014/chart" uri="{C3380CC4-5D6E-409C-BE32-E72D297353CC}">
              <c16:uniqueId val="{00000000-7141-4B98-A452-449566E775A2}"/>
            </c:ext>
          </c:extLst>
        </c:ser>
        <c:dLbls>
          <c:showLegendKey val="0"/>
          <c:showVal val="0"/>
          <c:showCatName val="0"/>
          <c:showSerName val="0"/>
          <c:showPercent val="0"/>
          <c:showBubbleSize val="0"/>
        </c:dLbls>
        <c:gapWidth val="219"/>
        <c:overlap val="-27"/>
        <c:axId val="507289376"/>
        <c:axId val="507291776"/>
      </c:barChart>
      <c:catAx>
        <c:axId val="507289376"/>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7291776"/>
        <c:crosses val="autoZero"/>
        <c:auto val="0"/>
        <c:lblAlgn val="ctr"/>
        <c:lblOffset val="100"/>
        <c:noMultiLvlLbl val="0"/>
      </c:catAx>
      <c:valAx>
        <c:axId val="507291776"/>
        <c:scaling>
          <c:orientation val="minMax"/>
        </c:scaling>
        <c:delete val="1"/>
        <c:axPos val="l"/>
        <c:numFmt formatCode="0.00%" sourceLinked="1"/>
        <c:majorTickMark val="none"/>
        <c:minorTickMark val="none"/>
        <c:tickLblPos val="nextTo"/>
        <c:crossAx val="50728937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spPr>
            <a:solidFill>
              <a:srgbClr val="028655"/>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'Alyman''s Z Score'!$H$69:$K$69</c:f>
              <c:numCache>
                <c:formatCode>[$-409]mmm\-yy;@</c:formatCode>
                <c:ptCount val="4"/>
                <c:pt idx="0">
                  <c:v>44621</c:v>
                </c:pt>
                <c:pt idx="1">
                  <c:v>44986</c:v>
                </c:pt>
                <c:pt idx="2">
                  <c:v>45352</c:v>
                </c:pt>
                <c:pt idx="3">
                  <c:v>45717</c:v>
                </c:pt>
              </c:numCache>
            </c:numRef>
          </c:cat>
          <c:val>
            <c:numRef>
              <c:f>'Alyman''s Z Score'!$H$72:$K$72</c:f>
              <c:numCache>
                <c:formatCode>0.00%</c:formatCode>
                <c:ptCount val="4"/>
                <c:pt idx="0">
                  <c:v>2.0022177004947328</c:v>
                </c:pt>
                <c:pt idx="1">
                  <c:v>2.3662356140897409</c:v>
                </c:pt>
                <c:pt idx="2">
                  <c:v>2.3988134597364126</c:v>
                </c:pt>
                <c:pt idx="3">
                  <c:v>2.441434093509669</c:v>
                </c:pt>
              </c:numCache>
            </c:numRef>
          </c:val>
          <c:extLst>
            <c:ext xmlns:c16="http://schemas.microsoft.com/office/drawing/2014/chart" uri="{C3380CC4-5D6E-409C-BE32-E72D297353CC}">
              <c16:uniqueId val="{00000000-7D39-49CC-8FD7-2EB1B1511597}"/>
            </c:ext>
          </c:extLst>
        </c:ser>
        <c:dLbls>
          <c:showLegendKey val="0"/>
          <c:showVal val="0"/>
          <c:showCatName val="0"/>
          <c:showSerName val="0"/>
          <c:showPercent val="0"/>
          <c:showBubbleSize val="0"/>
        </c:dLbls>
        <c:gapWidth val="219"/>
        <c:overlap val="-27"/>
        <c:axId val="507289376"/>
        <c:axId val="507291776"/>
      </c:barChart>
      <c:catAx>
        <c:axId val="507289376"/>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7291776"/>
        <c:crosses val="autoZero"/>
        <c:auto val="0"/>
        <c:lblAlgn val="ctr"/>
        <c:lblOffset val="100"/>
        <c:noMultiLvlLbl val="0"/>
      </c:catAx>
      <c:valAx>
        <c:axId val="507291776"/>
        <c:scaling>
          <c:orientation val="minMax"/>
        </c:scaling>
        <c:delete val="1"/>
        <c:axPos val="l"/>
        <c:numFmt formatCode="0.00%" sourceLinked="1"/>
        <c:majorTickMark val="none"/>
        <c:minorTickMark val="none"/>
        <c:tickLblPos val="nextTo"/>
        <c:crossAx val="50728937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spPr>
            <a:solidFill>
              <a:srgbClr val="028655"/>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'Alyman''s Z Score'!$H$49:$K$49</c:f>
              <c:numCache>
                <c:formatCode>[$-409]mmm\-yy;@</c:formatCode>
                <c:ptCount val="4"/>
                <c:pt idx="0">
                  <c:v>44621</c:v>
                </c:pt>
                <c:pt idx="1">
                  <c:v>44986</c:v>
                </c:pt>
                <c:pt idx="2">
                  <c:v>45352</c:v>
                </c:pt>
                <c:pt idx="3">
                  <c:v>45717</c:v>
                </c:pt>
              </c:numCache>
            </c:numRef>
          </c:cat>
          <c:val>
            <c:numRef>
              <c:f>'Alyman''s Z Score'!$H$64:$K$64</c:f>
              <c:numCache>
                <c:formatCode>0.00%</c:formatCode>
                <c:ptCount val="4"/>
                <c:pt idx="0">
                  <c:v>400.85151779374439</c:v>
                </c:pt>
                <c:pt idx="1">
                  <c:v>342.8999661539861</c:v>
                </c:pt>
                <c:pt idx="2">
                  <c:v>497.32463735152669</c:v>
                </c:pt>
                <c:pt idx="3">
                  <c:v>324.18355619160099</c:v>
                </c:pt>
              </c:numCache>
            </c:numRef>
          </c:val>
          <c:extLst>
            <c:ext xmlns:c16="http://schemas.microsoft.com/office/drawing/2014/chart" uri="{C3380CC4-5D6E-409C-BE32-E72D297353CC}">
              <c16:uniqueId val="{00000000-498A-4934-B3DE-12AF4FA33693}"/>
            </c:ext>
          </c:extLst>
        </c:ser>
        <c:dLbls>
          <c:showLegendKey val="0"/>
          <c:showVal val="0"/>
          <c:showCatName val="0"/>
          <c:showSerName val="0"/>
          <c:showPercent val="0"/>
          <c:showBubbleSize val="0"/>
        </c:dLbls>
        <c:gapWidth val="219"/>
        <c:overlap val="-27"/>
        <c:axId val="507289376"/>
        <c:axId val="507291776"/>
      </c:barChart>
      <c:catAx>
        <c:axId val="507289376"/>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7291776"/>
        <c:crosses val="autoZero"/>
        <c:auto val="0"/>
        <c:lblAlgn val="ctr"/>
        <c:lblOffset val="100"/>
        <c:noMultiLvlLbl val="0"/>
      </c:catAx>
      <c:valAx>
        <c:axId val="507291776"/>
        <c:scaling>
          <c:orientation val="minMax"/>
        </c:scaling>
        <c:delete val="1"/>
        <c:axPos val="l"/>
        <c:numFmt formatCode="0.00%" sourceLinked="1"/>
        <c:majorTickMark val="none"/>
        <c:minorTickMark val="none"/>
        <c:tickLblPos val="nextTo"/>
        <c:crossAx val="50728937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7.1727044145454166E-2"/>
          <c:y val="9.7686706076994187E-2"/>
          <c:w val="0.89480033525333391"/>
          <c:h val="0.69629853393022223"/>
        </c:manualLayout>
      </c:layout>
      <c:barChart>
        <c:barDir val="col"/>
        <c:grouping val="clustered"/>
        <c:varyColors val="0"/>
        <c:ser>
          <c:idx val="0"/>
          <c:order val="0"/>
          <c:spPr>
            <a:solidFill>
              <a:srgbClr val="02865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'Alyman''s Z Score'!$H$49:$K$49</c:f>
              <c:numCache>
                <c:formatCode>[$-409]mmm\-yy;@</c:formatCode>
                <c:ptCount val="4"/>
                <c:pt idx="0">
                  <c:v>44621</c:v>
                </c:pt>
                <c:pt idx="1">
                  <c:v>44986</c:v>
                </c:pt>
                <c:pt idx="2">
                  <c:v>45352</c:v>
                </c:pt>
                <c:pt idx="3">
                  <c:v>45717</c:v>
                </c:pt>
              </c:numCache>
            </c:numRef>
          </c:cat>
          <c:val>
            <c:numRef>
              <c:f>'Alyman''s Z Score'!$H$57:$K$57</c:f>
              <c:numCache>
                <c:formatCode>0.0</c:formatCode>
                <c:ptCount val="4"/>
                <c:pt idx="0">
                  <c:v>15470.98</c:v>
                </c:pt>
                <c:pt idx="1">
                  <c:v>18104.52</c:v>
                </c:pt>
                <c:pt idx="2">
                  <c:v>21172.48</c:v>
                </c:pt>
                <c:pt idx="3">
                  <c:v>24312.78</c:v>
                </c:pt>
              </c:numCache>
            </c:numRef>
          </c:val>
          <c:extLst>
            <c:ext xmlns:c16="http://schemas.microsoft.com/office/drawing/2014/chart" uri="{C3380CC4-5D6E-409C-BE32-E72D297353CC}">
              <c16:uniqueId val="{00000000-FE30-41BE-98F2-5077023C21B2}"/>
            </c:ext>
          </c:extLst>
        </c:ser>
        <c:dLbls>
          <c:showLegendKey val="0"/>
          <c:showVal val="0"/>
          <c:showCatName val="0"/>
          <c:showSerName val="0"/>
          <c:showPercent val="0"/>
          <c:showBubbleSize val="0"/>
        </c:dLbls>
        <c:gapWidth val="219"/>
        <c:overlap val="-27"/>
        <c:axId val="507289376"/>
        <c:axId val="507291776"/>
      </c:barChart>
      <c:dateAx>
        <c:axId val="507289376"/>
        <c:scaling>
          <c:orientation val="minMax"/>
        </c:scaling>
        <c:delete val="0"/>
        <c:axPos val="b"/>
        <c:numFmt formatCode="[$-409]mmm\-yy;@"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7291776"/>
        <c:crosses val="autoZero"/>
        <c:auto val="1"/>
        <c:lblOffset val="100"/>
        <c:baseTimeUnit val="years"/>
      </c:dateAx>
      <c:valAx>
        <c:axId val="507291776"/>
        <c:scaling>
          <c:orientation val="minMax"/>
        </c:scaling>
        <c:delete val="1"/>
        <c:axPos val="l"/>
        <c:numFmt formatCode="0.0" sourceLinked="1"/>
        <c:majorTickMark val="none"/>
        <c:minorTickMark val="none"/>
        <c:tickLblPos val="nextTo"/>
        <c:crossAx val="50728937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orientation="portrait"/>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spPr>
            <a:solidFill>
              <a:srgbClr val="028655"/>
            </a:solidFill>
            <a:ln>
              <a:noFill/>
            </a:ln>
            <a:effectLst/>
          </c:spPr>
          <c:invertIfNegative val="0"/>
          <c:dLbls>
            <c:numFmt formatCode="#,##0" sourceLinked="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'Dupond Analysis'!$H$52:$K$52</c:f>
              <c:numCache>
                <c:formatCode>[$-409]mmm\-yy;@</c:formatCode>
                <c:ptCount val="4"/>
                <c:pt idx="0">
                  <c:v>44621</c:v>
                </c:pt>
                <c:pt idx="1">
                  <c:v>44986</c:v>
                </c:pt>
                <c:pt idx="2">
                  <c:v>45352</c:v>
                </c:pt>
                <c:pt idx="3">
                  <c:v>45717</c:v>
                </c:pt>
              </c:numCache>
            </c:numRef>
          </c:cat>
          <c:val>
            <c:numRef>
              <c:f>'Dupond Analysis'!$H$54:$K$54</c:f>
              <c:numCache>
                <c:formatCode>0.0</c:formatCode>
                <c:ptCount val="4"/>
                <c:pt idx="0">
                  <c:v>30976.27</c:v>
                </c:pt>
                <c:pt idx="1">
                  <c:v>42839.56</c:v>
                </c:pt>
                <c:pt idx="2">
                  <c:v>50788.83</c:v>
                </c:pt>
                <c:pt idx="3">
                  <c:v>59358.05</c:v>
                </c:pt>
              </c:numCache>
            </c:numRef>
          </c:val>
          <c:extLst>
            <c:ext xmlns:c16="http://schemas.microsoft.com/office/drawing/2014/chart" uri="{C3380CC4-5D6E-409C-BE32-E72D297353CC}">
              <c16:uniqueId val="{00000000-6244-457F-9244-DB28CEF4563A}"/>
            </c:ext>
          </c:extLst>
        </c:ser>
        <c:dLbls>
          <c:showLegendKey val="0"/>
          <c:showVal val="0"/>
          <c:showCatName val="0"/>
          <c:showSerName val="0"/>
          <c:showPercent val="0"/>
          <c:showBubbleSize val="0"/>
        </c:dLbls>
        <c:gapWidth val="219"/>
        <c:overlap val="-27"/>
        <c:axId val="507289376"/>
        <c:axId val="507291776"/>
      </c:barChart>
      <c:catAx>
        <c:axId val="507289376"/>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7291776"/>
        <c:crosses val="autoZero"/>
        <c:auto val="0"/>
        <c:lblAlgn val="ctr"/>
        <c:lblOffset val="100"/>
        <c:noMultiLvlLbl val="0"/>
      </c:catAx>
      <c:valAx>
        <c:axId val="507291776"/>
        <c:scaling>
          <c:orientation val="minMax"/>
        </c:scaling>
        <c:delete val="1"/>
        <c:axPos val="l"/>
        <c:numFmt formatCode="0.0" sourceLinked="1"/>
        <c:majorTickMark val="none"/>
        <c:minorTickMark val="none"/>
        <c:tickLblPos val="nextTo"/>
        <c:crossAx val="50728937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spPr>
            <a:solidFill>
              <a:srgbClr val="02865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'Dupond Analysis'!$H$52:$K$52</c:f>
              <c:numCache>
                <c:formatCode>[$-409]mmm\-yy;@</c:formatCode>
                <c:ptCount val="4"/>
                <c:pt idx="0">
                  <c:v>44621</c:v>
                </c:pt>
                <c:pt idx="1">
                  <c:v>44986</c:v>
                </c:pt>
                <c:pt idx="2">
                  <c:v>45352</c:v>
                </c:pt>
                <c:pt idx="3">
                  <c:v>45717</c:v>
                </c:pt>
              </c:numCache>
            </c:numRef>
          </c:cat>
          <c:val>
            <c:numRef>
              <c:f>'Dupond Analysis'!$H$53:$K$53</c:f>
              <c:numCache>
                <c:formatCode>0.0</c:formatCode>
                <c:ptCount val="4"/>
                <c:pt idx="0">
                  <c:v>659.58</c:v>
                </c:pt>
                <c:pt idx="1">
                  <c:v>723.72</c:v>
                </c:pt>
                <c:pt idx="2">
                  <c:v>550.9</c:v>
                </c:pt>
                <c:pt idx="3">
                  <c:v>772.97</c:v>
                </c:pt>
              </c:numCache>
            </c:numRef>
          </c:val>
          <c:extLst>
            <c:ext xmlns:c16="http://schemas.microsoft.com/office/drawing/2014/chart" uri="{C3380CC4-5D6E-409C-BE32-E72D297353CC}">
              <c16:uniqueId val="{00000000-92EB-4C99-AE72-4EFAA027DF2E}"/>
            </c:ext>
          </c:extLst>
        </c:ser>
        <c:dLbls>
          <c:showLegendKey val="0"/>
          <c:showVal val="0"/>
          <c:showCatName val="0"/>
          <c:showSerName val="0"/>
          <c:showPercent val="0"/>
          <c:showBubbleSize val="0"/>
        </c:dLbls>
        <c:gapWidth val="219"/>
        <c:overlap val="-27"/>
        <c:axId val="507289376"/>
        <c:axId val="507291776"/>
      </c:barChart>
      <c:dateAx>
        <c:axId val="507289376"/>
        <c:scaling>
          <c:orientation val="minMax"/>
        </c:scaling>
        <c:delete val="0"/>
        <c:axPos val="b"/>
        <c:numFmt formatCode="[$-409]mmm\-yy;@"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7291776"/>
        <c:crosses val="autoZero"/>
        <c:auto val="1"/>
        <c:lblOffset val="100"/>
        <c:baseTimeUnit val="years"/>
      </c:dateAx>
      <c:valAx>
        <c:axId val="507291776"/>
        <c:scaling>
          <c:orientation val="minMax"/>
        </c:scaling>
        <c:delete val="1"/>
        <c:axPos val="l"/>
        <c:numFmt formatCode="0.0" sourceLinked="1"/>
        <c:majorTickMark val="none"/>
        <c:minorTickMark val="none"/>
        <c:tickLblPos val="nextTo"/>
        <c:crossAx val="50728937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spPr>
            <a:solidFill>
              <a:srgbClr val="02865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'Dupond Analysis'!$H$46:$K$46</c:f>
              <c:numCache>
                <c:formatCode>[$-409]mmm\-yy;@</c:formatCode>
                <c:ptCount val="4"/>
                <c:pt idx="0">
                  <c:v>44621</c:v>
                </c:pt>
                <c:pt idx="1">
                  <c:v>44986</c:v>
                </c:pt>
                <c:pt idx="2">
                  <c:v>45352</c:v>
                </c:pt>
                <c:pt idx="3">
                  <c:v>45717</c:v>
                </c:pt>
              </c:numCache>
            </c:numRef>
          </c:cat>
          <c:val>
            <c:numRef>
              <c:f>'Dupond Analysis'!$H$49:$K$49</c:f>
              <c:numCache>
                <c:formatCode>0.00%</c:formatCode>
                <c:ptCount val="4"/>
                <c:pt idx="0">
                  <c:v>0.11542707553936665</c:v>
                </c:pt>
                <c:pt idx="1">
                  <c:v>0.15986576306091407</c:v>
                </c:pt>
                <c:pt idx="2">
                  <c:v>0.14585530697148535</c:v>
                </c:pt>
                <c:pt idx="3">
                  <c:v>0.13497727259699988</c:v>
                </c:pt>
              </c:numCache>
            </c:numRef>
          </c:val>
          <c:extLst>
            <c:ext xmlns:c16="http://schemas.microsoft.com/office/drawing/2014/chart" uri="{C3380CC4-5D6E-409C-BE32-E72D297353CC}">
              <c16:uniqueId val="{00000000-7A00-435D-BA8D-96BDA57565DD}"/>
            </c:ext>
          </c:extLst>
        </c:ser>
        <c:dLbls>
          <c:showLegendKey val="0"/>
          <c:showVal val="0"/>
          <c:showCatName val="0"/>
          <c:showSerName val="0"/>
          <c:showPercent val="0"/>
          <c:showBubbleSize val="0"/>
        </c:dLbls>
        <c:gapWidth val="219"/>
        <c:overlap val="-27"/>
        <c:axId val="507289376"/>
        <c:axId val="507291776"/>
      </c:barChart>
      <c:catAx>
        <c:axId val="507289376"/>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7291776"/>
        <c:crosses val="autoZero"/>
        <c:auto val="0"/>
        <c:lblAlgn val="ctr"/>
        <c:lblOffset val="100"/>
        <c:noMultiLvlLbl val="0"/>
      </c:catAx>
      <c:valAx>
        <c:axId val="507291776"/>
        <c:scaling>
          <c:orientation val="minMax"/>
        </c:scaling>
        <c:delete val="1"/>
        <c:axPos val="l"/>
        <c:numFmt formatCode="0.00%" sourceLinked="1"/>
        <c:majorTickMark val="none"/>
        <c:minorTickMark val="none"/>
        <c:tickLblPos val="nextTo"/>
        <c:crossAx val="50728937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spPr>
            <a:solidFill>
              <a:srgbClr val="028655"/>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'Dupond Analysis'!$H$68:$K$68</c:f>
              <c:numCache>
                <c:formatCode>[$-409]mmm\-yy;@</c:formatCode>
                <c:ptCount val="4"/>
                <c:pt idx="0">
                  <c:v>44621</c:v>
                </c:pt>
                <c:pt idx="1">
                  <c:v>44986</c:v>
                </c:pt>
                <c:pt idx="2">
                  <c:v>45352</c:v>
                </c:pt>
                <c:pt idx="3">
                  <c:v>45717</c:v>
                </c:pt>
              </c:numCache>
            </c:numRef>
          </c:cat>
          <c:val>
            <c:numRef>
              <c:f>'Dupond Analysis'!$H$71:$K$71</c:f>
              <c:numCache>
                <c:formatCode>0.00%</c:formatCode>
                <c:ptCount val="4"/>
                <c:pt idx="0">
                  <c:v>0.10248907935616354</c:v>
                </c:pt>
                <c:pt idx="1">
                  <c:v>0.14168128546112493</c:v>
                </c:pt>
                <c:pt idx="2">
                  <c:v>0.12914275530208519</c:v>
                </c:pt>
                <c:pt idx="3">
                  <c:v>0.11907242038409807</c:v>
                </c:pt>
              </c:numCache>
            </c:numRef>
          </c:val>
          <c:extLst>
            <c:ext xmlns:c16="http://schemas.microsoft.com/office/drawing/2014/chart" uri="{C3380CC4-5D6E-409C-BE32-E72D297353CC}">
              <c16:uniqueId val="{00000000-B357-41DC-9BE2-A23C933A7A3F}"/>
            </c:ext>
          </c:extLst>
        </c:ser>
        <c:dLbls>
          <c:showLegendKey val="0"/>
          <c:showVal val="0"/>
          <c:showCatName val="0"/>
          <c:showSerName val="0"/>
          <c:showPercent val="0"/>
          <c:showBubbleSize val="0"/>
        </c:dLbls>
        <c:gapWidth val="219"/>
        <c:overlap val="-27"/>
        <c:axId val="507289376"/>
        <c:axId val="507291776"/>
      </c:barChart>
      <c:catAx>
        <c:axId val="507289376"/>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7291776"/>
        <c:crosses val="autoZero"/>
        <c:auto val="0"/>
        <c:lblAlgn val="ctr"/>
        <c:lblOffset val="100"/>
        <c:noMultiLvlLbl val="0"/>
      </c:catAx>
      <c:valAx>
        <c:axId val="507291776"/>
        <c:scaling>
          <c:orientation val="minMax"/>
        </c:scaling>
        <c:delete val="1"/>
        <c:axPos val="l"/>
        <c:numFmt formatCode="0.00%" sourceLinked="1"/>
        <c:majorTickMark val="none"/>
        <c:minorTickMark val="none"/>
        <c:tickLblPos val="nextTo"/>
        <c:crossAx val="50728937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spPr>
            <a:solidFill>
              <a:srgbClr val="028655"/>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'Dupond Analysis'!$H$52:$K$52</c:f>
              <c:numCache>
                <c:formatCode>[$-409]mmm\-yy;@</c:formatCode>
                <c:ptCount val="4"/>
                <c:pt idx="0">
                  <c:v>44621</c:v>
                </c:pt>
                <c:pt idx="1">
                  <c:v>44986</c:v>
                </c:pt>
                <c:pt idx="2">
                  <c:v>45352</c:v>
                </c:pt>
                <c:pt idx="3">
                  <c:v>45717</c:v>
                </c:pt>
              </c:numCache>
            </c:numRef>
          </c:cat>
          <c:val>
            <c:numRef>
              <c:f>'Dupond Analysis'!$H$63:$K$63</c:f>
              <c:numCache>
                <c:formatCode>0.00\x</c:formatCode>
                <c:ptCount val="4"/>
                <c:pt idx="0">
                  <c:v>1.1262378027442494</c:v>
                </c:pt>
                <c:pt idx="1">
                  <c:v>1.1283477739533825</c:v>
                </c:pt>
                <c:pt idx="2">
                  <c:v>1.1294114534749307</c:v>
                </c:pt>
                <c:pt idx="3">
                  <c:v>1.1335729311758063</c:v>
                </c:pt>
              </c:numCache>
            </c:numRef>
          </c:val>
          <c:extLst>
            <c:ext xmlns:c16="http://schemas.microsoft.com/office/drawing/2014/chart" uri="{C3380CC4-5D6E-409C-BE32-E72D297353CC}">
              <c16:uniqueId val="{00000000-1908-4E7E-A78F-B38161DF13CF}"/>
            </c:ext>
          </c:extLst>
        </c:ser>
        <c:dLbls>
          <c:showLegendKey val="0"/>
          <c:showVal val="0"/>
          <c:showCatName val="0"/>
          <c:showSerName val="0"/>
          <c:showPercent val="0"/>
          <c:showBubbleSize val="0"/>
        </c:dLbls>
        <c:gapWidth val="219"/>
        <c:overlap val="-27"/>
        <c:axId val="507289376"/>
        <c:axId val="507291776"/>
      </c:barChart>
      <c:catAx>
        <c:axId val="507289376"/>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7291776"/>
        <c:crosses val="autoZero"/>
        <c:auto val="0"/>
        <c:lblAlgn val="ctr"/>
        <c:lblOffset val="100"/>
        <c:noMultiLvlLbl val="0"/>
      </c:catAx>
      <c:valAx>
        <c:axId val="507291776"/>
        <c:scaling>
          <c:orientation val="minMax"/>
        </c:scaling>
        <c:delete val="1"/>
        <c:axPos val="l"/>
        <c:numFmt formatCode="0.00\x" sourceLinked="1"/>
        <c:majorTickMark val="none"/>
        <c:minorTickMark val="none"/>
        <c:tickLblPos val="nextTo"/>
        <c:crossAx val="50728937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spPr>
            <a:solidFill>
              <a:srgbClr val="02865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'Dupond Analysis'!$H$52:$K$52</c:f>
              <c:numCache>
                <c:formatCode>[$-409]mmm\-yy;@</c:formatCode>
                <c:ptCount val="4"/>
                <c:pt idx="0">
                  <c:v>44621</c:v>
                </c:pt>
                <c:pt idx="1">
                  <c:v>44986</c:v>
                </c:pt>
                <c:pt idx="2">
                  <c:v>45352</c:v>
                </c:pt>
                <c:pt idx="3">
                  <c:v>45717</c:v>
                </c:pt>
              </c:numCache>
            </c:numRef>
          </c:cat>
          <c:val>
            <c:numRef>
              <c:f>'Dupond Analysis'!$H$58:$K$58</c:f>
              <c:numCache>
                <c:formatCode>0.0</c:formatCode>
                <c:ptCount val="4"/>
                <c:pt idx="0">
                  <c:v>14563.014999999999</c:v>
                </c:pt>
                <c:pt idx="1">
                  <c:v>16787.75</c:v>
                </c:pt>
                <c:pt idx="2">
                  <c:v>19638.5</c:v>
                </c:pt>
                <c:pt idx="3">
                  <c:v>22742.629999999997</c:v>
                </c:pt>
              </c:numCache>
            </c:numRef>
          </c:val>
          <c:extLst>
            <c:ext xmlns:c16="http://schemas.microsoft.com/office/drawing/2014/chart" uri="{C3380CC4-5D6E-409C-BE32-E72D297353CC}">
              <c16:uniqueId val="{00000000-7AC7-44DA-AC53-A46F432A932D}"/>
            </c:ext>
          </c:extLst>
        </c:ser>
        <c:dLbls>
          <c:showLegendKey val="0"/>
          <c:showVal val="0"/>
          <c:showCatName val="0"/>
          <c:showSerName val="0"/>
          <c:showPercent val="0"/>
          <c:showBubbleSize val="0"/>
        </c:dLbls>
        <c:gapWidth val="219"/>
        <c:overlap val="-27"/>
        <c:axId val="507289376"/>
        <c:axId val="507291776"/>
      </c:barChart>
      <c:dateAx>
        <c:axId val="507289376"/>
        <c:scaling>
          <c:orientation val="minMax"/>
        </c:scaling>
        <c:delete val="0"/>
        <c:axPos val="b"/>
        <c:numFmt formatCode="[$-409]mmm\-yy;@"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7291776"/>
        <c:crosses val="autoZero"/>
        <c:auto val="1"/>
        <c:lblOffset val="100"/>
        <c:baseTimeUnit val="years"/>
      </c:dateAx>
      <c:valAx>
        <c:axId val="507291776"/>
        <c:scaling>
          <c:orientation val="minMax"/>
        </c:scaling>
        <c:delete val="1"/>
        <c:axPos val="l"/>
        <c:numFmt formatCode="0.0" sourceLinked="1"/>
        <c:majorTickMark val="none"/>
        <c:minorTickMark val="none"/>
        <c:tickLblPos val="nextTo"/>
        <c:crossAx val="50728937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orientation="portrait"/>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numDim type="val">
        <cx:f>_xlchart.v1.0</cx:f>
      </cx:numDim>
    </cx:data>
  </cx:chartData>
  <cx:chart>
    <cx:title pos="t" align="ctr" overlay="0"/>
    <cx:plotArea>
      <cx:plotAreaRegion>
        <cx:series layoutId="clusteredColumn" uniqueId="{5D125506-B8C5-4CC7-9C70-D1E1082831CD}">
          <cx:dataId val="0"/>
          <cx:layoutPr>
            <cx:binning intervalClosed="r"/>
          </cx:layoutPr>
        </cx:series>
      </cx:plotAreaRegion>
      <cx:axis id="0">
        <cx:catScaling gapWidth="0"/>
        <cx:tickLabels/>
      </cx:axis>
      <cx:axis id="1">
        <cx:valScaling/>
        <cx:majorGridlines/>
        <cx:tickLabels/>
      </cx:axis>
    </cx:plotArea>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2.xml"/><Relationship Id="rId7" Type="http://schemas.openxmlformats.org/officeDocument/2006/relationships/chart" Target="../charts/chart6.xml"/><Relationship Id="rId2" Type="http://schemas.openxmlformats.org/officeDocument/2006/relationships/chart" Target="../charts/chart1.xml"/><Relationship Id="rId1" Type="http://schemas.openxmlformats.org/officeDocument/2006/relationships/image" Target="../media/image2.jpg"/><Relationship Id="rId6" Type="http://schemas.openxmlformats.org/officeDocument/2006/relationships/chart" Target="../charts/chart5.xml"/><Relationship Id="rId5" Type="http://schemas.openxmlformats.org/officeDocument/2006/relationships/chart" Target="../charts/chart4.xml"/><Relationship Id="rId4" Type="http://schemas.openxmlformats.org/officeDocument/2006/relationships/chart" Target="../charts/chart3.xml"/></Relationships>
</file>

<file path=xl/drawings/_rels/drawing2.xml.rels><?xml version="1.0" encoding="UTF-8" standalone="yes"?>
<Relationships xmlns="http://schemas.openxmlformats.org/package/2006/relationships"><Relationship Id="rId1" Type="http://schemas.microsoft.com/office/2014/relationships/chartEx" Target="../charts/chartEx1.xml"/></Relationships>
</file>

<file path=xl/drawings/_rels/drawing3.xml.rels><?xml version="1.0" encoding="UTF-8" standalone="yes"?>
<Relationships xmlns="http://schemas.openxmlformats.org/package/2006/relationships"><Relationship Id="rId3" Type="http://schemas.openxmlformats.org/officeDocument/2006/relationships/chart" Target="../charts/chart8.xml"/><Relationship Id="rId7" Type="http://schemas.openxmlformats.org/officeDocument/2006/relationships/chart" Target="../charts/chart12.xml"/><Relationship Id="rId2" Type="http://schemas.openxmlformats.org/officeDocument/2006/relationships/chart" Target="../charts/chart7.xml"/><Relationship Id="rId1" Type="http://schemas.openxmlformats.org/officeDocument/2006/relationships/image" Target="../media/image2.jpg"/><Relationship Id="rId6" Type="http://schemas.openxmlformats.org/officeDocument/2006/relationships/chart" Target="../charts/chart11.xml"/><Relationship Id="rId5" Type="http://schemas.openxmlformats.org/officeDocument/2006/relationships/chart" Target="../charts/chart10.xml"/><Relationship Id="rId4"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editAs="oneCell">
    <xdr:from>
      <xdr:col>6</xdr:col>
      <xdr:colOff>587104</xdr:colOff>
      <xdr:row>1</xdr:row>
      <xdr:rowOff>156815</xdr:rowOff>
    </xdr:from>
    <xdr:to>
      <xdr:col>9</xdr:col>
      <xdr:colOff>521124</xdr:colOff>
      <xdr:row>4</xdr:row>
      <xdr:rowOff>108857</xdr:rowOff>
    </xdr:to>
    <xdr:pic>
      <xdr:nvPicPr>
        <xdr:cNvPr id="2" name="Picture 1">
          <a:extLst>
            <a:ext uri="{FF2B5EF4-FFF2-40B4-BE49-F238E27FC236}">
              <a16:creationId xmlns:a16="http://schemas.microsoft.com/office/drawing/2014/main" id="{1F6EA0AA-B23A-4F7A-87CC-E5C97B4AD886}"/>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t="27216" b="24261"/>
        <a:stretch>
          <a:fillRect/>
        </a:stretch>
      </xdr:blipFill>
      <xdr:spPr>
        <a:xfrm>
          <a:off x="4846684" y="339695"/>
          <a:ext cx="2120885" cy="683562"/>
        </a:xfrm>
        <a:prstGeom prst="rect">
          <a:avLst/>
        </a:prstGeom>
      </xdr:spPr>
    </xdr:pic>
    <xdr:clientData/>
  </xdr:twoCellAnchor>
  <xdr:twoCellAnchor>
    <xdr:from>
      <xdr:col>0</xdr:col>
      <xdr:colOff>110972</xdr:colOff>
      <xdr:row>17</xdr:row>
      <xdr:rowOff>131482</xdr:rowOff>
    </xdr:from>
    <xdr:to>
      <xdr:col>1</xdr:col>
      <xdr:colOff>3023016</xdr:colOff>
      <xdr:row>25</xdr:row>
      <xdr:rowOff>81952</xdr:rowOff>
    </xdr:to>
    <xdr:graphicFrame macro="">
      <xdr:nvGraphicFramePr>
        <xdr:cNvPr id="3" name="Chart 2">
          <a:extLst>
            <a:ext uri="{FF2B5EF4-FFF2-40B4-BE49-F238E27FC236}">
              <a16:creationId xmlns:a16="http://schemas.microsoft.com/office/drawing/2014/main" id="{2EEADA10-8FAF-4DE7-9A14-C2D0C46BFD3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224852</xdr:colOff>
      <xdr:row>17</xdr:row>
      <xdr:rowOff>97591</xdr:rowOff>
    </xdr:from>
    <xdr:to>
      <xdr:col>5</xdr:col>
      <xdr:colOff>399495</xdr:colOff>
      <xdr:row>25</xdr:row>
      <xdr:rowOff>41450</xdr:rowOff>
    </xdr:to>
    <xdr:graphicFrame macro="">
      <xdr:nvGraphicFramePr>
        <xdr:cNvPr id="4" name="Chart 3">
          <a:extLst>
            <a:ext uri="{FF2B5EF4-FFF2-40B4-BE49-F238E27FC236}">
              <a16:creationId xmlns:a16="http://schemas.microsoft.com/office/drawing/2014/main" id="{6973A64F-2675-449B-B096-CD1E4A3BB8F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436485</xdr:colOff>
      <xdr:row>17</xdr:row>
      <xdr:rowOff>7398</xdr:rowOff>
    </xdr:from>
    <xdr:to>
      <xdr:col>2</xdr:col>
      <xdr:colOff>0</xdr:colOff>
      <xdr:row>18</xdr:row>
      <xdr:rowOff>66583</xdr:rowOff>
    </xdr:to>
    <xdr:sp macro="" textlink="">
      <xdr:nvSpPr>
        <xdr:cNvPr id="5" name="TextBox 4">
          <a:extLst>
            <a:ext uri="{FF2B5EF4-FFF2-40B4-BE49-F238E27FC236}">
              <a16:creationId xmlns:a16="http://schemas.microsoft.com/office/drawing/2014/main" id="{53BCA2A1-7F2B-49AD-B959-417E9DE9B149}"/>
            </a:ext>
          </a:extLst>
        </xdr:cNvPr>
        <xdr:cNvSpPr txBox="1"/>
      </xdr:nvSpPr>
      <xdr:spPr>
        <a:xfrm>
          <a:off x="566025" y="3261138"/>
          <a:ext cx="1255155" cy="24206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solidFill>
                <a:srgbClr val="028655"/>
              </a:solidFill>
            </a:rPr>
            <a:t>Revenue (INR Cr)</a:t>
          </a:r>
        </a:p>
      </xdr:txBody>
    </xdr:sp>
    <xdr:clientData/>
  </xdr:twoCellAnchor>
  <xdr:twoCellAnchor>
    <xdr:from>
      <xdr:col>2</xdr:col>
      <xdr:colOff>946951</xdr:colOff>
      <xdr:row>16</xdr:row>
      <xdr:rowOff>170156</xdr:rowOff>
    </xdr:from>
    <xdr:to>
      <xdr:col>5</xdr:col>
      <xdr:colOff>73981</xdr:colOff>
      <xdr:row>18</xdr:row>
      <xdr:rowOff>1</xdr:rowOff>
    </xdr:to>
    <xdr:sp macro="" textlink="">
      <xdr:nvSpPr>
        <xdr:cNvPr id="6" name="TextBox 5">
          <a:extLst>
            <a:ext uri="{FF2B5EF4-FFF2-40B4-BE49-F238E27FC236}">
              <a16:creationId xmlns:a16="http://schemas.microsoft.com/office/drawing/2014/main" id="{7202E537-22FB-436E-AAE4-12B1E9934E10}"/>
            </a:ext>
          </a:extLst>
        </xdr:cNvPr>
        <xdr:cNvSpPr txBox="1"/>
      </xdr:nvSpPr>
      <xdr:spPr>
        <a:xfrm>
          <a:off x="4394446" y="3329127"/>
          <a:ext cx="1649768" cy="24413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solidFill>
                <a:srgbClr val="028655"/>
              </a:solidFill>
            </a:rPr>
            <a:t>Net Profit (INR Cr)</a:t>
          </a:r>
        </a:p>
      </xdr:txBody>
    </xdr:sp>
    <xdr:clientData/>
  </xdr:twoCellAnchor>
  <xdr:twoCellAnchor>
    <xdr:from>
      <xdr:col>1</xdr:col>
      <xdr:colOff>133165</xdr:colOff>
      <xdr:row>28</xdr:row>
      <xdr:rowOff>36990</xdr:rowOff>
    </xdr:from>
    <xdr:to>
      <xdr:col>1</xdr:col>
      <xdr:colOff>3048000</xdr:colOff>
      <xdr:row>35</xdr:row>
      <xdr:rowOff>172412</xdr:rowOff>
    </xdr:to>
    <xdr:graphicFrame macro="">
      <xdr:nvGraphicFramePr>
        <xdr:cNvPr id="7" name="Chart 6">
          <a:extLst>
            <a:ext uri="{FF2B5EF4-FFF2-40B4-BE49-F238E27FC236}">
              <a16:creationId xmlns:a16="http://schemas.microsoft.com/office/drawing/2014/main" id="{504855A3-8BB4-4E8E-A5F7-6EF90D52971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310719</xdr:colOff>
      <xdr:row>27</xdr:row>
      <xdr:rowOff>170155</xdr:rowOff>
    </xdr:from>
    <xdr:to>
      <xdr:col>5</xdr:col>
      <xdr:colOff>545804</xdr:colOff>
      <xdr:row>35</xdr:row>
      <xdr:rowOff>120625</xdr:rowOff>
    </xdr:to>
    <xdr:graphicFrame macro="">
      <xdr:nvGraphicFramePr>
        <xdr:cNvPr id="8" name="Chart 7">
          <a:extLst>
            <a:ext uri="{FF2B5EF4-FFF2-40B4-BE49-F238E27FC236}">
              <a16:creationId xmlns:a16="http://schemas.microsoft.com/office/drawing/2014/main" id="{28879709-8D98-4BD5-AB94-E682CA9C746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6</xdr:col>
      <xdr:colOff>349770</xdr:colOff>
      <xdr:row>28</xdr:row>
      <xdr:rowOff>14796</xdr:rowOff>
    </xdr:from>
    <xdr:to>
      <xdr:col>10</xdr:col>
      <xdr:colOff>153707</xdr:colOff>
      <xdr:row>35</xdr:row>
      <xdr:rowOff>150218</xdr:rowOff>
    </xdr:to>
    <xdr:graphicFrame macro="">
      <xdr:nvGraphicFramePr>
        <xdr:cNvPr id="9" name="Chart 8">
          <a:extLst>
            <a:ext uri="{FF2B5EF4-FFF2-40B4-BE49-F238E27FC236}">
              <a16:creationId xmlns:a16="http://schemas.microsoft.com/office/drawing/2014/main" id="{DD11D17D-1BE0-46AC-AEC7-69AD6AA9E08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xdr:col>
      <xdr:colOff>244136</xdr:colOff>
      <xdr:row>27</xdr:row>
      <xdr:rowOff>36991</xdr:rowOff>
    </xdr:from>
    <xdr:to>
      <xdr:col>2</xdr:col>
      <xdr:colOff>0</xdr:colOff>
      <xdr:row>28</xdr:row>
      <xdr:rowOff>96175</xdr:rowOff>
    </xdr:to>
    <xdr:sp macro="" textlink="">
      <xdr:nvSpPr>
        <xdr:cNvPr id="10" name="TextBox 9">
          <a:extLst>
            <a:ext uri="{FF2B5EF4-FFF2-40B4-BE49-F238E27FC236}">
              <a16:creationId xmlns:a16="http://schemas.microsoft.com/office/drawing/2014/main" id="{3743F90A-93B2-4733-AAFB-8540CABD3B76}"/>
            </a:ext>
          </a:extLst>
        </xdr:cNvPr>
        <xdr:cNvSpPr txBox="1"/>
      </xdr:nvSpPr>
      <xdr:spPr>
        <a:xfrm>
          <a:off x="373676" y="5119531"/>
          <a:ext cx="1447504" cy="24206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solidFill>
                <a:srgbClr val="028655"/>
              </a:solidFill>
            </a:rPr>
            <a:t>Return</a:t>
          </a:r>
          <a:r>
            <a:rPr lang="en-US" sz="1100" baseline="0">
              <a:solidFill>
                <a:srgbClr val="028655"/>
              </a:solidFill>
            </a:rPr>
            <a:t> On Asset </a:t>
          </a:r>
          <a:r>
            <a:rPr lang="en-US" sz="1100">
              <a:solidFill>
                <a:srgbClr val="028655"/>
              </a:solidFill>
            </a:rPr>
            <a:t>(INR Cr)</a:t>
          </a:r>
        </a:p>
      </xdr:txBody>
    </xdr:sp>
    <xdr:clientData/>
  </xdr:twoCellAnchor>
  <xdr:twoCellAnchor>
    <xdr:from>
      <xdr:col>2</xdr:col>
      <xdr:colOff>377301</xdr:colOff>
      <xdr:row>27</xdr:row>
      <xdr:rowOff>14796</xdr:rowOff>
    </xdr:from>
    <xdr:to>
      <xdr:col>5</xdr:col>
      <xdr:colOff>429087</xdr:colOff>
      <xdr:row>28</xdr:row>
      <xdr:rowOff>73980</xdr:rowOff>
    </xdr:to>
    <xdr:sp macro="" textlink="">
      <xdr:nvSpPr>
        <xdr:cNvPr id="11" name="TextBox 10">
          <a:extLst>
            <a:ext uri="{FF2B5EF4-FFF2-40B4-BE49-F238E27FC236}">
              <a16:creationId xmlns:a16="http://schemas.microsoft.com/office/drawing/2014/main" id="{E1C51EA1-C627-458F-961A-58763B334AC2}"/>
            </a:ext>
          </a:extLst>
        </xdr:cNvPr>
        <xdr:cNvSpPr txBox="1"/>
      </xdr:nvSpPr>
      <xdr:spPr>
        <a:xfrm>
          <a:off x="2198481" y="5097336"/>
          <a:ext cx="1880586" cy="24206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solidFill>
                <a:srgbClr val="028655"/>
              </a:solidFill>
            </a:rPr>
            <a:t>Return</a:t>
          </a:r>
          <a:r>
            <a:rPr lang="en-US" sz="1100" baseline="0">
              <a:solidFill>
                <a:srgbClr val="028655"/>
              </a:solidFill>
            </a:rPr>
            <a:t> On Equity </a:t>
          </a:r>
          <a:r>
            <a:rPr lang="en-US" sz="1100">
              <a:solidFill>
                <a:srgbClr val="028655"/>
              </a:solidFill>
            </a:rPr>
            <a:t>(INR Cr)</a:t>
          </a:r>
        </a:p>
      </xdr:txBody>
    </xdr:sp>
    <xdr:clientData/>
  </xdr:twoCellAnchor>
  <xdr:twoCellAnchor>
    <xdr:from>
      <xdr:col>7</xdr:col>
      <xdr:colOff>170155</xdr:colOff>
      <xdr:row>27</xdr:row>
      <xdr:rowOff>44388</xdr:rowOff>
    </xdr:from>
    <xdr:to>
      <xdr:col>10</xdr:col>
      <xdr:colOff>244136</xdr:colOff>
      <xdr:row>28</xdr:row>
      <xdr:rowOff>103572</xdr:rowOff>
    </xdr:to>
    <xdr:sp macro="" textlink="">
      <xdr:nvSpPr>
        <xdr:cNvPr id="12" name="TextBox 11">
          <a:extLst>
            <a:ext uri="{FF2B5EF4-FFF2-40B4-BE49-F238E27FC236}">
              <a16:creationId xmlns:a16="http://schemas.microsoft.com/office/drawing/2014/main" id="{7A949584-92B5-409F-AA25-518139D431A6}"/>
            </a:ext>
          </a:extLst>
        </xdr:cNvPr>
        <xdr:cNvSpPr txBox="1"/>
      </xdr:nvSpPr>
      <xdr:spPr>
        <a:xfrm>
          <a:off x="5039335" y="5126928"/>
          <a:ext cx="1902781" cy="24206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solidFill>
                <a:srgbClr val="028655"/>
              </a:solidFill>
            </a:rPr>
            <a:t>Financial</a:t>
          </a:r>
          <a:r>
            <a:rPr lang="en-US" sz="1100" baseline="0">
              <a:solidFill>
                <a:srgbClr val="028655"/>
              </a:solidFill>
            </a:rPr>
            <a:t> Leaverage </a:t>
          </a:r>
          <a:r>
            <a:rPr lang="en-US" sz="1100">
              <a:solidFill>
                <a:srgbClr val="028655"/>
              </a:solidFill>
            </a:rPr>
            <a:t>(INR Cr)</a:t>
          </a:r>
        </a:p>
      </xdr:txBody>
    </xdr:sp>
    <xdr:clientData/>
  </xdr:twoCellAnchor>
  <xdr:twoCellAnchor>
    <xdr:from>
      <xdr:col>1</xdr:col>
      <xdr:colOff>88777</xdr:colOff>
      <xdr:row>38</xdr:row>
      <xdr:rowOff>0</xdr:rowOff>
    </xdr:from>
    <xdr:to>
      <xdr:col>10</xdr:col>
      <xdr:colOff>547457</xdr:colOff>
      <xdr:row>40</xdr:row>
      <xdr:rowOff>73980</xdr:rowOff>
    </xdr:to>
    <xdr:sp macro="" textlink="">
      <xdr:nvSpPr>
        <xdr:cNvPr id="13" name="TextBox 12">
          <a:extLst>
            <a:ext uri="{FF2B5EF4-FFF2-40B4-BE49-F238E27FC236}">
              <a16:creationId xmlns:a16="http://schemas.microsoft.com/office/drawing/2014/main" id="{F8D5DDDA-52DB-4504-95C2-09FDB8285EDD}"/>
            </a:ext>
          </a:extLst>
        </xdr:cNvPr>
        <xdr:cNvSpPr txBox="1"/>
      </xdr:nvSpPr>
      <xdr:spPr>
        <a:xfrm>
          <a:off x="218317" y="7607942"/>
          <a:ext cx="7027120" cy="474658"/>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b="1">
              <a:solidFill>
                <a:srgbClr val="028655"/>
              </a:solidFill>
            </a:rPr>
            <a:t>Altman's Z Score Analysis </a:t>
          </a:r>
          <a:endParaRPr lang="en-US" sz="1100" b="1">
            <a:solidFill>
              <a:srgbClr val="028655"/>
            </a:solidFill>
          </a:endParaRPr>
        </a:p>
      </xdr:txBody>
    </xdr:sp>
    <xdr:clientData/>
  </xdr:twoCellAnchor>
  <xdr:twoCellAnchor>
    <xdr:from>
      <xdr:col>6</xdr:col>
      <xdr:colOff>260268</xdr:colOff>
      <xdr:row>17</xdr:row>
      <xdr:rowOff>65127</xdr:rowOff>
    </xdr:from>
    <xdr:to>
      <xdr:col>10</xdr:col>
      <xdr:colOff>16131</xdr:colOff>
      <xdr:row>25</xdr:row>
      <xdr:rowOff>15598</xdr:rowOff>
    </xdr:to>
    <xdr:graphicFrame macro="">
      <xdr:nvGraphicFramePr>
        <xdr:cNvPr id="14" name="Chart 13">
          <a:extLst>
            <a:ext uri="{FF2B5EF4-FFF2-40B4-BE49-F238E27FC236}">
              <a16:creationId xmlns:a16="http://schemas.microsoft.com/office/drawing/2014/main" id="{E0967FDE-A8D1-4D5C-88CD-E5B537ACE84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7</xdr:col>
      <xdr:colOff>29592</xdr:colOff>
      <xdr:row>16</xdr:row>
      <xdr:rowOff>214544</xdr:rowOff>
    </xdr:from>
    <xdr:to>
      <xdr:col>9</xdr:col>
      <xdr:colOff>406893</xdr:colOff>
      <xdr:row>18</xdr:row>
      <xdr:rowOff>44389</xdr:rowOff>
    </xdr:to>
    <xdr:sp macro="" textlink="">
      <xdr:nvSpPr>
        <xdr:cNvPr id="15" name="TextBox 14">
          <a:extLst>
            <a:ext uri="{FF2B5EF4-FFF2-40B4-BE49-F238E27FC236}">
              <a16:creationId xmlns:a16="http://schemas.microsoft.com/office/drawing/2014/main" id="{B2595AAD-347A-445D-9461-2B6A0938F01A}"/>
            </a:ext>
          </a:extLst>
        </xdr:cNvPr>
        <xdr:cNvSpPr txBox="1"/>
      </xdr:nvSpPr>
      <xdr:spPr>
        <a:xfrm>
          <a:off x="7449844" y="3373515"/>
          <a:ext cx="1827321" cy="24413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solidFill>
                <a:srgbClr val="028655"/>
              </a:solidFill>
            </a:rPr>
            <a:t>Average</a:t>
          </a:r>
          <a:r>
            <a:rPr lang="en-US" sz="1100" baseline="0">
              <a:solidFill>
                <a:srgbClr val="028655"/>
              </a:solidFill>
            </a:rPr>
            <a:t> Total Aeet </a:t>
          </a:r>
          <a:r>
            <a:rPr lang="en-US" sz="1100">
              <a:solidFill>
                <a:srgbClr val="028655"/>
              </a:solidFill>
            </a:rPr>
            <a:t>(INR Cr)</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8</xdr:col>
      <xdr:colOff>0</xdr:colOff>
      <xdr:row>25</xdr:row>
      <xdr:rowOff>1</xdr:rowOff>
    </xdr:from>
    <xdr:to>
      <xdr:col>12</xdr:col>
      <xdr:colOff>752354</xdr:colOff>
      <xdr:row>37</xdr:row>
      <xdr:rowOff>144685</xdr:rowOff>
    </xdr:to>
    <mc:AlternateContent xmlns:mc="http://schemas.openxmlformats.org/markup-compatibility/2006">
      <mc:Choice xmlns:cx1="http://schemas.microsoft.com/office/drawing/2015/9/8/chartex" Requires="cx1">
        <xdr:graphicFrame macro="">
          <xdr:nvGraphicFramePr>
            <xdr:cNvPr id="3" name="Chart 2">
              <a:extLst>
                <a:ext uri="{FF2B5EF4-FFF2-40B4-BE49-F238E27FC236}">
                  <a16:creationId xmlns:a16="http://schemas.microsoft.com/office/drawing/2014/main" id="{48CED80B-C178-4C0B-98C7-A7700CD5A1D2}"/>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5707380" y="4747261"/>
              <a:ext cx="3305054" cy="2430684"/>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editAs="oneCell">
    <xdr:from>
      <xdr:col>6</xdr:col>
      <xdr:colOff>587104</xdr:colOff>
      <xdr:row>1</xdr:row>
      <xdr:rowOff>156815</xdr:rowOff>
    </xdr:from>
    <xdr:to>
      <xdr:col>8</xdr:col>
      <xdr:colOff>550326</xdr:colOff>
      <xdr:row>4</xdr:row>
      <xdr:rowOff>108857</xdr:rowOff>
    </xdr:to>
    <xdr:pic>
      <xdr:nvPicPr>
        <xdr:cNvPr id="3" name="Picture 2">
          <a:extLst>
            <a:ext uri="{FF2B5EF4-FFF2-40B4-BE49-F238E27FC236}">
              <a16:creationId xmlns:a16="http://schemas.microsoft.com/office/drawing/2014/main" id="{8AE422D9-7273-6E58-BDBC-B73ABDD5876D}"/>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t="27216" b="24261"/>
        <a:stretch>
          <a:fillRect/>
        </a:stretch>
      </xdr:blipFill>
      <xdr:spPr>
        <a:xfrm>
          <a:off x="4832533" y="338244"/>
          <a:ext cx="2113627" cy="677756"/>
        </a:xfrm>
        <a:prstGeom prst="rect">
          <a:avLst/>
        </a:prstGeom>
      </xdr:spPr>
    </xdr:pic>
    <xdr:clientData/>
  </xdr:twoCellAnchor>
  <xdr:twoCellAnchor>
    <xdr:from>
      <xdr:col>0</xdr:col>
      <xdr:colOff>110972</xdr:colOff>
      <xdr:row>17</xdr:row>
      <xdr:rowOff>131482</xdr:rowOff>
    </xdr:from>
    <xdr:to>
      <xdr:col>3</xdr:col>
      <xdr:colOff>70184</xdr:colOff>
      <xdr:row>25</xdr:row>
      <xdr:rowOff>81952</xdr:rowOff>
    </xdr:to>
    <xdr:graphicFrame macro="">
      <xdr:nvGraphicFramePr>
        <xdr:cNvPr id="2" name="Chart 1">
          <a:extLst>
            <a:ext uri="{FF2B5EF4-FFF2-40B4-BE49-F238E27FC236}">
              <a16:creationId xmlns:a16="http://schemas.microsoft.com/office/drawing/2014/main" id="{4C991ADD-C88F-3E56-0CAF-FABD81E1842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330868</xdr:colOff>
      <xdr:row>18</xdr:row>
      <xdr:rowOff>54372</xdr:rowOff>
    </xdr:from>
    <xdr:to>
      <xdr:col>6</xdr:col>
      <xdr:colOff>571500</xdr:colOff>
      <xdr:row>25</xdr:row>
      <xdr:rowOff>178704</xdr:rowOff>
    </xdr:to>
    <xdr:graphicFrame macro="">
      <xdr:nvGraphicFramePr>
        <xdr:cNvPr id="4" name="Chart 3">
          <a:extLst>
            <a:ext uri="{FF2B5EF4-FFF2-40B4-BE49-F238E27FC236}">
              <a16:creationId xmlns:a16="http://schemas.microsoft.com/office/drawing/2014/main" id="{AE403C49-4CE4-4B95-969F-89760311643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1068143</xdr:colOff>
      <xdr:row>16</xdr:row>
      <xdr:rowOff>197899</xdr:rowOff>
    </xdr:from>
    <xdr:to>
      <xdr:col>2</xdr:col>
      <xdr:colOff>631658</xdr:colOff>
      <xdr:row>18</xdr:row>
      <xdr:rowOff>26478</xdr:rowOff>
    </xdr:to>
    <xdr:sp macro="" textlink="">
      <xdr:nvSpPr>
        <xdr:cNvPr id="6" name="TextBox 5">
          <a:extLst>
            <a:ext uri="{FF2B5EF4-FFF2-40B4-BE49-F238E27FC236}">
              <a16:creationId xmlns:a16="http://schemas.microsoft.com/office/drawing/2014/main" id="{546BDCDD-5AE3-3D1A-D391-72544556B53B}"/>
            </a:ext>
          </a:extLst>
        </xdr:cNvPr>
        <xdr:cNvSpPr txBox="1"/>
      </xdr:nvSpPr>
      <xdr:spPr>
        <a:xfrm>
          <a:off x="1198485" y="3195767"/>
          <a:ext cx="1739226" cy="239658"/>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solidFill>
                <a:srgbClr val="028655"/>
              </a:solidFill>
            </a:rPr>
            <a:t>Revenue (INR Cr)</a:t>
          </a:r>
        </a:p>
      </xdr:txBody>
    </xdr:sp>
    <xdr:clientData/>
  </xdr:twoCellAnchor>
  <xdr:twoCellAnchor>
    <xdr:from>
      <xdr:col>4</xdr:col>
      <xdr:colOff>391026</xdr:colOff>
      <xdr:row>16</xdr:row>
      <xdr:rowOff>220093</xdr:rowOff>
    </xdr:from>
    <xdr:to>
      <xdr:col>6</xdr:col>
      <xdr:colOff>356470</xdr:colOff>
      <xdr:row>18</xdr:row>
      <xdr:rowOff>48672</xdr:rowOff>
    </xdr:to>
    <xdr:sp macro="" textlink="">
      <xdr:nvSpPr>
        <xdr:cNvPr id="7" name="TextBox 6">
          <a:extLst>
            <a:ext uri="{FF2B5EF4-FFF2-40B4-BE49-F238E27FC236}">
              <a16:creationId xmlns:a16="http://schemas.microsoft.com/office/drawing/2014/main" id="{A9C86620-25B2-40C9-A6D9-0D160729906B}"/>
            </a:ext>
          </a:extLst>
        </xdr:cNvPr>
        <xdr:cNvSpPr txBox="1"/>
      </xdr:nvSpPr>
      <xdr:spPr>
        <a:xfrm>
          <a:off x="4862763" y="3217961"/>
          <a:ext cx="2131128" cy="239658"/>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solidFill>
                <a:srgbClr val="028655"/>
              </a:solidFill>
            </a:rPr>
            <a:t>Net Profit (INR Cr)</a:t>
          </a:r>
        </a:p>
      </xdr:txBody>
    </xdr:sp>
    <xdr:clientData/>
  </xdr:twoCellAnchor>
  <xdr:twoCellAnchor>
    <xdr:from>
      <xdr:col>1</xdr:col>
      <xdr:colOff>133164</xdr:colOff>
      <xdr:row>28</xdr:row>
      <xdr:rowOff>36990</xdr:rowOff>
    </xdr:from>
    <xdr:to>
      <xdr:col>2</xdr:col>
      <xdr:colOff>1062789</xdr:colOff>
      <xdr:row>35</xdr:row>
      <xdr:rowOff>172412</xdr:rowOff>
    </xdr:to>
    <xdr:graphicFrame macro="">
      <xdr:nvGraphicFramePr>
        <xdr:cNvPr id="9" name="Chart 8">
          <a:extLst>
            <a:ext uri="{FF2B5EF4-FFF2-40B4-BE49-F238E27FC236}">
              <a16:creationId xmlns:a16="http://schemas.microsoft.com/office/drawing/2014/main" id="{598015BE-18C6-4A6C-ADEA-3C282814935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xdr:col>
      <xdr:colOff>320745</xdr:colOff>
      <xdr:row>27</xdr:row>
      <xdr:rowOff>180181</xdr:rowOff>
    </xdr:from>
    <xdr:to>
      <xdr:col>6</xdr:col>
      <xdr:colOff>555830</xdr:colOff>
      <xdr:row>35</xdr:row>
      <xdr:rowOff>130651</xdr:rowOff>
    </xdr:to>
    <xdr:graphicFrame macro="">
      <xdr:nvGraphicFramePr>
        <xdr:cNvPr id="10" name="Chart 9">
          <a:extLst>
            <a:ext uri="{FF2B5EF4-FFF2-40B4-BE49-F238E27FC236}">
              <a16:creationId xmlns:a16="http://schemas.microsoft.com/office/drawing/2014/main" id="{D407EB99-8D62-4D5F-9A92-2C6876A8DC9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7</xdr:col>
      <xdr:colOff>555342</xdr:colOff>
      <xdr:row>28</xdr:row>
      <xdr:rowOff>54901</xdr:rowOff>
    </xdr:from>
    <xdr:to>
      <xdr:col>11</xdr:col>
      <xdr:colOff>183786</xdr:colOff>
      <xdr:row>36</xdr:row>
      <xdr:rowOff>9849</xdr:rowOff>
    </xdr:to>
    <xdr:graphicFrame macro="">
      <xdr:nvGraphicFramePr>
        <xdr:cNvPr id="11" name="Chart 10">
          <a:extLst>
            <a:ext uri="{FF2B5EF4-FFF2-40B4-BE49-F238E27FC236}">
              <a16:creationId xmlns:a16="http://schemas.microsoft.com/office/drawing/2014/main" id="{E7338F72-3884-4F65-B62C-07DE17D3CB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xdr:col>
      <xdr:colOff>966030</xdr:colOff>
      <xdr:row>27</xdr:row>
      <xdr:rowOff>26965</xdr:rowOff>
    </xdr:from>
    <xdr:to>
      <xdr:col>2</xdr:col>
      <xdr:colOff>721894</xdr:colOff>
      <xdr:row>28</xdr:row>
      <xdr:rowOff>86149</xdr:rowOff>
    </xdr:to>
    <xdr:sp macro="" textlink="">
      <xdr:nvSpPr>
        <xdr:cNvPr id="12" name="TextBox 11">
          <a:extLst>
            <a:ext uri="{FF2B5EF4-FFF2-40B4-BE49-F238E27FC236}">
              <a16:creationId xmlns:a16="http://schemas.microsoft.com/office/drawing/2014/main" id="{C7741386-2F88-41C5-B789-6FC566BA765B}"/>
            </a:ext>
          </a:extLst>
        </xdr:cNvPr>
        <xdr:cNvSpPr txBox="1"/>
      </xdr:nvSpPr>
      <xdr:spPr>
        <a:xfrm>
          <a:off x="1096372" y="5060176"/>
          <a:ext cx="1931575" cy="239657"/>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solidFill>
                <a:srgbClr val="028655"/>
              </a:solidFill>
            </a:rPr>
            <a:t>Return</a:t>
          </a:r>
          <a:r>
            <a:rPr lang="en-US" sz="1100" baseline="0">
              <a:solidFill>
                <a:srgbClr val="028655"/>
              </a:solidFill>
            </a:rPr>
            <a:t> On Asset </a:t>
          </a:r>
          <a:r>
            <a:rPr lang="en-US" sz="1100">
              <a:solidFill>
                <a:srgbClr val="028655"/>
              </a:solidFill>
            </a:rPr>
            <a:t>(INR Cr)</a:t>
          </a:r>
        </a:p>
      </xdr:txBody>
    </xdr:sp>
    <xdr:clientData/>
  </xdr:twoCellAnchor>
  <xdr:twoCellAnchor>
    <xdr:from>
      <xdr:col>4</xdr:col>
      <xdr:colOff>206853</xdr:colOff>
      <xdr:row>26</xdr:row>
      <xdr:rowOff>115059</xdr:rowOff>
    </xdr:from>
    <xdr:to>
      <xdr:col>7</xdr:col>
      <xdr:colOff>729876</xdr:colOff>
      <xdr:row>27</xdr:row>
      <xdr:rowOff>174242</xdr:rowOff>
    </xdr:to>
    <xdr:sp macro="" textlink="">
      <xdr:nvSpPr>
        <xdr:cNvPr id="13" name="TextBox 12">
          <a:extLst>
            <a:ext uri="{FF2B5EF4-FFF2-40B4-BE49-F238E27FC236}">
              <a16:creationId xmlns:a16="http://schemas.microsoft.com/office/drawing/2014/main" id="{DE2BF1C7-3FF5-4428-81D5-48A55E3B3686}"/>
            </a:ext>
          </a:extLst>
        </xdr:cNvPr>
        <xdr:cNvSpPr txBox="1"/>
      </xdr:nvSpPr>
      <xdr:spPr>
        <a:xfrm>
          <a:off x="4678590" y="4967796"/>
          <a:ext cx="3771549" cy="239657"/>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solidFill>
                <a:srgbClr val="028655"/>
              </a:solidFill>
            </a:rPr>
            <a:t>Return</a:t>
          </a:r>
          <a:r>
            <a:rPr lang="en-US" sz="1100" baseline="0">
              <a:solidFill>
                <a:srgbClr val="028655"/>
              </a:solidFill>
            </a:rPr>
            <a:t> On Equity </a:t>
          </a:r>
          <a:r>
            <a:rPr lang="en-US" sz="1100">
              <a:solidFill>
                <a:srgbClr val="028655"/>
              </a:solidFill>
            </a:rPr>
            <a:t>(INR Cr)</a:t>
          </a:r>
        </a:p>
      </xdr:txBody>
    </xdr:sp>
    <xdr:clientData/>
  </xdr:twoCellAnchor>
  <xdr:twoCellAnchor>
    <xdr:from>
      <xdr:col>8</xdr:col>
      <xdr:colOff>551155</xdr:colOff>
      <xdr:row>27</xdr:row>
      <xdr:rowOff>74466</xdr:rowOff>
    </xdr:from>
    <xdr:to>
      <xdr:col>12</xdr:col>
      <xdr:colOff>13531</xdr:colOff>
      <xdr:row>28</xdr:row>
      <xdr:rowOff>133650</xdr:rowOff>
    </xdr:to>
    <xdr:sp macro="" textlink="">
      <xdr:nvSpPr>
        <xdr:cNvPr id="14" name="TextBox 13">
          <a:extLst>
            <a:ext uri="{FF2B5EF4-FFF2-40B4-BE49-F238E27FC236}">
              <a16:creationId xmlns:a16="http://schemas.microsoft.com/office/drawing/2014/main" id="{99C72E06-D3DA-4BB7-8F8D-7290CB6C8C6F}"/>
            </a:ext>
          </a:extLst>
        </xdr:cNvPr>
        <xdr:cNvSpPr txBox="1"/>
      </xdr:nvSpPr>
      <xdr:spPr>
        <a:xfrm>
          <a:off x="9354260" y="5107677"/>
          <a:ext cx="3322508" cy="239657"/>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solidFill>
                <a:srgbClr val="028655"/>
              </a:solidFill>
            </a:rPr>
            <a:t>Financial</a:t>
          </a:r>
          <a:r>
            <a:rPr lang="en-US" sz="1100" baseline="0">
              <a:solidFill>
                <a:srgbClr val="028655"/>
              </a:solidFill>
            </a:rPr>
            <a:t> Leaverage </a:t>
          </a:r>
          <a:r>
            <a:rPr lang="en-US" sz="1100">
              <a:solidFill>
                <a:srgbClr val="028655"/>
              </a:solidFill>
            </a:rPr>
            <a:t>(INR Cr)</a:t>
          </a:r>
        </a:p>
      </xdr:txBody>
    </xdr:sp>
    <xdr:clientData/>
  </xdr:twoCellAnchor>
  <xdr:twoCellAnchor>
    <xdr:from>
      <xdr:col>1</xdr:col>
      <xdr:colOff>88776</xdr:colOff>
      <xdr:row>40</xdr:row>
      <xdr:rowOff>147962</xdr:rowOff>
    </xdr:from>
    <xdr:to>
      <xdr:col>11</xdr:col>
      <xdr:colOff>20051</xdr:colOff>
      <xdr:row>43</xdr:row>
      <xdr:rowOff>73980</xdr:rowOff>
    </xdr:to>
    <xdr:sp macro="" textlink="">
      <xdr:nvSpPr>
        <xdr:cNvPr id="15" name="TextBox 14">
          <a:extLst>
            <a:ext uri="{FF2B5EF4-FFF2-40B4-BE49-F238E27FC236}">
              <a16:creationId xmlns:a16="http://schemas.microsoft.com/office/drawing/2014/main" id="{B455FFC5-D709-E928-4814-AE7EAB23215D}"/>
            </a:ext>
          </a:extLst>
        </xdr:cNvPr>
        <xdr:cNvSpPr txBox="1"/>
      </xdr:nvSpPr>
      <xdr:spPr>
        <a:xfrm>
          <a:off x="219118" y="7527330"/>
          <a:ext cx="11852565" cy="46743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b="1">
              <a:solidFill>
                <a:srgbClr val="028655"/>
              </a:solidFill>
            </a:rPr>
            <a:t>Dupond Analysis - Return On Equity &amp; Return On Asset </a:t>
          </a:r>
          <a:endParaRPr lang="en-US" sz="1100" b="1">
            <a:solidFill>
              <a:srgbClr val="028655"/>
            </a:solidFill>
          </a:endParaRPr>
        </a:p>
      </xdr:txBody>
    </xdr:sp>
    <xdr:clientData/>
  </xdr:twoCellAnchor>
  <xdr:twoCellAnchor>
    <xdr:from>
      <xdr:col>7</xdr:col>
      <xdr:colOff>541421</xdr:colOff>
      <xdr:row>18</xdr:row>
      <xdr:rowOff>75636</xdr:rowOff>
    </xdr:from>
    <xdr:to>
      <xdr:col>11</xdr:col>
      <xdr:colOff>184757</xdr:colOff>
      <xdr:row>26</xdr:row>
      <xdr:rowOff>26106</xdr:rowOff>
    </xdr:to>
    <xdr:graphicFrame macro="">
      <xdr:nvGraphicFramePr>
        <xdr:cNvPr id="17" name="Chart 16">
          <a:extLst>
            <a:ext uri="{FF2B5EF4-FFF2-40B4-BE49-F238E27FC236}">
              <a16:creationId xmlns:a16="http://schemas.microsoft.com/office/drawing/2014/main" id="{DF195CF2-6C9D-44FC-B6BA-D7EB5FFDBAA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8</xdr:col>
      <xdr:colOff>668843</xdr:colOff>
      <xdr:row>16</xdr:row>
      <xdr:rowOff>180668</xdr:rowOff>
    </xdr:from>
    <xdr:to>
      <xdr:col>10</xdr:col>
      <xdr:colOff>1046144</xdr:colOff>
      <xdr:row>18</xdr:row>
      <xdr:rowOff>14991</xdr:rowOff>
    </xdr:to>
    <xdr:sp macro="" textlink="">
      <xdr:nvSpPr>
        <xdr:cNvPr id="18" name="TextBox 17">
          <a:extLst>
            <a:ext uri="{FF2B5EF4-FFF2-40B4-BE49-F238E27FC236}">
              <a16:creationId xmlns:a16="http://schemas.microsoft.com/office/drawing/2014/main" id="{EDD0C20B-3B6A-489D-8846-1C7BA2EF08BC}"/>
            </a:ext>
          </a:extLst>
        </xdr:cNvPr>
        <xdr:cNvSpPr txBox="1"/>
      </xdr:nvSpPr>
      <xdr:spPr>
        <a:xfrm>
          <a:off x="9471948" y="3178536"/>
          <a:ext cx="2542985" cy="245402"/>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solidFill>
                <a:srgbClr val="028655"/>
              </a:solidFill>
            </a:rPr>
            <a:t>Average</a:t>
          </a:r>
          <a:r>
            <a:rPr lang="en-US" sz="1100" baseline="0">
              <a:solidFill>
                <a:srgbClr val="028655"/>
              </a:solidFill>
            </a:rPr>
            <a:t> Total Aeet </a:t>
          </a:r>
          <a:r>
            <a:rPr lang="en-US" sz="1100">
              <a:solidFill>
                <a:srgbClr val="028655"/>
              </a:solidFill>
            </a:rPr>
            <a:t>(INR Cr)</a:t>
          </a:r>
        </a:p>
      </xdr:txBody>
    </xdr:sp>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Annual" displayName="Annual" ref="A3:N19" headerRowCount="0" totalsRowShown="0" headerRowDxfId="30">
  <tableColumns count="14">
    <tableColumn id="1" xr3:uid="{00000000-0010-0000-0000-000001000000}" name="Column1" headerRowDxfId="29" dataDxfId="28"/>
    <tableColumn id="2" xr3:uid="{00000000-0010-0000-0000-000002000000}" name="Column2" headerRowDxfId="27"/>
    <tableColumn id="3" xr3:uid="{00000000-0010-0000-0000-000003000000}" name="Column3" headerRowDxfId="26"/>
    <tableColumn id="4" xr3:uid="{00000000-0010-0000-0000-000004000000}" name="Column4" headerRowDxfId="25"/>
    <tableColumn id="5" xr3:uid="{00000000-0010-0000-0000-000005000000}" name="Column5" headerRowDxfId="24"/>
    <tableColumn id="6" xr3:uid="{00000000-0010-0000-0000-000006000000}" name="Column6" headerRowDxfId="23"/>
    <tableColumn id="7" xr3:uid="{00000000-0010-0000-0000-000007000000}" name="Column7" headerRowDxfId="22"/>
    <tableColumn id="8" xr3:uid="{00000000-0010-0000-0000-000008000000}" name="Column8" headerRowDxfId="21"/>
    <tableColumn id="9" xr3:uid="{00000000-0010-0000-0000-000009000000}" name="Column9" headerRowDxfId="20"/>
    <tableColumn id="10" xr3:uid="{00000000-0010-0000-0000-00000A000000}" name="Column10" headerRowDxfId="19"/>
    <tableColumn id="11" xr3:uid="{00000000-0010-0000-0000-00000B000000}" name="Column11" headerRowDxfId="18"/>
    <tableColumn id="12" xr3:uid="{00000000-0010-0000-0000-00000C000000}" name="Column12" headerRowDxfId="17"/>
    <tableColumn id="13" xr3:uid="{00000000-0010-0000-0000-00000D000000}" name="Column13" headerRowDxfId="16" dataDxfId="15"/>
    <tableColumn id="14" xr3:uid="{00000000-0010-0000-0000-00000E000000}" name="Column14" headerRowDxfId="14" dataDxfId="13"/>
  </tableColumns>
  <tableStyleInfo showFirstColumn="0" showLastColumn="0" showRowStripes="0"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Quarters" displayName="Quarters" ref="A3:K14" headerRowCount="0" totalsRowShown="0" headerRowDxfId="12">
  <tableColumns count="11">
    <tableColumn id="1" xr3:uid="{00000000-0010-0000-0100-000001000000}" name="Column1" headerRowDxfId="11"/>
    <tableColumn id="2" xr3:uid="{00000000-0010-0000-0100-000002000000}" name="Column2" headerRowDxfId="10"/>
    <tableColumn id="3" xr3:uid="{00000000-0010-0000-0100-000003000000}" name="Column3" headerRowDxfId="9"/>
    <tableColumn id="4" xr3:uid="{00000000-0010-0000-0100-000004000000}" name="Column4" headerRowDxfId="8"/>
    <tableColumn id="5" xr3:uid="{00000000-0010-0000-0100-000005000000}" name="Column5" headerRowDxfId="7"/>
    <tableColumn id="6" xr3:uid="{00000000-0010-0000-0100-000006000000}" name="Column6" headerRowDxfId="6"/>
    <tableColumn id="7" xr3:uid="{00000000-0010-0000-0100-000007000000}" name="Column7" headerRowDxfId="5"/>
    <tableColumn id="8" xr3:uid="{00000000-0010-0000-0100-000008000000}" name="Column8" headerRowDxfId="4"/>
    <tableColumn id="9" xr3:uid="{00000000-0010-0000-0100-000009000000}" name="Column9" headerRowDxfId="3"/>
    <tableColumn id="10" xr3:uid="{00000000-0010-0000-0100-00000A000000}" name="Column10" headerRowDxfId="2"/>
    <tableColumn id="11" xr3:uid="{00000000-0010-0000-0100-00000B000000}" name="Column11" headerRowDxfId="1"/>
  </tableColumns>
  <tableStyleInfo name="TableStyleLight1" showFirstColumn="0" showLastColumn="0" showRowStripes="0" showColumnStripes="0"/>
</table>
</file>

<file path=xl/theme/_rels/theme1.xml.rels><?xml version="1.0" encoding="UTF-8" standalone="yes"?>
<Relationships xmlns="http://schemas.openxmlformats.org/package/2006/relationships"><Relationship Id="rId1" Type="http://schemas.openxmlformats.org/officeDocument/2006/relationships/image" Target="../media/image1.jpeg"/></Relationships>
</file>

<file path=xl/theme/theme1.xml><?xml version="1.0" encoding="utf-8"?>
<a:theme xmlns:a="http://schemas.openxmlformats.org/drawingml/2006/main" name="Adjacency">
  <a:themeElements>
    <a:clrScheme name="Concourse">
      <a:dk1>
        <a:sysClr val="windowText" lastClr="000000"/>
      </a:dk1>
      <a:lt1>
        <a:sysClr val="window" lastClr="FFFFFF"/>
      </a:lt1>
      <a:dk2>
        <a:srgbClr val="464646"/>
      </a:dk2>
      <a:lt2>
        <a:srgbClr val="DEF5FA"/>
      </a:lt2>
      <a:accent1>
        <a:srgbClr val="2DA2BF"/>
      </a:accent1>
      <a:accent2>
        <a:srgbClr val="DA1F28"/>
      </a:accent2>
      <a:accent3>
        <a:srgbClr val="EB641B"/>
      </a:accent3>
      <a:accent4>
        <a:srgbClr val="39639D"/>
      </a:accent4>
      <a:accent5>
        <a:srgbClr val="474B78"/>
      </a:accent5>
      <a:accent6>
        <a:srgbClr val="7D3C4A"/>
      </a:accent6>
      <a:hlink>
        <a:srgbClr val="FF8119"/>
      </a:hlink>
      <a:folHlink>
        <a:srgbClr val="44B9E8"/>
      </a:folHlink>
    </a:clrScheme>
    <a:fontScheme name="Office">
      <a:majorFont>
        <a:latin typeface="Cambria"/>
        <a:ea typeface=""/>
        <a:cs typeface=""/>
        <a:font script="Jpan" typeface="ＭＳ ゴシック"/>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明朝"/>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Adjacency">
      <a:fillStyleLst>
        <a:solidFill>
          <a:schemeClr val="phClr"/>
        </a:solidFill>
        <a:solidFill>
          <a:schemeClr val="phClr">
            <a:tint val="55000"/>
          </a:schemeClr>
        </a:solidFill>
        <a:solidFill>
          <a:schemeClr val="phClr"/>
        </a:solidFill>
      </a:fillStyleLst>
      <a:lnStyleLst>
        <a:ln w="12700"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outerShdw blurRad="50800" dist="25400" algn="bl" rotWithShape="0">
              <a:srgbClr val="000000">
                <a:alpha val="60000"/>
              </a:srgbClr>
            </a:outerShdw>
          </a:effectLst>
        </a:effectStyle>
        <a:effectStyle>
          <a:effectLst/>
          <a:scene3d>
            <a:camera prst="orthographicFront">
              <a:rot lat="0" lon="0" rev="0"/>
            </a:camera>
            <a:lightRig rig="brightRoom" dir="tl">
              <a:rot lat="0" lon="0" rev="1800000"/>
            </a:lightRig>
          </a:scene3d>
          <a:sp3d contourW="10160" prstMaterial="dkEdge">
            <a:bevelT w="38100" h="50800" prst="angle"/>
            <a:contourClr>
              <a:schemeClr val="phClr">
                <a:shade val="40000"/>
                <a:satMod val="150000"/>
              </a:schemeClr>
            </a:contourClr>
          </a:sp3d>
        </a:effectStyle>
      </a:effectStyleLst>
      <a:bgFillStyleLst>
        <a:solidFill>
          <a:schemeClr val="phClr"/>
        </a:solidFill>
        <a:gradFill rotWithShape="1">
          <a:gsLst>
            <a:gs pos="0">
              <a:schemeClr val="phClr">
                <a:tint val="90000"/>
              </a:schemeClr>
            </a:gs>
            <a:gs pos="75000">
              <a:schemeClr val="phClr">
                <a:shade val="100000"/>
                <a:satMod val="115000"/>
              </a:schemeClr>
            </a:gs>
            <a:gs pos="100000">
              <a:schemeClr val="phClr">
                <a:shade val="70000"/>
                <a:satMod val="130000"/>
              </a:schemeClr>
            </a:gs>
          </a:gsLst>
          <a:path path="circle">
            <a:fillToRect l="20000" t="50000" r="100000" b="50000"/>
          </a:path>
        </a:gradFill>
        <a:blipFill rotWithShape="1">
          <a:blip xmlns:r="http://schemas.openxmlformats.org/officeDocument/2006/relationships" r:embed="rId1">
            <a:duotone>
              <a:schemeClr val="phClr">
                <a:tint val="97000"/>
              </a:schemeClr>
              <a:schemeClr val="phClr">
                <a:shade val="96000"/>
              </a:schemeClr>
            </a:duotone>
          </a:blip>
          <a:tile tx="0" ty="0" sx="32000" sy="32000" flip="none" algn="tl"/>
        </a:blip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printerSettings" Target="../printerSettings/printerSettings2.bin"/><Relationship Id="rId1" Type="http://schemas.openxmlformats.org/officeDocument/2006/relationships/hyperlink" Target="http://www.screener.in/" TargetMode="External"/></Relationships>
</file>

<file path=xl/worksheets/_rels/sheet3.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printerSettings" Target="../printerSettings/printerSettings3.bin"/><Relationship Id="rId1" Type="http://schemas.openxmlformats.org/officeDocument/2006/relationships/hyperlink" Target="http://www.screener.in/" TargetMode="External"/></Relationships>
</file>

<file path=xl/worksheets/_rels/sheet4.xml.rels><?xml version="1.0" encoding="UTF-8" standalone="yes"?>
<Relationships xmlns="http://schemas.openxmlformats.org/package/2006/relationships"><Relationship Id="rId2" Type="http://schemas.openxmlformats.org/officeDocument/2006/relationships/printerSettings" Target="../printerSettings/printerSettings4.bin"/><Relationship Id="rId1" Type="http://schemas.openxmlformats.org/officeDocument/2006/relationships/hyperlink" Target="http://www.screener.in/" TargetMode="External"/></Relationships>
</file>

<file path=xl/worksheets/_rels/sheet5.xml.rels><?xml version="1.0" encoding="UTF-8" standalone="yes"?>
<Relationships xmlns="http://schemas.openxmlformats.org/package/2006/relationships"><Relationship Id="rId2" Type="http://schemas.openxmlformats.org/officeDocument/2006/relationships/printerSettings" Target="../printerSettings/printerSettings5.bin"/><Relationship Id="rId1" Type="http://schemas.openxmlformats.org/officeDocument/2006/relationships/hyperlink" Target="http://www.screener.in/" TargetMode="External"/></Relationships>
</file>

<file path=xl/worksheets/_rels/sheet6.xml.rels><?xml version="1.0" encoding="UTF-8" standalone="yes"?>
<Relationships xmlns="http://schemas.openxmlformats.org/package/2006/relationships"><Relationship Id="rId2" Type="http://schemas.openxmlformats.org/officeDocument/2006/relationships/printerSettings" Target="../printerSettings/printerSettings6.bin"/><Relationship Id="rId1" Type="http://schemas.openxmlformats.org/officeDocument/2006/relationships/hyperlink" Target="https://www.screener.in/excel/" TargetMode="External"/></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2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1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228D25-F862-4037-B64E-92EAEBFDD4FF}">
  <sheetPr>
    <tabColor theme="6"/>
  </sheetPr>
  <dimension ref="B4:K77"/>
  <sheetViews>
    <sheetView showGridLines="0" tabSelected="1" topLeftCell="A10" zoomScale="104" zoomScaleNormal="103" zoomScaleSheetLayoutView="84" workbookViewId="0">
      <selection activeCell="A39" sqref="A39:XFD39"/>
    </sheetView>
  </sheetViews>
  <sheetFormatPr defaultRowHeight="14.4" x14ac:dyDescent="0.3"/>
  <cols>
    <col min="1" max="1" width="1.88671875" customWidth="1"/>
    <col min="2" max="2" width="48.33203125" bestFit="1" customWidth="1"/>
    <col min="3" max="3" width="15.6640625" bestFit="1" customWidth="1"/>
    <col min="4" max="11" width="10.5546875" bestFit="1" customWidth="1"/>
  </cols>
  <sheetData>
    <row r="4" spans="2:11" ht="28.8" x14ac:dyDescent="0.55000000000000004">
      <c r="B4" s="179" t="str">
        <f>'Data Sheet'!B1</f>
        <v>AVENUE SUPERMARTS LTD</v>
      </c>
      <c r="C4" s="180"/>
    </row>
    <row r="7" spans="2:11" ht="18" x14ac:dyDescent="0.35">
      <c r="B7" s="181" t="str">
        <f>CONCATENATE(" ","INR "&amp;'Data Sheet'!B8)</f>
        <v xml:space="preserve"> INR 4358.2</v>
      </c>
    </row>
    <row r="8" spans="2:11" x14ac:dyDescent="0.3">
      <c r="B8" t="s">
        <v>437</v>
      </c>
    </row>
    <row r="9" spans="2:11" ht="1.2" customHeight="1" thickBot="1" x14ac:dyDescent="0.35">
      <c r="B9" s="182"/>
      <c r="C9" s="182"/>
      <c r="D9" s="182"/>
      <c r="E9" s="182"/>
      <c r="F9" s="182"/>
      <c r="G9" s="182"/>
      <c r="H9" s="182"/>
      <c r="I9" s="182"/>
      <c r="J9" s="182"/>
      <c r="K9" s="182"/>
    </row>
    <row r="10" spans="2:11" ht="26.4" customHeight="1" x14ac:dyDescent="0.4">
      <c r="B10" s="264" t="s">
        <v>455</v>
      </c>
      <c r="C10" s="265"/>
      <c r="D10" s="265"/>
      <c r="E10" s="265"/>
      <c r="F10" s="265"/>
      <c r="G10" s="265"/>
      <c r="H10" s="265"/>
      <c r="I10" s="265"/>
      <c r="J10" s="265"/>
      <c r="K10" s="265"/>
    </row>
    <row r="11" spans="2:11" ht="14.4" customHeight="1" x14ac:dyDescent="0.3">
      <c r="B11" s="266" t="s">
        <v>454</v>
      </c>
      <c r="C11" s="266"/>
      <c r="D11" s="266"/>
      <c r="E11" s="266"/>
      <c r="F11" s="266"/>
      <c r="G11" s="266"/>
      <c r="H11" s="266"/>
      <c r="I11" s="266"/>
    </row>
    <row r="12" spans="2:11" x14ac:dyDescent="0.3">
      <c r="B12" s="266"/>
      <c r="C12" s="266"/>
      <c r="D12" s="266"/>
      <c r="E12" s="266"/>
      <c r="F12" s="266"/>
      <c r="G12" s="266"/>
      <c r="H12" s="266"/>
      <c r="I12" s="266"/>
    </row>
    <row r="13" spans="2:11" x14ac:dyDescent="0.3">
      <c r="B13" s="266"/>
      <c r="C13" s="266"/>
      <c r="D13" s="266"/>
      <c r="E13" s="266"/>
      <c r="F13" s="266"/>
      <c r="G13" s="266"/>
      <c r="H13" s="266"/>
      <c r="I13" s="266"/>
    </row>
    <row r="14" spans="2:11" x14ac:dyDescent="0.3">
      <c r="B14" s="266"/>
      <c r="C14" s="266"/>
      <c r="D14" s="266"/>
      <c r="E14" s="266"/>
      <c r="F14" s="266"/>
      <c r="G14" s="266"/>
      <c r="H14" s="266"/>
      <c r="I14" s="266"/>
    </row>
    <row r="15" spans="2:11" x14ac:dyDescent="0.3">
      <c r="B15" s="266"/>
      <c r="C15" s="266"/>
      <c r="D15" s="266"/>
      <c r="E15" s="266"/>
      <c r="F15" s="266"/>
      <c r="G15" s="266"/>
      <c r="H15" s="266"/>
      <c r="I15" s="266"/>
    </row>
    <row r="16" spans="2:11" x14ac:dyDescent="0.3">
      <c r="B16" s="266"/>
      <c r="C16" s="266"/>
      <c r="D16" s="266"/>
      <c r="E16" s="266"/>
      <c r="F16" s="266"/>
      <c r="G16" s="266"/>
      <c r="H16" s="266"/>
      <c r="I16" s="266"/>
    </row>
    <row r="17" spans="2:9" ht="18" x14ac:dyDescent="0.35">
      <c r="B17" s="186" t="s">
        <v>439</v>
      </c>
      <c r="I17" s="2"/>
    </row>
    <row r="42" spans="2:11" x14ac:dyDescent="0.3">
      <c r="B42" s="263" t="str">
        <f>B46</f>
        <v>Working Capital/Total Asset</v>
      </c>
      <c r="C42" s="263"/>
      <c r="D42" s="263"/>
      <c r="E42" s="263"/>
      <c r="F42" s="263"/>
      <c r="G42" s="263"/>
      <c r="H42" s="263"/>
      <c r="I42" s="263"/>
      <c r="J42" s="263"/>
      <c r="K42" s="263"/>
    </row>
    <row r="43" spans="2:11" x14ac:dyDescent="0.3">
      <c r="C43" s="75">
        <f>'Raw FS'!F2</f>
        <v>42795</v>
      </c>
      <c r="D43" s="75">
        <f>'Raw FS'!G2</f>
        <v>43160</v>
      </c>
      <c r="E43" s="75">
        <f>'Raw FS'!H2</f>
        <v>43525</v>
      </c>
      <c r="F43" s="75">
        <f>'Raw FS'!I2</f>
        <v>43891</v>
      </c>
      <c r="G43" s="75">
        <f>'Raw FS'!J2</f>
        <v>44256</v>
      </c>
      <c r="H43" s="75">
        <f>'Raw FS'!K2</f>
        <v>44621</v>
      </c>
      <c r="I43" s="75">
        <f>'Raw FS'!L2</f>
        <v>44986</v>
      </c>
      <c r="J43" s="75">
        <f>'Raw FS'!M2</f>
        <v>45352</v>
      </c>
      <c r="K43" s="75">
        <f>'Raw FS'!N2</f>
        <v>45717</v>
      </c>
    </row>
    <row r="44" spans="2:11" x14ac:dyDescent="0.3">
      <c r="B44" t="s">
        <v>30</v>
      </c>
      <c r="C44" s="161">
        <f>'Data Sheet'!C65-'Data Sheet'!C60</f>
        <v>2582.77</v>
      </c>
      <c r="D44" s="161">
        <f>'Data Sheet'!D65-'Data Sheet'!D60</f>
        <v>1493.08</v>
      </c>
      <c r="E44" s="161">
        <f>'Data Sheet'!E65-'Data Sheet'!E60</f>
        <v>1493.8600000000001</v>
      </c>
      <c r="F44" s="161">
        <f>'Data Sheet'!F65-'Data Sheet'!F60</f>
        <v>5085.82</v>
      </c>
      <c r="G44" s="161">
        <f>'Data Sheet'!G65-'Data Sheet'!G60</f>
        <v>4545.08</v>
      </c>
      <c r="H44" s="161">
        <f>'Data Sheet'!H65-'Data Sheet'!H60</f>
        <v>3929.28</v>
      </c>
      <c r="I44" s="161">
        <f>'Data Sheet'!I65-'Data Sheet'!I60</f>
        <v>4349.84</v>
      </c>
      <c r="J44" s="161">
        <f>'Data Sheet'!J65-'Data Sheet'!J60</f>
        <v>4833.09</v>
      </c>
      <c r="K44" s="161">
        <f>'Data Sheet'!K65-'Data Sheet'!K60</f>
        <v>4938.3</v>
      </c>
    </row>
    <row r="45" spans="2:11" x14ac:dyDescent="0.3">
      <c r="B45" t="s">
        <v>113</v>
      </c>
      <c r="C45" s="161">
        <f>'Data Sheet'!C61</f>
        <v>5819.28</v>
      </c>
      <c r="D45" s="161">
        <f>'Data Sheet'!D61</f>
        <v>5648.22</v>
      </c>
      <c r="E45" s="161">
        <f>'Data Sheet'!E61</f>
        <v>7005.5</v>
      </c>
      <c r="F45" s="161">
        <f>'Data Sheet'!F61</f>
        <v>12076.16</v>
      </c>
      <c r="G45" s="161">
        <f>'Data Sheet'!G61</f>
        <v>13655.05</v>
      </c>
      <c r="H45" s="161">
        <f>'Data Sheet'!H61</f>
        <v>15470.98</v>
      </c>
      <c r="I45" s="161">
        <f>'Data Sheet'!I61</f>
        <v>18104.52</v>
      </c>
      <c r="J45" s="161">
        <f>'Data Sheet'!J61</f>
        <v>21172.48</v>
      </c>
      <c r="K45" s="161">
        <f>'Data Sheet'!K61</f>
        <v>24312.78</v>
      </c>
    </row>
    <row r="46" spans="2:11" x14ac:dyDescent="0.3">
      <c r="B46" s="184" t="s">
        <v>456</v>
      </c>
      <c r="C46" s="183">
        <f>C44/C45</f>
        <v>0.44382982087131057</v>
      </c>
      <c r="D46" s="183">
        <f t="shared" ref="D46:K46" si="0">D44/D45</f>
        <v>0.26434522734596028</v>
      </c>
      <c r="E46" s="183">
        <f t="shared" si="0"/>
        <v>0.2132410249090001</v>
      </c>
      <c r="F46" s="183">
        <f t="shared" si="0"/>
        <v>0.42114546345858284</v>
      </c>
      <c r="G46" s="183">
        <f t="shared" si="0"/>
        <v>0.33284975155711627</v>
      </c>
      <c r="H46" s="183">
        <f t="shared" si="0"/>
        <v>0.25397744680686035</v>
      </c>
      <c r="I46" s="183">
        <f t="shared" si="0"/>
        <v>0.24026265264143981</v>
      </c>
      <c r="J46" s="183">
        <f t="shared" si="0"/>
        <v>0.22827226664046915</v>
      </c>
      <c r="K46" s="183">
        <f t="shared" si="0"/>
        <v>0.20311539856816047</v>
      </c>
    </row>
    <row r="48" spans="2:11" x14ac:dyDescent="0.3">
      <c r="B48" s="263" t="str">
        <f>B52</f>
        <v>Reatain Earning / Total Asset</v>
      </c>
      <c r="C48" s="263"/>
      <c r="D48" s="263"/>
      <c r="E48" s="263"/>
      <c r="F48" s="263"/>
      <c r="G48" s="263"/>
      <c r="H48" s="263"/>
      <c r="I48" s="263"/>
      <c r="J48" s="263"/>
      <c r="K48" s="263"/>
    </row>
    <row r="49" spans="2:11" x14ac:dyDescent="0.3">
      <c r="C49" s="75">
        <f t="shared" ref="C49:J49" si="1">C43</f>
        <v>42795</v>
      </c>
      <c r="D49" s="75">
        <f t="shared" si="1"/>
        <v>43160</v>
      </c>
      <c r="E49" s="75">
        <f t="shared" si="1"/>
        <v>43525</v>
      </c>
      <c r="F49" s="75">
        <f t="shared" si="1"/>
        <v>43891</v>
      </c>
      <c r="G49" s="75">
        <f t="shared" si="1"/>
        <v>44256</v>
      </c>
      <c r="H49" s="75">
        <f t="shared" si="1"/>
        <v>44621</v>
      </c>
      <c r="I49" s="75">
        <f t="shared" si="1"/>
        <v>44986</v>
      </c>
      <c r="J49" s="75">
        <f t="shared" si="1"/>
        <v>45352</v>
      </c>
      <c r="K49" s="75">
        <f>K43</f>
        <v>45717</v>
      </c>
    </row>
    <row r="50" spans="2:11" x14ac:dyDescent="0.3">
      <c r="B50" t="s">
        <v>457</v>
      </c>
      <c r="C50" s="161">
        <f>HistoricaIFS!D35*HistoricaIFS!D37*HistoricaIFS!D43</f>
        <v>478.75</v>
      </c>
      <c r="D50" s="161">
        <f>HistoricaIFS!E35*HistoricaIFS!E37*HistoricaIFS!E43</f>
        <v>806.26</v>
      </c>
      <c r="E50" s="161">
        <f>HistoricaIFS!F35*HistoricaIFS!F37*HistoricaIFS!F43</f>
        <v>902.54</v>
      </c>
      <c r="F50" s="161">
        <f>HistoricaIFS!G35*HistoricaIFS!G37*HistoricaIFS!G43</f>
        <v>1301.08</v>
      </c>
      <c r="G50" s="161">
        <f>HistoricaIFS!H35*HistoricaIFS!H37*HistoricaIFS!H43</f>
        <v>1099.49</v>
      </c>
      <c r="H50" s="161">
        <f>HistoricaIFS!I35*HistoricaIFS!I37*HistoricaIFS!I43</f>
        <v>1492.55</v>
      </c>
      <c r="I50" s="161">
        <f>HistoricaIFS!J35*HistoricaIFS!J37*HistoricaIFS!J43</f>
        <v>2378.5100000000002</v>
      </c>
      <c r="J50" s="161">
        <f>HistoricaIFS!K35*HistoricaIFS!K37*HistoricaIFS!K43</f>
        <v>2536.17</v>
      </c>
      <c r="K50" s="161">
        <f>HistoricaIFS!L35*HistoricaIFS!L37*HistoricaIFS!L43</f>
        <v>2708.02</v>
      </c>
    </row>
    <row r="51" spans="2:11" x14ac:dyDescent="0.3">
      <c r="B51" t="s">
        <v>113</v>
      </c>
      <c r="C51" s="161">
        <f>C45</f>
        <v>5819.28</v>
      </c>
      <c r="D51" s="161">
        <f t="shared" ref="D51:K51" si="2">D45</f>
        <v>5648.22</v>
      </c>
      <c r="E51" s="161">
        <f t="shared" si="2"/>
        <v>7005.5</v>
      </c>
      <c r="F51" s="161">
        <f t="shared" si="2"/>
        <v>12076.16</v>
      </c>
      <c r="G51" s="161">
        <f t="shared" si="2"/>
        <v>13655.05</v>
      </c>
      <c r="H51" s="161">
        <f t="shared" si="2"/>
        <v>15470.98</v>
      </c>
      <c r="I51" s="161">
        <f t="shared" si="2"/>
        <v>18104.52</v>
      </c>
      <c r="J51" s="161">
        <f t="shared" si="2"/>
        <v>21172.48</v>
      </c>
      <c r="K51" s="161">
        <f t="shared" si="2"/>
        <v>24312.78</v>
      </c>
    </row>
    <row r="52" spans="2:11" x14ac:dyDescent="0.3">
      <c r="B52" s="184" t="s">
        <v>458</v>
      </c>
      <c r="C52" s="183">
        <f t="shared" ref="C52:J52" si="3">C50/C51</f>
        <v>8.2269627857741862E-2</v>
      </c>
      <c r="D52" s="183">
        <f t="shared" si="3"/>
        <v>0.14274585621664879</v>
      </c>
      <c r="E52" s="183">
        <f t="shared" si="3"/>
        <v>0.12883305973877668</v>
      </c>
      <c r="F52" s="183">
        <f t="shared" si="3"/>
        <v>0.10773954634585828</v>
      </c>
      <c r="G52" s="183">
        <f t="shared" si="3"/>
        <v>8.0518928894438332E-2</v>
      </c>
      <c r="H52" s="183">
        <f t="shared" si="3"/>
        <v>9.647417293539258E-2</v>
      </c>
      <c r="I52" s="183">
        <f t="shared" si="3"/>
        <v>0.13137658441096478</v>
      </c>
      <c r="J52" s="183">
        <f t="shared" si="3"/>
        <v>0.11978615636902243</v>
      </c>
      <c r="K52" s="183">
        <f>K50/K51</f>
        <v>0.11138257328038999</v>
      </c>
    </row>
    <row r="54" spans="2:11" x14ac:dyDescent="0.3">
      <c r="B54" s="263" t="s">
        <v>459</v>
      </c>
      <c r="C54" s="263"/>
      <c r="D54" s="263"/>
      <c r="E54" s="263"/>
      <c r="F54" s="263"/>
      <c r="G54" s="263"/>
      <c r="H54" s="263"/>
      <c r="I54" s="263"/>
      <c r="J54" s="263"/>
      <c r="K54" s="263"/>
    </row>
    <row r="56" spans="2:11" x14ac:dyDescent="0.3">
      <c r="B56" t="s">
        <v>332</v>
      </c>
      <c r="C56" s="161">
        <f>'Data Sheet'!C28+'Data Sheet'!C27</f>
        <v>869.06000000000006</v>
      </c>
      <c r="D56" s="161">
        <f>'Data Sheet'!D28+'Data Sheet'!D27</f>
        <v>1281.6099999999999</v>
      </c>
      <c r="E56" s="161">
        <f>'Data Sheet'!E28+'Data Sheet'!E27</f>
        <v>1469.15</v>
      </c>
      <c r="F56" s="161">
        <f>'Data Sheet'!F28+'Data Sheet'!F27</f>
        <v>1813.8899999999999</v>
      </c>
      <c r="G56" s="161">
        <f>'Data Sheet'!G28+'Data Sheet'!G27</f>
        <v>1525.1000000000001</v>
      </c>
      <c r="H56" s="161">
        <f>'Data Sheet'!H28+'Data Sheet'!H27</f>
        <v>2117.91</v>
      </c>
      <c r="I56" s="161">
        <f>'Data Sheet'!I28+'Data Sheet'!I27</f>
        <v>3127.5</v>
      </c>
      <c r="J56" s="161">
        <f>'Data Sheet'!J28+'Data Sheet'!J27</f>
        <v>3519.46</v>
      </c>
      <c r="K56" s="161">
        <f>'Data Sheet'!K28+'Data Sheet'!K27</f>
        <v>3742.12</v>
      </c>
    </row>
    <row r="57" spans="2:11" x14ac:dyDescent="0.3">
      <c r="B57" t="s">
        <v>113</v>
      </c>
      <c r="C57" s="161">
        <f>C45</f>
        <v>5819.28</v>
      </c>
      <c r="D57" s="161">
        <f t="shared" ref="D57:K57" si="4">D45</f>
        <v>5648.22</v>
      </c>
      <c r="E57" s="161">
        <f t="shared" si="4"/>
        <v>7005.5</v>
      </c>
      <c r="F57" s="161">
        <f t="shared" si="4"/>
        <v>12076.16</v>
      </c>
      <c r="G57" s="161">
        <f t="shared" si="4"/>
        <v>13655.05</v>
      </c>
      <c r="H57" s="161">
        <f t="shared" si="4"/>
        <v>15470.98</v>
      </c>
      <c r="I57" s="161">
        <f t="shared" si="4"/>
        <v>18104.52</v>
      </c>
      <c r="J57" s="161">
        <f t="shared" si="4"/>
        <v>21172.48</v>
      </c>
      <c r="K57" s="161">
        <f t="shared" si="4"/>
        <v>24312.78</v>
      </c>
    </row>
    <row r="58" spans="2:11" x14ac:dyDescent="0.3">
      <c r="B58" s="184" t="s">
        <v>460</v>
      </c>
      <c r="C58" s="183">
        <f t="shared" ref="C58:J58" si="5">C56/C57</f>
        <v>0.14934149929200866</v>
      </c>
      <c r="D58" s="183">
        <f t="shared" si="5"/>
        <v>0.22690511346937617</v>
      </c>
      <c r="E58" s="183">
        <f t="shared" si="5"/>
        <v>0.20971379630290488</v>
      </c>
      <c r="F58" s="183">
        <f t="shared" si="5"/>
        <v>0.15020420398537282</v>
      </c>
      <c r="G58" s="183">
        <f t="shared" si="5"/>
        <v>0.11168761740162066</v>
      </c>
      <c r="H58" s="183">
        <f t="shared" si="5"/>
        <v>0.13689565883997004</v>
      </c>
      <c r="I58" s="183">
        <f t="shared" si="5"/>
        <v>0.17274691623970145</v>
      </c>
      <c r="J58" s="183">
        <f t="shared" si="5"/>
        <v>0.16622804697418536</v>
      </c>
      <c r="K58" s="183">
        <f>K56/K57</f>
        <v>0.15391575953058434</v>
      </c>
    </row>
    <row r="60" spans="2:11" x14ac:dyDescent="0.3">
      <c r="B60" s="263" t="s">
        <v>461</v>
      </c>
      <c r="C60" s="263"/>
      <c r="D60" s="263"/>
      <c r="E60" s="263"/>
      <c r="F60" s="263"/>
      <c r="G60" s="263"/>
      <c r="H60" s="263"/>
      <c r="I60" s="263"/>
      <c r="J60" s="263"/>
      <c r="K60" s="263"/>
    </row>
    <row r="62" spans="2:11" x14ac:dyDescent="0.3">
      <c r="B62" t="s">
        <v>462</v>
      </c>
      <c r="C62" s="161">
        <f>('Data Sheet'!C90*'Data Sheet'!C70)/10000000</f>
        <v>39807.228939510002</v>
      </c>
      <c r="D62" s="161">
        <f>('Data Sheet'!D90*'Data Sheet'!D70)/10000000</f>
        <v>82678.712705279991</v>
      </c>
      <c r="E62" s="161">
        <f>('Data Sheet'!E90*'Data Sheet'!E70)/10000000</f>
        <v>91809.068735459994</v>
      </c>
      <c r="F62" s="161">
        <f>('Data Sheet'!F90*'Data Sheet'!F70)/10000000</f>
        <v>141700.71365625001</v>
      </c>
      <c r="G62" s="161">
        <f>('Data Sheet'!G90*'Data Sheet'!G70)/10000000</f>
        <v>185202.02303035499</v>
      </c>
      <c r="H62" s="161">
        <f>('Data Sheet'!H90*'Data Sheet'!H70)/10000000</f>
        <v>259326.88092148502</v>
      </c>
      <c r="I62" s="161">
        <f>('Data Sheet'!I90*'Data Sheet'!I70)/10000000</f>
        <v>220477.82023769</v>
      </c>
      <c r="J62" s="161">
        <f>('Data Sheet'!J90*'Data Sheet'!J70)/10000000</f>
        <v>294495.75725408003</v>
      </c>
      <c r="K62" s="161">
        <f>('Data Sheet'!K90*'Data Sheet'!K70)/10000000</f>
        <v>265707.32632575999</v>
      </c>
    </row>
    <row r="63" spans="2:11" x14ac:dyDescent="0.3">
      <c r="B63" t="s">
        <v>463</v>
      </c>
      <c r="C63" s="161">
        <f>'Data Sheet'!C59</f>
        <v>1497.32</v>
      </c>
      <c r="D63" s="161">
        <f>'Data Sheet'!D59</f>
        <v>439.25</v>
      </c>
      <c r="E63" s="161">
        <f>'Data Sheet'!E59</f>
        <v>700.15</v>
      </c>
      <c r="F63" s="161">
        <f>'Data Sheet'!F59</f>
        <v>333.19</v>
      </c>
      <c r="G63" s="161">
        <f>'Data Sheet'!G59</f>
        <v>392.71</v>
      </c>
      <c r="H63" s="161">
        <f>'Data Sheet'!H59</f>
        <v>646.94000000000005</v>
      </c>
      <c r="I63" s="161">
        <f>'Data Sheet'!I59</f>
        <v>642.98</v>
      </c>
      <c r="J63" s="161">
        <f>'Data Sheet'!J59</f>
        <v>592.16</v>
      </c>
      <c r="K63" s="161">
        <f>'Data Sheet'!K59</f>
        <v>819.62</v>
      </c>
    </row>
    <row r="64" spans="2:11" x14ac:dyDescent="0.3">
      <c r="B64" s="184" t="str">
        <f>B60</f>
        <v>Market Cap /Long Term Liablities</v>
      </c>
      <c r="C64" s="183">
        <f t="shared" ref="C64:K64" si="6">C62/C63</f>
        <v>26.585652325160957</v>
      </c>
      <c r="D64" s="183">
        <f t="shared" si="6"/>
        <v>188.22700672801363</v>
      </c>
      <c r="E64" s="183">
        <f t="shared" si="6"/>
        <v>131.12771368343925</v>
      </c>
      <c r="F64" s="183">
        <f t="shared" si="6"/>
        <v>425.28501352456561</v>
      </c>
      <c r="G64" s="183">
        <f t="shared" si="6"/>
        <v>471.59996697398844</v>
      </c>
      <c r="H64" s="183">
        <f t="shared" si="6"/>
        <v>400.85151779374439</v>
      </c>
      <c r="I64" s="183">
        <f t="shared" si="6"/>
        <v>342.8999661539861</v>
      </c>
      <c r="J64" s="183">
        <f t="shared" si="6"/>
        <v>497.32463735152669</v>
      </c>
      <c r="K64" s="183">
        <f t="shared" si="6"/>
        <v>324.18355619160099</v>
      </c>
    </row>
    <row r="68" spans="2:11" x14ac:dyDescent="0.3">
      <c r="B68" s="263" t="s">
        <v>464</v>
      </c>
      <c r="C68" s="263"/>
      <c r="D68" s="263"/>
      <c r="E68" s="263"/>
      <c r="F68" s="263"/>
      <c r="G68" s="263"/>
      <c r="H68" s="263"/>
      <c r="I68" s="263"/>
      <c r="J68" s="263"/>
      <c r="K68" s="263"/>
    </row>
    <row r="69" spans="2:11" x14ac:dyDescent="0.3">
      <c r="C69" s="75">
        <f t="shared" ref="C69:K69" si="7">C43</f>
        <v>42795</v>
      </c>
      <c r="D69" s="75">
        <f t="shared" si="7"/>
        <v>43160</v>
      </c>
      <c r="E69" s="75">
        <f t="shared" si="7"/>
        <v>43525</v>
      </c>
      <c r="F69" s="75">
        <f t="shared" si="7"/>
        <v>43891</v>
      </c>
      <c r="G69" s="75">
        <f t="shared" si="7"/>
        <v>44256</v>
      </c>
      <c r="H69" s="75">
        <f t="shared" si="7"/>
        <v>44621</v>
      </c>
      <c r="I69" s="75">
        <f t="shared" si="7"/>
        <v>44986</v>
      </c>
      <c r="J69" s="75">
        <f t="shared" si="7"/>
        <v>45352</v>
      </c>
      <c r="K69" s="75">
        <f t="shared" si="7"/>
        <v>45717</v>
      </c>
    </row>
    <row r="70" spans="2:11" x14ac:dyDescent="0.3">
      <c r="B70" t="s">
        <v>6</v>
      </c>
      <c r="C70" s="161">
        <f>'Data Sheet'!C17</f>
        <v>11897.7</v>
      </c>
      <c r="D70" s="161">
        <f>'Data Sheet'!D17</f>
        <v>15033.2</v>
      </c>
      <c r="E70" s="161">
        <f>'Data Sheet'!E17</f>
        <v>20004.52</v>
      </c>
      <c r="F70" s="161">
        <f>'Data Sheet'!F17</f>
        <v>24870.2</v>
      </c>
      <c r="G70" s="161">
        <f>'Data Sheet'!G17</f>
        <v>24143.06</v>
      </c>
      <c r="H70" s="161">
        <f>'Data Sheet'!H17</f>
        <v>30976.27</v>
      </c>
      <c r="I70" s="161">
        <f>'Data Sheet'!I17</f>
        <v>42839.56</v>
      </c>
      <c r="J70" s="161">
        <f>'Data Sheet'!J17</f>
        <v>50788.83</v>
      </c>
      <c r="K70" s="161">
        <f>'Data Sheet'!K17</f>
        <v>59358.05</v>
      </c>
    </row>
    <row r="71" spans="2:11" x14ac:dyDescent="0.3">
      <c r="B71" t="str">
        <f>B57</f>
        <v>Total Asset</v>
      </c>
      <c r="C71" s="161">
        <f>C45</f>
        <v>5819.28</v>
      </c>
      <c r="D71" s="161">
        <f t="shared" ref="D71:K71" si="8">D45</f>
        <v>5648.22</v>
      </c>
      <c r="E71" s="161">
        <f t="shared" si="8"/>
        <v>7005.5</v>
      </c>
      <c r="F71" s="161">
        <f t="shared" si="8"/>
        <v>12076.16</v>
      </c>
      <c r="G71" s="161">
        <f t="shared" si="8"/>
        <v>13655.05</v>
      </c>
      <c r="H71" s="161">
        <f t="shared" si="8"/>
        <v>15470.98</v>
      </c>
      <c r="I71" s="161">
        <f t="shared" si="8"/>
        <v>18104.52</v>
      </c>
      <c r="J71" s="161">
        <f t="shared" si="8"/>
        <v>21172.48</v>
      </c>
      <c r="K71" s="161">
        <f t="shared" si="8"/>
        <v>24312.78</v>
      </c>
    </row>
    <row r="72" spans="2:11" x14ac:dyDescent="0.3">
      <c r="B72" s="184" t="str">
        <f>B68</f>
        <v>Total Sales/ Total Asset</v>
      </c>
      <c r="C72" s="183">
        <f>C70/C71</f>
        <v>2.0445312822204813</v>
      </c>
      <c r="D72" s="183">
        <f t="shared" ref="D72:K72" si="9">D70/D71</f>
        <v>2.6615818788928194</v>
      </c>
      <c r="E72" s="183">
        <f t="shared" si="9"/>
        <v>2.8555449289843695</v>
      </c>
      <c r="F72" s="183">
        <f t="shared" si="9"/>
        <v>2.0594460490752029</v>
      </c>
      <c r="G72" s="183">
        <f t="shared" si="9"/>
        <v>1.768068223843926</v>
      </c>
      <c r="H72" s="183">
        <f t="shared" si="9"/>
        <v>2.0022177004947328</v>
      </c>
      <c r="I72" s="183">
        <f t="shared" si="9"/>
        <v>2.3662356140897409</v>
      </c>
      <c r="J72" s="183">
        <f t="shared" si="9"/>
        <v>2.3988134597364126</v>
      </c>
      <c r="K72" s="183">
        <f t="shared" si="9"/>
        <v>2.441434093509669</v>
      </c>
    </row>
    <row r="74" spans="2:11" x14ac:dyDescent="0.3">
      <c r="B74" s="263" t="s">
        <v>465</v>
      </c>
      <c r="C74" s="263"/>
      <c r="D74" s="263"/>
      <c r="E74" s="263"/>
      <c r="F74" s="263"/>
      <c r="G74" s="263"/>
      <c r="H74" s="263"/>
      <c r="I74" s="263"/>
      <c r="J74" s="263"/>
      <c r="K74" s="263"/>
    </row>
    <row r="75" spans="2:11" x14ac:dyDescent="0.3">
      <c r="C75" s="75">
        <f t="shared" ref="C75:J75" si="10">C69</f>
        <v>42795</v>
      </c>
      <c r="D75" s="75">
        <f t="shared" si="10"/>
        <v>43160</v>
      </c>
      <c r="E75" s="75">
        <f t="shared" si="10"/>
        <v>43525</v>
      </c>
      <c r="F75" s="75">
        <f t="shared" si="10"/>
        <v>43891</v>
      </c>
      <c r="G75" s="75">
        <f t="shared" si="10"/>
        <v>44256</v>
      </c>
      <c r="H75" s="75">
        <f t="shared" si="10"/>
        <v>44621</v>
      </c>
      <c r="I75" s="75">
        <f t="shared" si="10"/>
        <v>44986</v>
      </c>
      <c r="J75" s="75">
        <f t="shared" si="10"/>
        <v>45352</v>
      </c>
      <c r="K75" s="75">
        <f>K69</f>
        <v>45717</v>
      </c>
    </row>
    <row r="76" spans="2:11" x14ac:dyDescent="0.3">
      <c r="B76" s="184" t="s">
        <v>466</v>
      </c>
      <c r="C76" s="188">
        <f>(C46*1.2)+(C52*1.4)+(C58*3.3)+(C64*0.6)+(C72*1)</f>
        <v>19.136522889027095</v>
      </c>
      <c r="D76" s="188">
        <f t="shared" ref="D76:K76" si="11">(D46*1.2)+(D52*1.4)+(D58*3.3)+(D64*0.6)+(D72*1)</f>
        <v>116.8636312616684</v>
      </c>
      <c r="E76" s="188">
        <f t="shared" si="11"/>
        <v>82.660484180372606</v>
      </c>
      <c r="F76" s="188">
        <f t="shared" si="11"/>
        <v>258.38233795800073</v>
      </c>
      <c r="G76" s="188">
        <f t="shared" si="11"/>
        <v>285.60876374798306</v>
      </c>
      <c r="H76" s="188">
        <f t="shared" si="11"/>
        <v>243.40472082919104</v>
      </c>
      <c r="I76" s="188">
        <f t="shared" si="11"/>
        <v>209.14852253141746</v>
      </c>
      <c r="J76" s="188">
        <f t="shared" si="11"/>
        <v>301.78377576455239</v>
      </c>
      <c r="K76" s="188">
        <f t="shared" si="11"/>
        <v>197.85916389579549</v>
      </c>
    </row>
    <row r="77" spans="2:11" x14ac:dyDescent="0.3">
      <c r="B77" s="180" t="s">
        <v>467</v>
      </c>
      <c r="C77" s="189" t="str">
        <f>IF(C76&lt;1.8,"Distressed",IF(C76&gt;3,"Strong","GreyZone"))</f>
        <v>Strong</v>
      </c>
      <c r="D77" s="189" t="str">
        <f t="shared" ref="D77:K77" si="12">IF(D76&lt;1.8,"Distressed",IF(D76&gt;3,"Strong","GreyZone"))</f>
        <v>Strong</v>
      </c>
      <c r="E77" s="189" t="str">
        <f t="shared" si="12"/>
        <v>Strong</v>
      </c>
      <c r="F77" s="189" t="str">
        <f t="shared" si="12"/>
        <v>Strong</v>
      </c>
      <c r="G77" s="189" t="str">
        <f t="shared" si="12"/>
        <v>Strong</v>
      </c>
      <c r="H77" s="189" t="str">
        <f t="shared" si="12"/>
        <v>Strong</v>
      </c>
      <c r="I77" s="189" t="str">
        <f t="shared" si="12"/>
        <v>Strong</v>
      </c>
      <c r="J77" s="189" t="str">
        <f t="shared" si="12"/>
        <v>Strong</v>
      </c>
      <c r="K77" s="189" t="str">
        <f t="shared" si="12"/>
        <v>Strong</v>
      </c>
    </row>
  </sheetData>
  <mergeCells count="8">
    <mergeCell ref="B68:K68"/>
    <mergeCell ref="B74:K74"/>
    <mergeCell ref="B10:K10"/>
    <mergeCell ref="B54:K54"/>
    <mergeCell ref="B60:K60"/>
    <mergeCell ref="B11:I16"/>
    <mergeCell ref="B42:K42"/>
    <mergeCell ref="B48:K48"/>
  </mergeCells>
  <pageMargins left="0.7" right="0.7" top="0.75" bottom="0.75" header="0.3" footer="0.3"/>
  <pageSetup scale="84" orientation="portrait" r:id="rId1"/>
  <ignoredErrors>
    <ignoredError sqref="C50 D50:K50 C70:K70" formula="1"/>
  </ignoredError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A1:N25"/>
  <sheetViews>
    <sheetView zoomScale="120" zoomScaleNormal="120" zoomScaleSheetLayoutView="100" zoomScalePageLayoutView="120" workbookViewId="0">
      <pane xSplit="1" ySplit="4" topLeftCell="E5" activePane="bottomRight" state="frozen"/>
      <selection activeCell="K13" sqref="K13"/>
      <selection pane="topRight" activeCell="K13" sqref="K13"/>
      <selection pane="bottomLeft" activeCell="K13" sqref="K13"/>
      <selection pane="bottomRight" activeCell="B11" sqref="B11"/>
    </sheetView>
  </sheetViews>
  <sheetFormatPr defaultColWidth="8.77734375" defaultRowHeight="14.4" x14ac:dyDescent="0.3"/>
  <cols>
    <col min="1" max="1" width="20.6640625" customWidth="1"/>
    <col min="2" max="6" width="13.44140625" customWidth="1"/>
    <col min="7" max="7" width="14.77734375" bestFit="1" customWidth="1"/>
    <col min="8" max="11" width="13.44140625" customWidth="1"/>
    <col min="12" max="12" width="13.33203125" customWidth="1"/>
    <col min="13" max="14" width="12.109375" customWidth="1"/>
  </cols>
  <sheetData>
    <row r="1" spans="1:14" s="2" customFormat="1" x14ac:dyDescent="0.3">
      <c r="A1" s="2" t="str">
        <f>'Data Sheet'!B1</f>
        <v>AVENUE SUPERMARTS LTD</v>
      </c>
      <c r="H1" t="str">
        <f>UPDATE</f>
        <v/>
      </c>
      <c r="J1" s="3"/>
      <c r="K1" s="3"/>
      <c r="M1" s="2" t="s">
        <v>1</v>
      </c>
    </row>
    <row r="3" spans="1:14" s="2" customFormat="1" x14ac:dyDescent="0.3">
      <c r="A3" s="11" t="s">
        <v>2</v>
      </c>
      <c r="B3" s="12">
        <f>'Data Sheet'!B16</f>
        <v>42460</v>
      </c>
      <c r="C3" s="12">
        <f>'Data Sheet'!C16</f>
        <v>42825</v>
      </c>
      <c r="D3" s="12">
        <f>'Data Sheet'!D16</f>
        <v>43190</v>
      </c>
      <c r="E3" s="12">
        <f>'Data Sheet'!E16</f>
        <v>43555</v>
      </c>
      <c r="F3" s="12">
        <f>'Data Sheet'!F16</f>
        <v>43921</v>
      </c>
      <c r="G3" s="12">
        <f>'Data Sheet'!G16</f>
        <v>44286</v>
      </c>
      <c r="H3" s="12">
        <f>'Data Sheet'!H16</f>
        <v>44651</v>
      </c>
      <c r="I3" s="12">
        <f>'Data Sheet'!I16</f>
        <v>45016</v>
      </c>
      <c r="J3" s="12">
        <f>'Data Sheet'!J16</f>
        <v>45382</v>
      </c>
      <c r="K3" s="12">
        <f>'Data Sheet'!K16</f>
        <v>45747</v>
      </c>
      <c r="L3" s="13" t="s">
        <v>3</v>
      </c>
      <c r="M3" s="13" t="s">
        <v>4</v>
      </c>
      <c r="N3" s="13" t="s">
        <v>5</v>
      </c>
    </row>
    <row r="4" spans="1:14" s="2" customFormat="1" x14ac:dyDescent="0.3">
      <c r="A4" s="2" t="s">
        <v>6</v>
      </c>
      <c r="B4" s="1">
        <f>'Data Sheet'!B17</f>
        <v>8583.76</v>
      </c>
      <c r="C4" s="1">
        <f>'Data Sheet'!C17</f>
        <v>11897.7</v>
      </c>
      <c r="D4" s="1">
        <f>'Data Sheet'!D17</f>
        <v>15033.2</v>
      </c>
      <c r="E4" s="1">
        <f>'Data Sheet'!E17</f>
        <v>20004.52</v>
      </c>
      <c r="F4" s="1">
        <f>'Data Sheet'!F17</f>
        <v>24870.2</v>
      </c>
      <c r="G4" s="1">
        <f>'Data Sheet'!G17</f>
        <v>24143.06</v>
      </c>
      <c r="H4" s="1">
        <f>'Data Sheet'!H17</f>
        <v>30976.27</v>
      </c>
      <c r="I4" s="1">
        <f>'Data Sheet'!I17</f>
        <v>42839.56</v>
      </c>
      <c r="J4" s="1">
        <f>'Data Sheet'!J17</f>
        <v>50788.83</v>
      </c>
      <c r="K4" s="1">
        <f>'Data Sheet'!K17</f>
        <v>59358.05</v>
      </c>
      <c r="L4" s="1">
        <f>SUM(Quarters!H4:K4)</f>
        <v>61648.61</v>
      </c>
      <c r="M4" s="1">
        <f>$K4+M23*K4</f>
        <v>73727.548473391129</v>
      </c>
      <c r="N4" s="1">
        <f>$K4+N23*L4</f>
        <v>69759.559579649707</v>
      </c>
    </row>
    <row r="5" spans="1:14" x14ac:dyDescent="0.3">
      <c r="A5" t="s">
        <v>7</v>
      </c>
      <c r="B5" s="6">
        <f>SUM('Data Sheet'!B18,'Data Sheet'!B20:B24, -1*'Data Sheet'!B19)</f>
        <v>7919.2999999999993</v>
      </c>
      <c r="C5" s="6">
        <f>SUM('Data Sheet'!C18,'Data Sheet'!C20:C24, -1*'Data Sheet'!C19)</f>
        <v>10928.52</v>
      </c>
      <c r="D5" s="6">
        <f>SUM('Data Sheet'!D18,'Data Sheet'!D20:D24, -1*'Data Sheet'!D19)</f>
        <v>13680.34</v>
      </c>
      <c r="E5" s="6">
        <f>SUM('Data Sheet'!E18,'Data Sheet'!E20:E24, -1*'Data Sheet'!E19)</f>
        <v>18371.21</v>
      </c>
      <c r="F5" s="6">
        <f>SUM('Data Sheet'!F18,'Data Sheet'!F20:F24, -1*'Data Sheet'!F19)</f>
        <v>22741.89</v>
      </c>
      <c r="G5" s="6">
        <f>SUM('Data Sheet'!G18,'Data Sheet'!G20:G24, -1*'Data Sheet'!G19)</f>
        <v>22398.230000000003</v>
      </c>
      <c r="H5" s="6">
        <f>SUM('Data Sheet'!H18,'Data Sheet'!H20:H24, -1*'Data Sheet'!H19)</f>
        <v>28473.919999999998</v>
      </c>
      <c r="I5" s="6">
        <f>SUM('Data Sheet'!I18,'Data Sheet'!I20:I24, -1*'Data Sheet'!I19)</f>
        <v>39200.79</v>
      </c>
      <c r="J5" s="6">
        <f>SUM('Data Sheet'!J18,'Data Sheet'!J20:J24, -1*'Data Sheet'!J19)</f>
        <v>46683.189999999995</v>
      </c>
      <c r="K5" s="6">
        <f>SUM('Data Sheet'!K18,'Data Sheet'!K20:K24, -1*'Data Sheet'!K19)</f>
        <v>54863.540000000008</v>
      </c>
      <c r="L5" s="6">
        <f>SUM(Quarters!H5:K5)</f>
        <v>57083.490000000005</v>
      </c>
      <c r="M5" s="6">
        <f t="shared" ref="M5:N5" si="0">M4-M6</f>
        <v>67829.342282293699</v>
      </c>
      <c r="N5" s="6">
        <f t="shared" si="0"/>
        <v>64593.818444070974</v>
      </c>
    </row>
    <row r="6" spans="1:14" s="2" customFormat="1" x14ac:dyDescent="0.3">
      <c r="A6" s="2" t="s">
        <v>8</v>
      </c>
      <c r="B6" s="1">
        <f>B4-B5</f>
        <v>664.46000000000095</v>
      </c>
      <c r="C6" s="1">
        <f t="shared" ref="C6:K6" si="1">C4-C5</f>
        <v>969.18000000000029</v>
      </c>
      <c r="D6" s="1">
        <f t="shared" si="1"/>
        <v>1352.8600000000006</v>
      </c>
      <c r="E6" s="1">
        <f t="shared" si="1"/>
        <v>1633.3100000000013</v>
      </c>
      <c r="F6" s="1">
        <f t="shared" si="1"/>
        <v>2128.3100000000013</v>
      </c>
      <c r="G6" s="1">
        <f t="shared" si="1"/>
        <v>1744.8299999999981</v>
      </c>
      <c r="H6" s="1">
        <f t="shared" si="1"/>
        <v>2502.3500000000022</v>
      </c>
      <c r="I6" s="1">
        <f t="shared" si="1"/>
        <v>3638.7699999999968</v>
      </c>
      <c r="J6" s="1">
        <f t="shared" si="1"/>
        <v>4105.6400000000067</v>
      </c>
      <c r="K6" s="1">
        <f t="shared" si="1"/>
        <v>4494.5099999999948</v>
      </c>
      <c r="L6" s="1">
        <f>SUM(Quarters!H6:K6)</f>
        <v>4565.1200000000008</v>
      </c>
      <c r="M6" s="1">
        <f>M4*M24</f>
        <v>5898.2061910974335</v>
      </c>
      <c r="N6" s="1">
        <f>N4*N24</f>
        <v>5165.7411355787344</v>
      </c>
    </row>
    <row r="7" spans="1:14" x14ac:dyDescent="0.3">
      <c r="A7" t="s">
        <v>9</v>
      </c>
      <c r="B7" s="6">
        <f>'Data Sheet'!B25</f>
        <v>17.02</v>
      </c>
      <c r="C7" s="6">
        <f>'Data Sheet'!C25</f>
        <v>27.7</v>
      </c>
      <c r="D7" s="6">
        <f>'Data Sheet'!D25</f>
        <v>87.75</v>
      </c>
      <c r="E7" s="6">
        <f>'Data Sheet'!E25</f>
        <v>48.33</v>
      </c>
      <c r="F7" s="6">
        <f>'Data Sheet'!F25</f>
        <v>59.99</v>
      </c>
      <c r="G7" s="6">
        <f>'Data Sheet'!G25</f>
        <v>194.43</v>
      </c>
      <c r="H7" s="6">
        <f>'Data Sheet'!H25</f>
        <v>113.64</v>
      </c>
      <c r="I7" s="6">
        <f>'Data Sheet'!I25</f>
        <v>127.6</v>
      </c>
      <c r="J7" s="6">
        <f>'Data Sheet'!J25</f>
        <v>144.58000000000001</v>
      </c>
      <c r="K7" s="6">
        <f>'Data Sheet'!K25</f>
        <v>117.13</v>
      </c>
      <c r="L7" s="6">
        <f>SUM(Quarters!H7:K7)</f>
        <v>102.14000000000001</v>
      </c>
      <c r="M7" s="6">
        <v>0</v>
      </c>
      <c r="N7" s="6">
        <v>0</v>
      </c>
    </row>
    <row r="8" spans="1:14" x14ac:dyDescent="0.3">
      <c r="A8" t="s">
        <v>10</v>
      </c>
      <c r="B8" s="6">
        <f>'Data Sheet'!B26</f>
        <v>98.43</v>
      </c>
      <c r="C8" s="6">
        <f>'Data Sheet'!C26</f>
        <v>127.82</v>
      </c>
      <c r="D8" s="6">
        <f>'Data Sheet'!D26</f>
        <v>159</v>
      </c>
      <c r="E8" s="6">
        <f>'Data Sheet'!E26</f>
        <v>212.49</v>
      </c>
      <c r="F8" s="6">
        <f>'Data Sheet'!F26</f>
        <v>374.41</v>
      </c>
      <c r="G8" s="6">
        <f>'Data Sheet'!G26</f>
        <v>414.16</v>
      </c>
      <c r="H8" s="6">
        <f>'Data Sheet'!H26</f>
        <v>498.08</v>
      </c>
      <c r="I8" s="6">
        <f>'Data Sheet'!I26</f>
        <v>638.87</v>
      </c>
      <c r="J8" s="6">
        <f>'Data Sheet'!J26</f>
        <v>730.76</v>
      </c>
      <c r="K8" s="6">
        <f>'Data Sheet'!K26</f>
        <v>869.52</v>
      </c>
      <c r="L8" s="6">
        <f>SUM(Quarters!H8:K8)</f>
        <v>908.46</v>
      </c>
      <c r="M8" s="6">
        <f>+$L8</f>
        <v>908.46</v>
      </c>
      <c r="N8" s="6">
        <f>+$L8</f>
        <v>908.46</v>
      </c>
    </row>
    <row r="9" spans="1:14" x14ac:dyDescent="0.3">
      <c r="A9" t="s">
        <v>11</v>
      </c>
      <c r="B9" s="6">
        <f>'Data Sheet'!B27</f>
        <v>91.34</v>
      </c>
      <c r="C9" s="6">
        <f>'Data Sheet'!C27</f>
        <v>121.98</v>
      </c>
      <c r="D9" s="6">
        <f>'Data Sheet'!D27</f>
        <v>59.54</v>
      </c>
      <c r="E9" s="6">
        <f>'Data Sheet'!E27</f>
        <v>47.21</v>
      </c>
      <c r="F9" s="6">
        <f>'Data Sheet'!F27</f>
        <v>69.12</v>
      </c>
      <c r="G9" s="6">
        <f>'Data Sheet'!G27</f>
        <v>41.65</v>
      </c>
      <c r="H9" s="6">
        <f>'Data Sheet'!H27</f>
        <v>53.79</v>
      </c>
      <c r="I9" s="6">
        <f>'Data Sheet'!I27</f>
        <v>67.41</v>
      </c>
      <c r="J9" s="6">
        <f>'Data Sheet'!J27</f>
        <v>58.13</v>
      </c>
      <c r="K9" s="6">
        <f>'Data Sheet'!K27</f>
        <v>69.45</v>
      </c>
      <c r="L9" s="6">
        <f>SUM(Quarters!H9:K9)</f>
        <v>82.79</v>
      </c>
      <c r="M9" s="6">
        <f>+$L9</f>
        <v>82.79</v>
      </c>
      <c r="N9" s="6">
        <f>+$L9</f>
        <v>82.79</v>
      </c>
    </row>
    <row r="10" spans="1:14" x14ac:dyDescent="0.3">
      <c r="A10" t="s">
        <v>12</v>
      </c>
      <c r="B10" s="6">
        <f>'Data Sheet'!B28</f>
        <v>491.71</v>
      </c>
      <c r="C10" s="6">
        <f>'Data Sheet'!C28</f>
        <v>747.08</v>
      </c>
      <c r="D10" s="6">
        <f>'Data Sheet'!D28</f>
        <v>1222.07</v>
      </c>
      <c r="E10" s="6">
        <f>'Data Sheet'!E28</f>
        <v>1421.94</v>
      </c>
      <c r="F10" s="6">
        <f>'Data Sheet'!F28</f>
        <v>1744.77</v>
      </c>
      <c r="G10" s="6">
        <f>'Data Sheet'!G28</f>
        <v>1483.45</v>
      </c>
      <c r="H10" s="6">
        <f>'Data Sheet'!H28</f>
        <v>2064.12</v>
      </c>
      <c r="I10" s="6">
        <f>'Data Sheet'!I28</f>
        <v>3060.09</v>
      </c>
      <c r="J10" s="6">
        <f>'Data Sheet'!J28</f>
        <v>3461.33</v>
      </c>
      <c r="K10" s="6">
        <f>'Data Sheet'!K28</f>
        <v>3672.67</v>
      </c>
      <c r="L10" s="6">
        <f>SUM(Quarters!H10:K10)</f>
        <v>3676.01</v>
      </c>
      <c r="M10" s="6">
        <f>M6+M7-SUM(M8:M9)</f>
        <v>4906.9561910974335</v>
      </c>
      <c r="N10" s="6">
        <f>N6+N7-SUM(N8:N9)</f>
        <v>4174.4911355787344</v>
      </c>
    </row>
    <row r="11" spans="1:14" x14ac:dyDescent="0.3">
      <c r="A11" t="s">
        <v>13</v>
      </c>
      <c r="B11" s="6">
        <f>'Data Sheet'!B29</f>
        <v>171.47</v>
      </c>
      <c r="C11" s="6">
        <f>'Data Sheet'!C29</f>
        <v>268.27999999999997</v>
      </c>
      <c r="D11" s="6">
        <f>'Data Sheet'!D29</f>
        <v>415.79</v>
      </c>
      <c r="E11" s="6">
        <f>'Data Sheet'!E29</f>
        <v>519.48</v>
      </c>
      <c r="F11" s="6">
        <f>'Data Sheet'!F29</f>
        <v>443.79</v>
      </c>
      <c r="G11" s="6">
        <f>'Data Sheet'!G29</f>
        <v>384.02</v>
      </c>
      <c r="H11" s="6">
        <f>'Data Sheet'!H29</f>
        <v>571.72</v>
      </c>
      <c r="I11" s="6">
        <f>'Data Sheet'!I29</f>
        <v>681.75</v>
      </c>
      <c r="J11" s="6">
        <f>'Data Sheet'!J29</f>
        <v>925.72</v>
      </c>
      <c r="K11" s="6">
        <f>'Data Sheet'!K29</f>
        <v>965.22</v>
      </c>
      <c r="L11" s="6">
        <f>SUM(Quarters!H11:K11)</f>
        <v>969.43000000000006</v>
      </c>
      <c r="M11" s="7">
        <f>IF($L10&gt;0,$L11/$L10,0)</f>
        <v>0.26371799859086348</v>
      </c>
      <c r="N11" s="7">
        <f>IF($L10&gt;0,$L11/$L10,0)</f>
        <v>0.26371799859086348</v>
      </c>
    </row>
    <row r="12" spans="1:14" s="2" customFormat="1" x14ac:dyDescent="0.3">
      <c r="A12" s="2" t="s">
        <v>14</v>
      </c>
      <c r="B12" s="1">
        <f>'Data Sheet'!B30</f>
        <v>320.24</v>
      </c>
      <c r="C12" s="1">
        <f>'Data Sheet'!C30</f>
        <v>478.75</v>
      </c>
      <c r="D12" s="1">
        <f>'Data Sheet'!D30</f>
        <v>806.26</v>
      </c>
      <c r="E12" s="1">
        <f>'Data Sheet'!E30</f>
        <v>902.54</v>
      </c>
      <c r="F12" s="1">
        <f>'Data Sheet'!F30</f>
        <v>1301.08</v>
      </c>
      <c r="G12" s="1">
        <f>'Data Sheet'!G30</f>
        <v>1099.49</v>
      </c>
      <c r="H12" s="1">
        <f>'Data Sheet'!H30</f>
        <v>1492.55</v>
      </c>
      <c r="I12" s="1">
        <f>'Data Sheet'!I30</f>
        <v>2378.5100000000002</v>
      </c>
      <c r="J12" s="1">
        <f>'Data Sheet'!J30</f>
        <v>2536.17</v>
      </c>
      <c r="K12" s="1">
        <f>'Data Sheet'!K30</f>
        <v>2708.02</v>
      </c>
      <c r="L12" s="1">
        <f>SUM(Quarters!H12:K12)</f>
        <v>2707.17</v>
      </c>
      <c r="M12" s="1">
        <f>M10-M11*M10</f>
        <v>3612.9035252081717</v>
      </c>
      <c r="N12" s="1">
        <f>N10-N11*N10</f>
        <v>3073.6026881686093</v>
      </c>
    </row>
    <row r="13" spans="1:14" x14ac:dyDescent="0.3">
      <c r="A13" t="s">
        <v>48</v>
      </c>
      <c r="B13" s="6">
        <f>IF('Data Sheet'!B93&gt;0,B12/'Data Sheet'!B93,0)</f>
        <v>5.7032947462154944</v>
      </c>
      <c r="C13" s="6">
        <f>IF('Data Sheet'!C93&gt;0,C12/'Data Sheet'!C93,0)</f>
        <v>7.6710463066816219</v>
      </c>
      <c r="D13" s="6">
        <f>IF('Data Sheet'!D93&gt;0,D12/'Data Sheet'!D93,0)</f>
        <v>12.918763018746997</v>
      </c>
      <c r="E13" s="6">
        <f>IF('Data Sheet'!E93&gt;0,E12/'Data Sheet'!E93,0)</f>
        <v>14.461464508892806</v>
      </c>
      <c r="F13" s="6">
        <f>IF('Data Sheet'!F93&gt;0,F12/'Data Sheet'!F93,0)</f>
        <v>20.084594010497067</v>
      </c>
      <c r="G13" s="6">
        <f>IF('Data Sheet'!G93&gt;0,G12/'Data Sheet'!G93,0)</f>
        <v>16.972676752083977</v>
      </c>
      <c r="H13" s="6">
        <f>IF('Data Sheet'!H93&gt;0,H12/'Data Sheet'!H93,0)</f>
        <v>23.040290213028712</v>
      </c>
      <c r="I13" s="6">
        <f>IF('Data Sheet'!I93&gt;0,I12/'Data Sheet'!I93,0)</f>
        <v>36.688415856856395</v>
      </c>
      <c r="J13" s="6">
        <f>IF('Data Sheet'!J93&gt;0,J12/'Data Sheet'!J93,0)</f>
        <v>38.976025818349477</v>
      </c>
      <c r="K13" s="23">
        <f>IF('Data Sheet'!K93&gt;0,K12/'Data Sheet'!K93,0)</f>
        <v>41.617027816197947</v>
      </c>
      <c r="L13" s="6">
        <f>IF('Data Sheet'!$B6&gt;0,'Profit &amp; Loss'!L12/'Data Sheet'!$B6,0)</f>
        <v>41.601850160060302</v>
      </c>
      <c r="M13" s="6">
        <f>IF('Data Sheet'!$B6&gt;0,'Profit &amp; Loss'!M12/'Data Sheet'!$B6,0)</f>
        <v>55.520514448100414</v>
      </c>
      <c r="N13" s="6">
        <f>IF('Data Sheet'!$B6&gt;0,'Profit &amp; Loss'!N12/'Data Sheet'!$B6,0)</f>
        <v>47.232925337067499</v>
      </c>
    </row>
    <row r="14" spans="1:14" x14ac:dyDescent="0.3">
      <c r="A14" t="s">
        <v>16</v>
      </c>
      <c r="B14" s="6" t="str">
        <f>IF(B15&gt;0,B15/B13,"")</f>
        <v/>
      </c>
      <c r="C14" s="6">
        <f t="shared" ref="C14:K14" si="2">IF(C15&gt;0,C15/C13,"")</f>
        <v>83.150325848563966</v>
      </c>
      <c r="D14" s="6">
        <f t="shared" si="2"/>
        <v>102.54851784784063</v>
      </c>
      <c r="E14" s="6">
        <f t="shared" si="2"/>
        <v>101.72552019855074</v>
      </c>
      <c r="F14" s="6">
        <f t="shared" si="2"/>
        <v>108.91432502228918</v>
      </c>
      <c r="G14" s="6">
        <f t="shared" si="2"/>
        <v>168.45015325287179</v>
      </c>
      <c r="H14" s="6">
        <f t="shared" si="2"/>
        <v>173.75432179826473</v>
      </c>
      <c r="I14" s="6">
        <f t="shared" si="2"/>
        <v>92.700922636440467</v>
      </c>
      <c r="J14" s="6">
        <f t="shared" si="2"/>
        <v>116.1124025597653</v>
      </c>
      <c r="K14" s="6">
        <f t="shared" si="2"/>
        <v>98.113686014135766</v>
      </c>
      <c r="L14" s="6">
        <f t="shared" ref="L14" si="3">IF(L13&gt;0,L15/L13,0)</f>
        <v>104.75976388627238</v>
      </c>
      <c r="M14" s="6">
        <f>M25</f>
        <v>104.75976388627238</v>
      </c>
      <c r="N14" s="6">
        <f>N25</f>
        <v>102.92169377415348</v>
      </c>
    </row>
    <row r="15" spans="1:14" s="2" customFormat="1" x14ac:dyDescent="0.3">
      <c r="A15" s="2" t="s">
        <v>49</v>
      </c>
      <c r="B15" s="1">
        <f>'Data Sheet'!B90</f>
        <v>0</v>
      </c>
      <c r="C15" s="1">
        <f>'Data Sheet'!C90</f>
        <v>637.85</v>
      </c>
      <c r="D15" s="1">
        <f>'Data Sheet'!D90</f>
        <v>1324.8</v>
      </c>
      <c r="E15" s="1">
        <f>'Data Sheet'!E90</f>
        <v>1471.1</v>
      </c>
      <c r="F15" s="1">
        <f>'Data Sheet'!F90</f>
        <v>2187.5</v>
      </c>
      <c r="G15" s="1">
        <f>'Data Sheet'!G90</f>
        <v>2859.05</v>
      </c>
      <c r="H15" s="1">
        <f>'Data Sheet'!H90</f>
        <v>4003.35</v>
      </c>
      <c r="I15" s="1">
        <f>'Data Sheet'!I90</f>
        <v>3401.05</v>
      </c>
      <c r="J15" s="1">
        <f>'Data Sheet'!J90</f>
        <v>4525.6000000000004</v>
      </c>
      <c r="K15" s="1">
        <f>'Data Sheet'!K90</f>
        <v>4083.2</v>
      </c>
      <c r="L15" s="1">
        <f>'Data Sheet'!B8</f>
        <v>4358.2</v>
      </c>
      <c r="M15" s="8">
        <f>M13*M14</f>
        <v>5816.3159844273741</v>
      </c>
      <c r="N15" s="9">
        <f>N13*N14</f>
        <v>4861.2926775991164</v>
      </c>
    </row>
    <row r="17" spans="1:14" s="2" customFormat="1" x14ac:dyDescent="0.3">
      <c r="A17" s="2" t="s">
        <v>15</v>
      </c>
    </row>
    <row r="18" spans="1:14" x14ac:dyDescent="0.3">
      <c r="A18" t="s">
        <v>17</v>
      </c>
      <c r="B18" s="5">
        <f>IF('Data Sheet'!B30&gt;0, 'Data Sheet'!B31/'Data Sheet'!B30, 0)</f>
        <v>0</v>
      </c>
      <c r="C18" s="5">
        <f>IF('Data Sheet'!C30&gt;0, 'Data Sheet'!C31/'Data Sheet'!C30, 0)</f>
        <v>0</v>
      </c>
      <c r="D18" s="5">
        <f>IF('Data Sheet'!D30&gt;0, 'Data Sheet'!D31/'Data Sheet'!D30, 0)</f>
        <v>0</v>
      </c>
      <c r="E18" s="5">
        <f>IF('Data Sheet'!E30&gt;0, 'Data Sheet'!E31/'Data Sheet'!E30, 0)</f>
        <v>0</v>
      </c>
      <c r="F18" s="5">
        <f>IF('Data Sheet'!F30&gt;0, 'Data Sheet'!F31/'Data Sheet'!F30, 0)</f>
        <v>0</v>
      </c>
      <c r="G18" s="5">
        <f>IF('Data Sheet'!G30&gt;0, 'Data Sheet'!G31/'Data Sheet'!G30, 0)</f>
        <v>0</v>
      </c>
      <c r="H18" s="5">
        <f>IF('Data Sheet'!H30&gt;0, 'Data Sheet'!H31/'Data Sheet'!H30, 0)</f>
        <v>0</v>
      </c>
      <c r="I18" s="5">
        <f>IF('Data Sheet'!I30&gt;0, 'Data Sheet'!I31/'Data Sheet'!I30, 0)</f>
        <v>0</v>
      </c>
      <c r="J18" s="5">
        <f>IF('Data Sheet'!J30&gt;0, 'Data Sheet'!J31/'Data Sheet'!J30, 0)</f>
        <v>0</v>
      </c>
      <c r="K18" s="5">
        <f>IF('Data Sheet'!K30&gt;0, 'Data Sheet'!K31/'Data Sheet'!K30, 0)</f>
        <v>0</v>
      </c>
    </row>
    <row r="19" spans="1:14" x14ac:dyDescent="0.3">
      <c r="A19" t="s">
        <v>18</v>
      </c>
      <c r="B19" s="5">
        <f t="shared" ref="B19:L19" si="4">IF(B6&gt;0,B6/B4,0)</f>
        <v>7.7408967631900347E-2</v>
      </c>
      <c r="C19" s="5">
        <f t="shared" ref="C19:K19" si="5">IF(C6&gt;0,C6/C4,0)</f>
        <v>8.1459441740840688E-2</v>
      </c>
      <c r="D19" s="5">
        <f t="shared" si="5"/>
        <v>8.9991485512066663E-2</v>
      </c>
      <c r="E19" s="5">
        <f t="shared" si="5"/>
        <v>8.1647047767204675E-2</v>
      </c>
      <c r="F19" s="5">
        <f t="shared" si="5"/>
        <v>8.5576714300649018E-2</v>
      </c>
      <c r="G19" s="5">
        <f t="shared" si="5"/>
        <v>7.2270457845857075E-2</v>
      </c>
      <c r="H19" s="5">
        <f t="shared" si="5"/>
        <v>8.0782805676732614E-2</v>
      </c>
      <c r="I19" s="5">
        <f t="shared" si="5"/>
        <v>8.4939481171141737E-2</v>
      </c>
      <c r="J19" s="5">
        <f t="shared" si="5"/>
        <v>8.0837459732779948E-2</v>
      </c>
      <c r="K19" s="5">
        <f t="shared" si="5"/>
        <v>7.5718626201500799E-2</v>
      </c>
      <c r="L19" s="5">
        <f t="shared" si="4"/>
        <v>7.4050655805540475E-2</v>
      </c>
    </row>
    <row r="20" spans="1:14" x14ac:dyDescent="0.3">
      <c r="B20" s="5"/>
      <c r="C20" s="5"/>
      <c r="D20" s="5"/>
      <c r="E20" s="5"/>
      <c r="F20" s="5"/>
      <c r="G20" s="5"/>
      <c r="H20" s="5"/>
      <c r="I20" s="5"/>
      <c r="J20" s="5"/>
      <c r="K20" s="5"/>
      <c r="L20" s="5"/>
    </row>
    <row r="21" spans="1:14" x14ac:dyDescent="0.3">
      <c r="B21" s="5"/>
      <c r="C21" s="5"/>
      <c r="D21" s="5"/>
      <c r="E21" s="5"/>
      <c r="F21" s="5"/>
      <c r="G21" s="5"/>
      <c r="H21" s="5"/>
      <c r="I21" s="5"/>
      <c r="J21" s="5"/>
      <c r="K21" s="5"/>
      <c r="L21" s="5"/>
    </row>
    <row r="22" spans="1:14" s="2" customFormat="1" x14ac:dyDescent="0.3">
      <c r="A22" s="11"/>
      <c r="B22" s="12"/>
      <c r="C22" s="12"/>
      <c r="D22" s="12"/>
      <c r="E22" s="12"/>
      <c r="F22" s="12"/>
      <c r="G22" s="12" t="s">
        <v>19</v>
      </c>
      <c r="H22" s="12" t="s">
        <v>56</v>
      </c>
      <c r="I22" s="12" t="s">
        <v>57</v>
      </c>
      <c r="J22" s="12" t="s">
        <v>58</v>
      </c>
      <c r="K22" s="12" t="s">
        <v>59</v>
      </c>
      <c r="L22" s="13" t="s">
        <v>60</v>
      </c>
      <c r="M22" s="13" t="s">
        <v>20</v>
      </c>
      <c r="N22" s="13" t="s">
        <v>21</v>
      </c>
    </row>
    <row r="23" spans="1:14" s="2" customFormat="1" x14ac:dyDescent="0.3">
      <c r="A23"/>
      <c r="B23"/>
      <c r="C23"/>
      <c r="D23"/>
      <c r="E23"/>
      <c r="F23"/>
      <c r="G23" t="s">
        <v>22</v>
      </c>
      <c r="H23" s="5">
        <f>IF(B4=0,"",POWER($K4/B4,1/9)-1)</f>
        <v>0.23968498156811169</v>
      </c>
      <c r="I23" s="5">
        <f>IF(D4=0,"",POWER($K4/D4,1/7)-1)</f>
        <v>0.21675748671596673</v>
      </c>
      <c r="J23" s="5">
        <f>IF(F4=0,"",POWER($K4/F4,1/5)-1)</f>
        <v>0.19003591776407247</v>
      </c>
      <c r="K23" s="5">
        <f>IF(H4=0,"",POWER($K4/H4, 1/3)-1)</f>
        <v>0.24208171382636601</v>
      </c>
      <c r="L23" s="5">
        <f>IF(ISERROR(MAX(IF(J4=0,"",(K4-J4)/J4),IF(K4=0,"",(L4-K4)/K4))),"",MAX(IF(J4=0,"",(K4-J4)/J4),IF(K4=0,"",(L4-K4)/K4)))</f>
        <v>0.16872253210007004</v>
      </c>
      <c r="M23" s="16">
        <f>MAX(K23:L23)</f>
        <v>0.24208171382636601</v>
      </c>
      <c r="N23" s="16">
        <f>MIN(H23:L23)</f>
        <v>0.16872253210007004</v>
      </c>
    </row>
    <row r="24" spans="1:14" x14ac:dyDescent="0.3">
      <c r="G24" t="s">
        <v>18</v>
      </c>
      <c r="H24" s="5">
        <f>IF(SUM(B4:$K$4)=0,"",SUMPRODUCT(B19:$K$19,B4:$K$4)/SUM(B4:$K$4))</f>
        <v>8.0535911955538955E-2</v>
      </c>
      <c r="I24" s="5">
        <f>IF(SUM(E4:$K$4)=0,"",SUMPRODUCT(E19:$K$19,E4:$K$4)/SUM(E4:$K$4))</f>
        <v>8.0036685832966817E-2</v>
      </c>
      <c r="J24" s="5">
        <f>IF(SUM(G4:$K$4)=0,"",SUMPRODUCT(G19:$K$19,G4:$K$4)/SUM(G4:$K$4))</f>
        <v>7.9219812117655344E-2</v>
      </c>
      <c r="K24" s="5">
        <f>IF(SUM(I4:$K$4)=0, "", SUMPRODUCT(I19:$K$19,I4:$K$4)/SUM(I4:$K$4))</f>
        <v>8.0000031375329725E-2</v>
      </c>
      <c r="L24" s="5">
        <f>L19</f>
        <v>7.4050655805540475E-2</v>
      </c>
      <c r="M24" s="16">
        <f>MAX(K24:L24)</f>
        <v>8.0000031375329725E-2</v>
      </c>
      <c r="N24" s="16">
        <f>MIN(H24:L24)</f>
        <v>7.4050655805540475E-2</v>
      </c>
    </row>
    <row r="25" spans="1:14" x14ac:dyDescent="0.3">
      <c r="G25" t="s">
        <v>23</v>
      </c>
      <c r="H25" s="6">
        <f>IF(ISERROR(AVERAGEIF(B14:$L14,"&gt;0")),"",AVERAGEIF(B14:$L14,"&gt;0"))</f>
        <v>115.02299390649951</v>
      </c>
      <c r="I25" s="6">
        <f>IF(ISERROR(AVERAGEIF(E14:$L14,"&gt;0")),"",AVERAGEIF(E14:$L14,"&gt;0"))</f>
        <v>120.5663869210738</v>
      </c>
      <c r="J25" s="6">
        <f>IF(ISERROR(AVERAGEIF(G14:$L14,"&gt;0")),"",AVERAGEIF(G14:$L14,"&gt;0"))</f>
        <v>125.64854169129173</v>
      </c>
      <c r="K25" s="6">
        <f>IF(ISERROR(AVERAGEIF(I14:$L14,"&gt;0")),"",AVERAGEIF(I14:$L14,"&gt;0"))</f>
        <v>102.92169377415348</v>
      </c>
      <c r="L25" s="6">
        <f>L14</f>
        <v>104.75976388627238</v>
      </c>
      <c r="M25" s="1">
        <f>MAX(K25:L25)</f>
        <v>104.75976388627238</v>
      </c>
      <c r="N25" s="1">
        <f>MIN(H25:L25)</f>
        <v>102.92169377415348</v>
      </c>
    </row>
  </sheetData>
  <hyperlinks>
    <hyperlink ref="M1" r:id="rId1" xr:uid="{00000000-0004-0000-0000-000000000000}"/>
  </hyperlinks>
  <printOptions gridLines="1"/>
  <pageMargins left="0.7" right="0.7" top="0.75" bottom="0.75" header="0.3" footer="0.3"/>
  <pageSetup paperSize="9" orientation="landscape" horizontalDpi="300" verticalDpi="300" r:id="rId2"/>
  <tableParts count="1">
    <tablePart r:id="rId3"/>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4">
    <pageSetUpPr fitToPage="1"/>
  </sheetPr>
  <dimension ref="A1:K22"/>
  <sheetViews>
    <sheetView zoomScale="150" workbookViewId="0">
      <pane xSplit="1" ySplit="3" topLeftCell="D4" activePane="bottomRight" state="frozen"/>
      <selection activeCell="K13" sqref="K13"/>
      <selection pane="topRight" activeCell="K13" sqref="K13"/>
      <selection pane="bottomLeft" activeCell="K13" sqref="K13"/>
      <selection pane="bottomRight" activeCell="K13" sqref="K13"/>
    </sheetView>
  </sheetViews>
  <sheetFormatPr defaultColWidth="8.77734375" defaultRowHeight="14.4" x14ac:dyDescent="0.3"/>
  <cols>
    <col min="1" max="1" width="20.6640625" customWidth="1"/>
    <col min="2" max="11" width="13.44140625" bestFit="1" customWidth="1"/>
  </cols>
  <sheetData>
    <row r="1" spans="1:11" s="2" customFormat="1" x14ac:dyDescent="0.3">
      <c r="A1" s="2" t="str">
        <f>'Profit &amp; Loss'!A1</f>
        <v>AVENUE SUPERMARTS LTD</v>
      </c>
      <c r="E1" t="str">
        <f>UPDATE</f>
        <v/>
      </c>
      <c r="J1" s="2" t="s">
        <v>1</v>
      </c>
    </row>
    <row r="3" spans="1:11" s="2" customFormat="1" x14ac:dyDescent="0.3">
      <c r="A3" s="11" t="s">
        <v>2</v>
      </c>
      <c r="B3" s="12">
        <f>'Data Sheet'!B41</f>
        <v>45016</v>
      </c>
      <c r="C3" s="12">
        <f>'Data Sheet'!C41</f>
        <v>45107</v>
      </c>
      <c r="D3" s="12">
        <f>'Data Sheet'!D41</f>
        <v>45199</v>
      </c>
      <c r="E3" s="12">
        <f>'Data Sheet'!E41</f>
        <v>45291</v>
      </c>
      <c r="F3" s="12">
        <f>'Data Sheet'!F41</f>
        <v>45382</v>
      </c>
      <c r="G3" s="12">
        <f>'Data Sheet'!G41</f>
        <v>45473</v>
      </c>
      <c r="H3" s="12">
        <f>'Data Sheet'!H41</f>
        <v>45565</v>
      </c>
      <c r="I3" s="12">
        <f>'Data Sheet'!I41</f>
        <v>45657</v>
      </c>
      <c r="J3" s="12">
        <f>'Data Sheet'!J41</f>
        <v>45747</v>
      </c>
      <c r="K3" s="12">
        <f>'Data Sheet'!K41</f>
        <v>45838</v>
      </c>
    </row>
    <row r="4" spans="1:11" s="2" customFormat="1" x14ac:dyDescent="0.3">
      <c r="A4" s="2" t="s">
        <v>6</v>
      </c>
      <c r="B4" s="1">
        <f>'Data Sheet'!B42</f>
        <v>10594.11</v>
      </c>
      <c r="C4" s="1">
        <f>'Data Sheet'!C42</f>
        <v>11865.44</v>
      </c>
      <c r="D4" s="1">
        <f>'Data Sheet'!D42</f>
        <v>12624.37</v>
      </c>
      <c r="E4" s="1">
        <f>'Data Sheet'!E42</f>
        <v>13572.47</v>
      </c>
      <c r="F4" s="1">
        <f>'Data Sheet'!F42</f>
        <v>12726.55</v>
      </c>
      <c r="G4" s="1">
        <f>'Data Sheet'!G42</f>
        <v>14069.14</v>
      </c>
      <c r="H4" s="1">
        <f>'Data Sheet'!H42</f>
        <v>14444.5</v>
      </c>
      <c r="I4" s="1">
        <f>'Data Sheet'!I42</f>
        <v>15972.55</v>
      </c>
      <c r="J4" s="1">
        <f>'Data Sheet'!J42</f>
        <v>14871.86</v>
      </c>
      <c r="K4" s="1">
        <f>'Data Sheet'!K42</f>
        <v>16359.7</v>
      </c>
    </row>
    <row r="5" spans="1:11" x14ac:dyDescent="0.3">
      <c r="A5" t="s">
        <v>7</v>
      </c>
      <c r="B5" s="6">
        <f>'Data Sheet'!B43</f>
        <v>9822.6</v>
      </c>
      <c r="C5" s="6">
        <f>'Data Sheet'!C43</f>
        <v>10830.17</v>
      </c>
      <c r="D5" s="6">
        <f>'Data Sheet'!D43</f>
        <v>11619.4</v>
      </c>
      <c r="E5" s="6">
        <f>'Data Sheet'!E43</f>
        <v>12452.58</v>
      </c>
      <c r="F5" s="6">
        <f>'Data Sheet'!F43</f>
        <v>11782.91</v>
      </c>
      <c r="G5" s="6">
        <f>'Data Sheet'!G43</f>
        <v>12847.89</v>
      </c>
      <c r="H5" s="6">
        <f>'Data Sheet'!H43</f>
        <v>13350.73</v>
      </c>
      <c r="I5" s="6">
        <f>'Data Sheet'!I43</f>
        <v>14755.31</v>
      </c>
      <c r="J5" s="6">
        <f>'Data Sheet'!J43</f>
        <v>13916.79</v>
      </c>
      <c r="K5" s="6">
        <f>'Data Sheet'!K43</f>
        <v>15060.66</v>
      </c>
    </row>
    <row r="6" spans="1:11" s="2" customFormat="1" x14ac:dyDescent="0.3">
      <c r="A6" s="2" t="s">
        <v>8</v>
      </c>
      <c r="B6" s="1">
        <f>'Data Sheet'!B50</f>
        <v>771.51</v>
      </c>
      <c r="C6" s="1">
        <f>'Data Sheet'!C50</f>
        <v>1035.27</v>
      </c>
      <c r="D6" s="1">
        <f>'Data Sheet'!D50</f>
        <v>1004.97</v>
      </c>
      <c r="E6" s="1">
        <f>'Data Sheet'!E50</f>
        <v>1119.8900000000001</v>
      </c>
      <c r="F6" s="1">
        <f>'Data Sheet'!F50</f>
        <v>943.64</v>
      </c>
      <c r="G6" s="1">
        <f>'Data Sheet'!G50</f>
        <v>1221.25</v>
      </c>
      <c r="H6" s="1">
        <f>'Data Sheet'!H50</f>
        <v>1093.77</v>
      </c>
      <c r="I6" s="1">
        <f>'Data Sheet'!I50</f>
        <v>1217.24</v>
      </c>
      <c r="J6" s="1">
        <f>'Data Sheet'!J50</f>
        <v>955.07</v>
      </c>
      <c r="K6" s="1">
        <f>'Data Sheet'!K50</f>
        <v>1299.04</v>
      </c>
    </row>
    <row r="7" spans="1:11" x14ac:dyDescent="0.3">
      <c r="A7" t="s">
        <v>9</v>
      </c>
      <c r="B7" s="6">
        <f>'Data Sheet'!B44</f>
        <v>33.07</v>
      </c>
      <c r="C7" s="6">
        <f>'Data Sheet'!C44</f>
        <v>38.74</v>
      </c>
      <c r="D7" s="6">
        <f>'Data Sheet'!D44</f>
        <v>36.92</v>
      </c>
      <c r="E7" s="6">
        <f>'Data Sheet'!E44</f>
        <v>32.92</v>
      </c>
      <c r="F7" s="6">
        <f>'Data Sheet'!F44</f>
        <v>37.869999999999997</v>
      </c>
      <c r="G7" s="6">
        <f>'Data Sheet'!G44</f>
        <v>41.6</v>
      </c>
      <c r="H7" s="6">
        <f>'Data Sheet'!H44</f>
        <v>33.520000000000003</v>
      </c>
      <c r="I7" s="6">
        <f>'Data Sheet'!I44</f>
        <v>24.14</v>
      </c>
      <c r="J7" s="6">
        <f>'Data Sheet'!J44</f>
        <v>25.05</v>
      </c>
      <c r="K7" s="6">
        <f>'Data Sheet'!K44</f>
        <v>19.43</v>
      </c>
    </row>
    <row r="8" spans="1:11" x14ac:dyDescent="0.3">
      <c r="A8" t="s">
        <v>10</v>
      </c>
      <c r="B8" s="6">
        <f>'Data Sheet'!B45</f>
        <v>164.08</v>
      </c>
      <c r="C8" s="6">
        <f>'Data Sheet'!C45</f>
        <v>162.18</v>
      </c>
      <c r="D8" s="6">
        <f>'Data Sheet'!D45</f>
        <v>174.36</v>
      </c>
      <c r="E8" s="6">
        <f>'Data Sheet'!E45</f>
        <v>189.33</v>
      </c>
      <c r="F8" s="6">
        <f>'Data Sheet'!F45</f>
        <v>204.89</v>
      </c>
      <c r="G8" s="6">
        <f>'Data Sheet'!G45</f>
        <v>192.76</v>
      </c>
      <c r="H8" s="6">
        <f>'Data Sheet'!H45</f>
        <v>207.78</v>
      </c>
      <c r="I8" s="6">
        <f>'Data Sheet'!I45</f>
        <v>228.12</v>
      </c>
      <c r="J8" s="6">
        <f>'Data Sheet'!J45</f>
        <v>240.86</v>
      </c>
      <c r="K8" s="6">
        <f>'Data Sheet'!K45</f>
        <v>231.7</v>
      </c>
    </row>
    <row r="9" spans="1:11" x14ac:dyDescent="0.3">
      <c r="A9" t="s">
        <v>11</v>
      </c>
      <c r="B9" s="6">
        <f>'Data Sheet'!B46</f>
        <v>15.53</v>
      </c>
      <c r="C9" s="6">
        <f>'Data Sheet'!C46</f>
        <v>14.57</v>
      </c>
      <c r="D9" s="6">
        <f>'Data Sheet'!D46</f>
        <v>15.59</v>
      </c>
      <c r="E9" s="6">
        <f>'Data Sheet'!E46</f>
        <v>14.55</v>
      </c>
      <c r="F9" s="6">
        <f>'Data Sheet'!F46</f>
        <v>13.42</v>
      </c>
      <c r="G9" s="6">
        <f>'Data Sheet'!G46</f>
        <v>15.96</v>
      </c>
      <c r="H9" s="6">
        <f>'Data Sheet'!H46</f>
        <v>16.32</v>
      </c>
      <c r="I9" s="6">
        <f>'Data Sheet'!I46</f>
        <v>18.21</v>
      </c>
      <c r="J9" s="6">
        <f>'Data Sheet'!J46</f>
        <v>18.96</v>
      </c>
      <c r="K9" s="6">
        <f>'Data Sheet'!K46</f>
        <v>29.3</v>
      </c>
    </row>
    <row r="10" spans="1:11" x14ac:dyDescent="0.3">
      <c r="A10" t="s">
        <v>12</v>
      </c>
      <c r="B10" s="6">
        <f>'Data Sheet'!B47</f>
        <v>624.97</v>
      </c>
      <c r="C10" s="6">
        <f>'Data Sheet'!C47</f>
        <v>897.26</v>
      </c>
      <c r="D10" s="6">
        <f>'Data Sheet'!D47</f>
        <v>851.94</v>
      </c>
      <c r="E10" s="6">
        <f>'Data Sheet'!E47</f>
        <v>948.93</v>
      </c>
      <c r="F10" s="6">
        <f>'Data Sheet'!F47</f>
        <v>763.2</v>
      </c>
      <c r="G10" s="6">
        <f>'Data Sheet'!G47</f>
        <v>1054.1300000000001</v>
      </c>
      <c r="H10" s="6">
        <f>'Data Sheet'!H47</f>
        <v>903.19</v>
      </c>
      <c r="I10" s="6">
        <f>'Data Sheet'!I47</f>
        <v>995.05</v>
      </c>
      <c r="J10" s="6">
        <f>'Data Sheet'!J47</f>
        <v>720.3</v>
      </c>
      <c r="K10" s="6">
        <f>'Data Sheet'!K47</f>
        <v>1057.47</v>
      </c>
    </row>
    <row r="11" spans="1:11" x14ac:dyDescent="0.3">
      <c r="A11" t="s">
        <v>13</v>
      </c>
      <c r="B11" s="6">
        <f>'Data Sheet'!B48</f>
        <v>164.87</v>
      </c>
      <c r="C11" s="6">
        <f>'Data Sheet'!C48</f>
        <v>238.55</v>
      </c>
      <c r="D11" s="6">
        <f>'Data Sheet'!D48</f>
        <v>228.59</v>
      </c>
      <c r="E11" s="6">
        <f>'Data Sheet'!E48</f>
        <v>258.52</v>
      </c>
      <c r="F11" s="6">
        <f>'Data Sheet'!F48</f>
        <v>200.06</v>
      </c>
      <c r="G11" s="6">
        <f>'Data Sheet'!G48</f>
        <v>280.45</v>
      </c>
      <c r="H11" s="6">
        <f>'Data Sheet'!H48</f>
        <v>243.75</v>
      </c>
      <c r="I11" s="6">
        <f>'Data Sheet'!I48</f>
        <v>271.51</v>
      </c>
      <c r="J11" s="6">
        <f>'Data Sheet'!J48</f>
        <v>169.51</v>
      </c>
      <c r="K11" s="6">
        <f>'Data Sheet'!K48</f>
        <v>284.66000000000003</v>
      </c>
    </row>
    <row r="12" spans="1:11" s="2" customFormat="1" x14ac:dyDescent="0.3">
      <c r="A12" s="2" t="s">
        <v>14</v>
      </c>
      <c r="B12" s="1">
        <f>'Data Sheet'!B49</f>
        <v>460.13</v>
      </c>
      <c r="C12" s="1">
        <f>'Data Sheet'!C49</f>
        <v>658.75</v>
      </c>
      <c r="D12" s="1">
        <f>'Data Sheet'!D49</f>
        <v>623.55999999999995</v>
      </c>
      <c r="E12" s="1">
        <f>'Data Sheet'!E49</f>
        <v>690.61</v>
      </c>
      <c r="F12" s="1">
        <f>'Data Sheet'!F49</f>
        <v>563.25</v>
      </c>
      <c r="G12" s="1">
        <f>'Data Sheet'!G49</f>
        <v>773.82</v>
      </c>
      <c r="H12" s="1">
        <f>'Data Sheet'!H49</f>
        <v>659.58</v>
      </c>
      <c r="I12" s="1">
        <f>'Data Sheet'!I49</f>
        <v>723.72</v>
      </c>
      <c r="J12" s="1">
        <f>'Data Sheet'!J49</f>
        <v>550.9</v>
      </c>
      <c r="K12" s="1">
        <f>'Data Sheet'!K49</f>
        <v>772.97</v>
      </c>
    </row>
    <row r="14" spans="1:11" s="2" customFormat="1" x14ac:dyDescent="0.3">
      <c r="A14" s="2" t="s">
        <v>18</v>
      </c>
      <c r="B14" s="10">
        <f>IF(B4&gt;0,B6/B4,"")</f>
        <v>7.2824427913246129E-2</v>
      </c>
      <c r="C14" s="10">
        <f t="shared" ref="C14:K14" si="0">IF(C4&gt;0,C6/C4,"")</f>
        <v>8.7250873123963374E-2</v>
      </c>
      <c r="D14" s="10">
        <f t="shared" si="0"/>
        <v>7.9605556554505297E-2</v>
      </c>
      <c r="E14" s="10">
        <f t="shared" si="0"/>
        <v>8.2511878825298576E-2</v>
      </c>
      <c r="F14" s="10">
        <f t="shared" si="0"/>
        <v>7.4147353367566227E-2</v>
      </c>
      <c r="G14" s="10">
        <f t="shared" si="0"/>
        <v>8.6803457780646159E-2</v>
      </c>
      <c r="H14" s="10">
        <f t="shared" si="0"/>
        <v>7.5722247222126074E-2</v>
      </c>
      <c r="I14" s="10">
        <f t="shared" si="0"/>
        <v>7.6208244769933417E-2</v>
      </c>
      <c r="J14" s="10">
        <f t="shared" si="0"/>
        <v>6.4219942898870758E-2</v>
      </c>
      <c r="K14" s="10">
        <f t="shared" si="0"/>
        <v>7.9404879062574485E-2</v>
      </c>
    </row>
    <row r="22" s="19" customFormat="1" x14ac:dyDescent="0.3"/>
  </sheetData>
  <hyperlinks>
    <hyperlink ref="J1" r:id="rId1" xr:uid="{00000000-0004-0000-0100-000000000000}"/>
  </hyperlinks>
  <printOptions gridLines="1"/>
  <pageMargins left="0.7" right="0.7" top="0.75" bottom="0.75" header="0.3" footer="0.3"/>
  <pageSetup paperSize="9" scale="83" orientation="landscape" horizontalDpi="300" verticalDpi="300" r:id="rId2"/>
  <tableParts count="1">
    <tablePart r:id="rId3"/>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2">
    <pageSetUpPr fitToPage="1"/>
  </sheetPr>
  <dimension ref="A1:K24"/>
  <sheetViews>
    <sheetView zoomScale="125" workbookViewId="0">
      <pane xSplit="1" ySplit="3" topLeftCell="E4" activePane="bottomRight" state="frozen"/>
      <selection activeCell="K13" sqref="K13"/>
      <selection pane="topRight" activeCell="K13" sqref="K13"/>
      <selection pane="bottomLeft" activeCell="K13" sqref="K13"/>
      <selection pane="bottomRight" activeCell="K13" sqref="K13"/>
    </sheetView>
  </sheetViews>
  <sheetFormatPr defaultColWidth="8.77734375" defaultRowHeight="14.4" x14ac:dyDescent="0.3"/>
  <cols>
    <col min="1" max="1" width="22.77734375" bestFit="1" customWidth="1"/>
    <col min="2" max="2" width="13.44140625" customWidth="1"/>
    <col min="3" max="11" width="15.44140625" customWidth="1"/>
  </cols>
  <sheetData>
    <row r="1" spans="1:11" s="2" customFormat="1" x14ac:dyDescent="0.3">
      <c r="A1" s="2" t="str">
        <f>'Profit &amp; Loss'!A1</f>
        <v>AVENUE SUPERMARTS LTD</v>
      </c>
      <c r="E1" t="str">
        <f>UPDATE</f>
        <v/>
      </c>
      <c r="G1"/>
      <c r="J1" s="2" t="s">
        <v>1</v>
      </c>
    </row>
    <row r="2" spans="1:11" x14ac:dyDescent="0.3">
      <c r="G2" s="2"/>
      <c r="H2" s="2"/>
    </row>
    <row r="3" spans="1:11" x14ac:dyDescent="0.3">
      <c r="A3" s="11" t="s">
        <v>2</v>
      </c>
      <c r="B3" s="12">
        <f>'Data Sheet'!B56</f>
        <v>42460</v>
      </c>
      <c r="C3" s="12">
        <f>'Data Sheet'!C56</f>
        <v>42825</v>
      </c>
      <c r="D3" s="12">
        <f>'Data Sheet'!D56</f>
        <v>43190</v>
      </c>
      <c r="E3" s="12">
        <f>'Data Sheet'!E56</f>
        <v>43555</v>
      </c>
      <c r="F3" s="12">
        <f>'Data Sheet'!F56</f>
        <v>43921</v>
      </c>
      <c r="G3" s="12">
        <f>'Data Sheet'!G56</f>
        <v>44286</v>
      </c>
      <c r="H3" s="12">
        <f>'Data Sheet'!H56</f>
        <v>44651</v>
      </c>
      <c r="I3" s="12">
        <f>'Data Sheet'!I56</f>
        <v>45016</v>
      </c>
      <c r="J3" s="12">
        <f>'Data Sheet'!J56</f>
        <v>45382</v>
      </c>
      <c r="K3" s="12">
        <f>'Data Sheet'!K56</f>
        <v>45747</v>
      </c>
    </row>
    <row r="4" spans="1:11" x14ac:dyDescent="0.3">
      <c r="A4" t="s">
        <v>24</v>
      </c>
      <c r="B4" s="14">
        <f>'Data Sheet'!B57</f>
        <v>561.54</v>
      </c>
      <c r="C4" s="14">
        <f>'Data Sheet'!C57</f>
        <v>624.08000000000004</v>
      </c>
      <c r="D4" s="14">
        <f>'Data Sheet'!D57</f>
        <v>624.08000000000004</v>
      </c>
      <c r="E4" s="14">
        <f>'Data Sheet'!E57</f>
        <v>624.08000000000004</v>
      </c>
      <c r="F4" s="14">
        <f>'Data Sheet'!F57</f>
        <v>647.77</v>
      </c>
      <c r="G4" s="14">
        <f>'Data Sheet'!G57</f>
        <v>647.77</v>
      </c>
      <c r="H4" s="14">
        <f>'Data Sheet'!H57</f>
        <v>647.77</v>
      </c>
      <c r="I4" s="14">
        <f>'Data Sheet'!I57</f>
        <v>648.26</v>
      </c>
      <c r="J4" s="14">
        <f>'Data Sheet'!J57</f>
        <v>650.73</v>
      </c>
      <c r="K4" s="14">
        <f>'Data Sheet'!K57</f>
        <v>650.73</v>
      </c>
    </row>
    <row r="5" spans="1:11" x14ac:dyDescent="0.3">
      <c r="A5" t="s">
        <v>25</v>
      </c>
      <c r="B5" s="14">
        <f>'Data Sheet'!B58</f>
        <v>958.9</v>
      </c>
      <c r="C5" s="14">
        <f>'Data Sheet'!C58</f>
        <v>3217.7</v>
      </c>
      <c r="D5" s="14">
        <f>'Data Sheet'!D58</f>
        <v>4044.97</v>
      </c>
      <c r="E5" s="14">
        <f>'Data Sheet'!E58</f>
        <v>4963.37</v>
      </c>
      <c r="F5" s="14">
        <f>'Data Sheet'!F58</f>
        <v>10431.969999999999</v>
      </c>
      <c r="G5" s="14">
        <f>'Data Sheet'!G58</f>
        <v>11535.94</v>
      </c>
      <c r="H5" s="14">
        <f>'Data Sheet'!H58</f>
        <v>13029.87</v>
      </c>
      <c r="I5" s="14">
        <f>'Data Sheet'!I58</f>
        <v>15430.44</v>
      </c>
      <c r="J5" s="14">
        <f>'Data Sheet'!J58</f>
        <v>18047.09</v>
      </c>
      <c r="K5" s="14">
        <f>'Data Sheet'!K58</f>
        <v>20777.02</v>
      </c>
    </row>
    <row r="6" spans="1:11" x14ac:dyDescent="0.3">
      <c r="A6" t="s">
        <v>62</v>
      </c>
      <c r="B6" s="14">
        <f>'Data Sheet'!B59</f>
        <v>1192.3399999999999</v>
      </c>
      <c r="C6" s="14">
        <f>'Data Sheet'!C59</f>
        <v>1497.32</v>
      </c>
      <c r="D6" s="14">
        <f>'Data Sheet'!D59</f>
        <v>439.25</v>
      </c>
      <c r="E6" s="14">
        <f>'Data Sheet'!E59</f>
        <v>700.15</v>
      </c>
      <c r="F6" s="14">
        <f>'Data Sheet'!F59</f>
        <v>333.19</v>
      </c>
      <c r="G6" s="14">
        <f>'Data Sheet'!G59</f>
        <v>392.71</v>
      </c>
      <c r="H6" s="14">
        <f>'Data Sheet'!H59</f>
        <v>646.94000000000005</v>
      </c>
      <c r="I6" s="14">
        <f>'Data Sheet'!I59</f>
        <v>642.98</v>
      </c>
      <c r="J6" s="14">
        <f>'Data Sheet'!J59</f>
        <v>592.16</v>
      </c>
      <c r="K6" s="14">
        <f>'Data Sheet'!K59</f>
        <v>819.62</v>
      </c>
    </row>
    <row r="7" spans="1:11" x14ac:dyDescent="0.3">
      <c r="A7" t="s">
        <v>63</v>
      </c>
      <c r="B7" s="14">
        <f>'Data Sheet'!B60</f>
        <v>388.78</v>
      </c>
      <c r="C7" s="14">
        <f>'Data Sheet'!C60</f>
        <v>480.18</v>
      </c>
      <c r="D7" s="14">
        <f>'Data Sheet'!D60</f>
        <v>539.91999999999996</v>
      </c>
      <c r="E7" s="14">
        <f>'Data Sheet'!E60</f>
        <v>717.9</v>
      </c>
      <c r="F7" s="14">
        <f>'Data Sheet'!F60</f>
        <v>663.23</v>
      </c>
      <c r="G7" s="14">
        <f>'Data Sheet'!G60</f>
        <v>1078.6300000000001</v>
      </c>
      <c r="H7" s="14">
        <f>'Data Sheet'!H60</f>
        <v>1146.4000000000001</v>
      </c>
      <c r="I7" s="14">
        <f>'Data Sheet'!I60</f>
        <v>1382.84</v>
      </c>
      <c r="J7" s="14">
        <f>'Data Sheet'!J60</f>
        <v>1882.5</v>
      </c>
      <c r="K7" s="14">
        <f>'Data Sheet'!K60</f>
        <v>2065.41</v>
      </c>
    </row>
    <row r="8" spans="1:11" s="2" customFormat="1" x14ac:dyDescent="0.3">
      <c r="A8" s="2" t="s">
        <v>26</v>
      </c>
      <c r="B8" s="15">
        <f>'Data Sheet'!B61</f>
        <v>3101.56</v>
      </c>
      <c r="C8" s="15">
        <f>'Data Sheet'!C61</f>
        <v>5819.28</v>
      </c>
      <c r="D8" s="15">
        <f>'Data Sheet'!D61</f>
        <v>5648.22</v>
      </c>
      <c r="E8" s="15">
        <f>'Data Sheet'!E61</f>
        <v>7005.5</v>
      </c>
      <c r="F8" s="15">
        <f>'Data Sheet'!F61</f>
        <v>12076.16</v>
      </c>
      <c r="G8" s="15">
        <f>'Data Sheet'!G61</f>
        <v>13655.05</v>
      </c>
      <c r="H8" s="15">
        <f>'Data Sheet'!H61</f>
        <v>15470.98</v>
      </c>
      <c r="I8" s="15">
        <f>'Data Sheet'!I61</f>
        <v>18104.52</v>
      </c>
      <c r="J8" s="15">
        <f>'Data Sheet'!J61</f>
        <v>21172.48</v>
      </c>
      <c r="K8" s="15">
        <f>'Data Sheet'!K61</f>
        <v>24312.78</v>
      </c>
    </row>
    <row r="9" spans="1:11" s="2" customFormat="1" x14ac:dyDescent="0.3">
      <c r="B9" s="15"/>
      <c r="C9" s="15"/>
      <c r="D9" s="15"/>
      <c r="E9" s="15"/>
      <c r="F9" s="15"/>
      <c r="G9" s="15"/>
      <c r="H9" s="15"/>
      <c r="I9" s="15"/>
      <c r="J9" s="15"/>
      <c r="K9" s="15"/>
    </row>
    <row r="10" spans="1:11" x14ac:dyDescent="0.3">
      <c r="A10" t="s">
        <v>27</v>
      </c>
      <c r="B10" s="14">
        <f>'Data Sheet'!B62</f>
        <v>2093.52</v>
      </c>
      <c r="C10" s="14">
        <f>'Data Sheet'!C62</f>
        <v>2577.75</v>
      </c>
      <c r="D10" s="14">
        <f>'Data Sheet'!D62</f>
        <v>3399.97</v>
      </c>
      <c r="E10" s="14">
        <f>'Data Sheet'!E62</f>
        <v>4400.37</v>
      </c>
      <c r="F10" s="14">
        <f>'Data Sheet'!F62</f>
        <v>5948.03</v>
      </c>
      <c r="G10" s="14">
        <f>'Data Sheet'!G62</f>
        <v>7008.8</v>
      </c>
      <c r="H10" s="14">
        <f>'Data Sheet'!H62</f>
        <v>9260.02</v>
      </c>
      <c r="I10" s="14">
        <f>'Data Sheet'!I62</f>
        <v>11340.48</v>
      </c>
      <c r="J10" s="14">
        <f>'Data Sheet'!J62</f>
        <v>13415</v>
      </c>
      <c r="K10" s="14">
        <f>'Data Sheet'!K62</f>
        <v>16206.46</v>
      </c>
    </row>
    <row r="11" spans="1:11" x14ac:dyDescent="0.3">
      <c r="A11" t="s">
        <v>28</v>
      </c>
      <c r="B11" s="14">
        <f>'Data Sheet'!B63</f>
        <v>81.69</v>
      </c>
      <c r="C11" s="14">
        <f>'Data Sheet'!C63</f>
        <v>152.88999999999999</v>
      </c>
      <c r="D11" s="14">
        <f>'Data Sheet'!D63</f>
        <v>147.07</v>
      </c>
      <c r="E11" s="14">
        <f>'Data Sheet'!E63</f>
        <v>376.84</v>
      </c>
      <c r="F11" s="14">
        <f>'Data Sheet'!F63</f>
        <v>364.4</v>
      </c>
      <c r="G11" s="14">
        <f>'Data Sheet'!G63</f>
        <v>1019.59</v>
      </c>
      <c r="H11" s="14">
        <f>'Data Sheet'!H63</f>
        <v>1129.3399999999999</v>
      </c>
      <c r="I11" s="14">
        <f>'Data Sheet'!I63</f>
        <v>829.16</v>
      </c>
      <c r="J11" s="14">
        <f>'Data Sheet'!J63</f>
        <v>935.22</v>
      </c>
      <c r="K11" s="14">
        <f>'Data Sheet'!K63</f>
        <v>1099.3499999999999</v>
      </c>
    </row>
    <row r="12" spans="1:11" x14ac:dyDescent="0.3">
      <c r="A12" t="s">
        <v>29</v>
      </c>
      <c r="B12" s="14">
        <f>'Data Sheet'!B64</f>
        <v>29.33</v>
      </c>
      <c r="C12" s="14">
        <f>'Data Sheet'!C64</f>
        <v>25.69</v>
      </c>
      <c r="D12" s="14">
        <f>'Data Sheet'!D64</f>
        <v>68.180000000000007</v>
      </c>
      <c r="E12" s="14">
        <f>'Data Sheet'!E64</f>
        <v>16.53</v>
      </c>
      <c r="F12" s="14">
        <f>'Data Sheet'!F64</f>
        <v>14.68</v>
      </c>
      <c r="G12" s="14">
        <f>'Data Sheet'!G64</f>
        <v>2.95</v>
      </c>
      <c r="H12" s="14">
        <f>'Data Sheet'!H64</f>
        <v>5.94</v>
      </c>
      <c r="I12" s="14">
        <f>'Data Sheet'!I64</f>
        <v>202.2</v>
      </c>
      <c r="J12" s="14">
        <f>'Data Sheet'!J64</f>
        <v>106.67</v>
      </c>
      <c r="K12" s="14">
        <f>'Data Sheet'!K64</f>
        <v>3.26</v>
      </c>
    </row>
    <row r="13" spans="1:11" x14ac:dyDescent="0.3">
      <c r="A13" t="s">
        <v>64</v>
      </c>
      <c r="B13" s="14">
        <f>'Data Sheet'!B65</f>
        <v>897.02</v>
      </c>
      <c r="C13" s="14">
        <f>'Data Sheet'!C65</f>
        <v>3062.95</v>
      </c>
      <c r="D13" s="14">
        <f>'Data Sheet'!D65</f>
        <v>2033</v>
      </c>
      <c r="E13" s="14">
        <f>'Data Sheet'!E65</f>
        <v>2211.7600000000002</v>
      </c>
      <c r="F13" s="14">
        <f>'Data Sheet'!F65</f>
        <v>5749.05</v>
      </c>
      <c r="G13" s="14">
        <f>'Data Sheet'!G65</f>
        <v>5623.71</v>
      </c>
      <c r="H13" s="14">
        <f>'Data Sheet'!H65</f>
        <v>5075.68</v>
      </c>
      <c r="I13" s="14">
        <f>'Data Sheet'!I65</f>
        <v>5732.68</v>
      </c>
      <c r="J13" s="14">
        <f>'Data Sheet'!J65</f>
        <v>6715.59</v>
      </c>
      <c r="K13" s="22">
        <f>'Data Sheet'!K65</f>
        <v>7003.71</v>
      </c>
    </row>
    <row r="14" spans="1:11" s="2" customFormat="1" x14ac:dyDescent="0.3">
      <c r="A14" s="2" t="s">
        <v>26</v>
      </c>
      <c r="B14" s="14">
        <f>'Data Sheet'!B66</f>
        <v>3101.56</v>
      </c>
      <c r="C14" s="14">
        <f>'Data Sheet'!C66</f>
        <v>5819.28</v>
      </c>
      <c r="D14" s="14">
        <f>'Data Sheet'!D66</f>
        <v>5648.22</v>
      </c>
      <c r="E14" s="14">
        <f>'Data Sheet'!E66</f>
        <v>7005.5</v>
      </c>
      <c r="F14" s="14">
        <f>'Data Sheet'!F66</f>
        <v>12076.16</v>
      </c>
      <c r="G14" s="14">
        <f>'Data Sheet'!G66</f>
        <v>13655.05</v>
      </c>
      <c r="H14" s="14">
        <f>'Data Sheet'!H66</f>
        <v>15470.98</v>
      </c>
      <c r="I14" s="14">
        <f>'Data Sheet'!I66</f>
        <v>18104.52</v>
      </c>
      <c r="J14" s="14">
        <f>'Data Sheet'!J66</f>
        <v>21172.48</v>
      </c>
      <c r="K14" s="14">
        <f>'Data Sheet'!K66</f>
        <v>24312.78</v>
      </c>
    </row>
    <row r="15" spans="1:11" x14ac:dyDescent="0.3">
      <c r="B15" s="4"/>
      <c r="C15" s="4"/>
      <c r="D15" s="4"/>
      <c r="E15" s="4"/>
      <c r="F15" s="4"/>
      <c r="G15" s="4"/>
      <c r="H15" s="4"/>
      <c r="I15" s="4"/>
      <c r="J15" s="4"/>
      <c r="K15" s="4"/>
    </row>
    <row r="16" spans="1:11" x14ac:dyDescent="0.3">
      <c r="A16" t="s">
        <v>30</v>
      </c>
      <c r="B16" s="4">
        <f>B13-B7</f>
        <v>508.24</v>
      </c>
      <c r="C16" s="4">
        <f t="shared" ref="C16:K16" si="0">C13-C7</f>
        <v>2582.77</v>
      </c>
      <c r="D16" s="4">
        <f t="shared" si="0"/>
        <v>1493.08</v>
      </c>
      <c r="E16" s="4">
        <f t="shared" si="0"/>
        <v>1493.8600000000001</v>
      </c>
      <c r="F16" s="4">
        <f t="shared" si="0"/>
        <v>5085.82</v>
      </c>
      <c r="G16" s="4">
        <f t="shared" si="0"/>
        <v>4545.08</v>
      </c>
      <c r="H16" s="4">
        <f t="shared" si="0"/>
        <v>3929.28</v>
      </c>
      <c r="I16" s="4">
        <f t="shared" si="0"/>
        <v>4349.84</v>
      </c>
      <c r="J16" s="4">
        <f t="shared" si="0"/>
        <v>4833.09</v>
      </c>
      <c r="K16" s="4">
        <f t="shared" si="0"/>
        <v>4938.3</v>
      </c>
    </row>
    <row r="17" spans="1:11" x14ac:dyDescent="0.3">
      <c r="A17" t="s">
        <v>44</v>
      </c>
      <c r="B17" s="4">
        <f>'Data Sheet'!B67</f>
        <v>8.42</v>
      </c>
      <c r="C17" s="4">
        <f>'Data Sheet'!C67</f>
        <v>21</v>
      </c>
      <c r="D17" s="4">
        <f>'Data Sheet'!D67</f>
        <v>33.520000000000003</v>
      </c>
      <c r="E17" s="4">
        <f>'Data Sheet'!E67</f>
        <v>64.37</v>
      </c>
      <c r="F17" s="4">
        <f>'Data Sheet'!F67</f>
        <v>19.55</v>
      </c>
      <c r="G17" s="4">
        <f>'Data Sheet'!G67</f>
        <v>43.58</v>
      </c>
      <c r="H17" s="4">
        <f>'Data Sheet'!H67</f>
        <v>66.89</v>
      </c>
      <c r="I17" s="4">
        <f>'Data Sheet'!I67</f>
        <v>62.16</v>
      </c>
      <c r="J17" s="4">
        <f>'Data Sheet'!J67</f>
        <v>166.37</v>
      </c>
      <c r="K17" s="4">
        <f>'Data Sheet'!K67</f>
        <v>153.79</v>
      </c>
    </row>
    <row r="18" spans="1:11" x14ac:dyDescent="0.3">
      <c r="A18" t="s">
        <v>45</v>
      </c>
      <c r="B18" s="4">
        <f>'Data Sheet'!B68</f>
        <v>671.69</v>
      </c>
      <c r="C18" s="4">
        <f>'Data Sheet'!C68</f>
        <v>947.9</v>
      </c>
      <c r="D18" s="4">
        <f>'Data Sheet'!D68</f>
        <v>1163.45</v>
      </c>
      <c r="E18" s="4">
        <f>'Data Sheet'!E68</f>
        <v>1608.65</v>
      </c>
      <c r="F18" s="4">
        <f>'Data Sheet'!F68</f>
        <v>1947.4</v>
      </c>
      <c r="G18" s="4">
        <f>'Data Sheet'!G68</f>
        <v>2248.2800000000002</v>
      </c>
      <c r="H18" s="4">
        <f>'Data Sheet'!H68</f>
        <v>2742.66</v>
      </c>
      <c r="I18" s="4">
        <f>'Data Sheet'!I68</f>
        <v>3243.48</v>
      </c>
      <c r="J18" s="4">
        <f>'Data Sheet'!J68</f>
        <v>3927.31</v>
      </c>
      <c r="K18" s="4">
        <f>'Data Sheet'!K68</f>
        <v>5044.37</v>
      </c>
    </row>
    <row r="20" spans="1:11" x14ac:dyDescent="0.3">
      <c r="A20" t="s">
        <v>46</v>
      </c>
      <c r="B20" s="4">
        <f>IF('Profit &amp; Loss'!B4&gt;0,'Balance Sheet'!B17/('Profit &amp; Loss'!B4/365),0)</f>
        <v>0.35803657138596606</v>
      </c>
      <c r="C20" s="4">
        <f>IF('Profit &amp; Loss'!C4&gt;0,'Balance Sheet'!C17/('Profit &amp; Loss'!C4/365),0)</f>
        <v>0.64424216445195293</v>
      </c>
      <c r="D20" s="4">
        <f>IF('Profit &amp; Loss'!D4&gt;0,'Balance Sheet'!D17/('Profit &amp; Loss'!D4/365),0)</f>
        <v>0.81385200755660814</v>
      </c>
      <c r="E20" s="4">
        <f>IF('Profit &amp; Loss'!E4&gt;0,'Balance Sheet'!E17/('Profit &amp; Loss'!E4/365),0)</f>
        <v>1.1744870659231015</v>
      </c>
      <c r="F20" s="4">
        <f>IF('Profit &amp; Loss'!F4&gt;0,'Balance Sheet'!F17/('Profit &amp; Loss'!F4/365),0)</f>
        <v>0.28691968701498177</v>
      </c>
      <c r="G20" s="4">
        <f>IF('Profit &amp; Loss'!G4&gt;0,'Balance Sheet'!G17/('Profit &amp; Loss'!G4/365),0)</f>
        <v>0.65885186053466294</v>
      </c>
      <c r="H20" s="4">
        <f>IF('Profit &amp; Loss'!H4&gt;0,'Balance Sheet'!H17/('Profit &amp; Loss'!H4/365),0)</f>
        <v>0.7881791448744474</v>
      </c>
      <c r="I20" s="4">
        <f>IF('Profit &amp; Loss'!I4&gt;0,'Balance Sheet'!I17/('Profit &amp; Loss'!I4/365),0)</f>
        <v>0.52961328267610597</v>
      </c>
      <c r="J20" s="4">
        <f>IF('Profit &amp; Loss'!J4&gt;0,'Balance Sheet'!J17/('Profit &amp; Loss'!J4/365),0)</f>
        <v>1.1956378991207319</v>
      </c>
      <c r="K20" s="4">
        <f>IF('Profit &amp; Loss'!K4&gt;0,'Balance Sheet'!K17/('Profit &amp; Loss'!K4/365),0)</f>
        <v>0.94567375444442647</v>
      </c>
    </row>
    <row r="21" spans="1:11" x14ac:dyDescent="0.3">
      <c r="A21" t="s">
        <v>47</v>
      </c>
      <c r="B21" s="4">
        <f>IF('Balance Sheet'!B18&gt;0,'Profit &amp; Loss'!B4/'Balance Sheet'!B18,0)</f>
        <v>12.779347615715583</v>
      </c>
      <c r="C21" s="4">
        <f>IF('Balance Sheet'!C18&gt;0,'Profit &amp; Loss'!C4/'Balance Sheet'!C18,0)</f>
        <v>12.551640468403841</v>
      </c>
      <c r="D21" s="4">
        <f>IF('Balance Sheet'!D18&gt;0,'Profit &amp; Loss'!D4/'Balance Sheet'!D18,0)</f>
        <v>12.921225665047919</v>
      </c>
      <c r="E21" s="4">
        <f>IF('Balance Sheet'!E18&gt;0,'Profit &amp; Loss'!E4/'Balance Sheet'!E18,0)</f>
        <v>12.435595064184254</v>
      </c>
      <c r="F21" s="4">
        <f>IF('Balance Sheet'!F18&gt;0,'Profit &amp; Loss'!F4/'Balance Sheet'!F18,0)</f>
        <v>12.770976686864538</v>
      </c>
      <c r="G21" s="4">
        <f>IF('Balance Sheet'!G18&gt;0,'Profit &amp; Loss'!G4/'Balance Sheet'!G18,0)</f>
        <v>10.738457843329122</v>
      </c>
      <c r="H21" s="4">
        <f>IF('Balance Sheet'!H18&gt;0,'Profit &amp; Loss'!H4/'Balance Sheet'!H18,0)</f>
        <v>11.294243544588101</v>
      </c>
      <c r="I21" s="4">
        <f>IF('Balance Sheet'!I18&gt;0,'Profit &amp; Loss'!I4/'Balance Sheet'!I18,0)</f>
        <v>13.2079001566219</v>
      </c>
      <c r="J21" s="4">
        <f>IF('Balance Sheet'!J18&gt;0,'Profit &amp; Loss'!J4/'Balance Sheet'!J18,0)</f>
        <v>12.932218235891744</v>
      </c>
      <c r="K21" s="4">
        <f>IF('Balance Sheet'!K18&gt;0,'Profit &amp; Loss'!K4/'Balance Sheet'!K18,0)</f>
        <v>11.767187973919439</v>
      </c>
    </row>
    <row r="23" spans="1:11" s="2" customFormat="1" x14ac:dyDescent="0.3">
      <c r="A23" s="2" t="s">
        <v>50</v>
      </c>
      <c r="B23" s="10">
        <f>IF(SUM('Balance Sheet'!B4:B5)&gt;0,'Profit &amp; Loss'!B12/SUM('Balance Sheet'!B4:B5),"")</f>
        <v>0.21062324064086713</v>
      </c>
      <c r="C23" s="10">
        <f>IF(SUM('Balance Sheet'!C4:C5)&gt;0,'Profit &amp; Loss'!C12/SUM('Balance Sheet'!C4:C5),"")</f>
        <v>0.12461671412730559</v>
      </c>
      <c r="D23" s="10">
        <f>IF(SUM('Balance Sheet'!D4:D5)&gt;0,'Profit &amp; Loss'!D12/SUM('Balance Sheet'!D4:D5),"")</f>
        <v>0.17268180893329477</v>
      </c>
      <c r="E23" s="10">
        <f>IF(SUM('Balance Sheet'!E4:E5)&gt;0,'Profit &amp; Loss'!E12/SUM('Balance Sheet'!E4:E5),"")</f>
        <v>0.16152985709044376</v>
      </c>
      <c r="F23" s="10">
        <f>IF(SUM('Balance Sheet'!F4:F5)&gt;0,'Profit &amp; Loss'!F12/SUM('Balance Sheet'!F4:F5),"")</f>
        <v>0.11742874832802935</v>
      </c>
      <c r="G23" s="10">
        <f>IF(SUM('Balance Sheet'!G4:G5)&gt;0,'Profit &amp; Loss'!G12/SUM('Balance Sheet'!G4:G5),"")</f>
        <v>9.0242627245724003E-2</v>
      </c>
      <c r="H23" s="10">
        <f>IF(SUM('Balance Sheet'!H4:H5)&gt;0,'Profit &amp; Loss'!H12/SUM('Balance Sheet'!H4:H5),"")</f>
        <v>0.10912335753828875</v>
      </c>
      <c r="I23" s="10">
        <f>IF(SUM('Balance Sheet'!I4:I5)&gt;0,'Profit &amp; Loss'!I12/SUM('Balance Sheet'!I4:I5),"")</f>
        <v>0.14792924801134422</v>
      </c>
      <c r="J23" s="10">
        <f>IF(SUM('Balance Sheet'!J4:J5)&gt;0,'Profit &amp; Loss'!J12/SUM('Balance Sheet'!J4:J5),"")</f>
        <v>0.13563987673429309</v>
      </c>
      <c r="K23" s="10">
        <f>IF(SUM('Balance Sheet'!K4:K5)&gt;0,'Profit &amp; Loss'!K12/SUM('Balance Sheet'!K4:K5),"")</f>
        <v>0.12637911119926265</v>
      </c>
    </row>
    <row r="24" spans="1:11" s="2" customFormat="1" x14ac:dyDescent="0.3">
      <c r="A24" s="2" t="s">
        <v>51</v>
      </c>
      <c r="B24" s="10"/>
      <c r="C24" s="10">
        <f>IF((B4+B5+B6+C4+C5+C6)&gt;0,('Profit &amp; Loss'!C10+'Profit &amp; Loss'!C9)*2/(B4+B5+B6+C4+C5+C6),"")</f>
        <v>0.2158651147309697</v>
      </c>
      <c r="D24" s="10">
        <f>IF((C4+C5+C6+D4+D5+D6)&gt;0,('Profit &amp; Loss'!D10+'Profit &amp; Loss'!D9)*2/(C4+C5+C6+D4+D5+D6),"")</f>
        <v>0.24534525336447344</v>
      </c>
      <c r="E24" s="10">
        <f>IF((D4+D5+D6+E4+E5+E6)&gt;0,('Profit &amp; Loss'!E10+'Profit &amp; Loss'!E9)*2/(D4+D5+D6+E4+E5+E6),"")</f>
        <v>0.25783834536982603</v>
      </c>
      <c r="F24" s="10">
        <f>IF((E4+E5+E6+F4+F5+F6)&gt;0,('Profit &amp; Loss'!F10+'Profit &amp; Loss'!F9)*2/(E4+E5+E6+F4+F5+F6),"")</f>
        <v>0.2049531850176238</v>
      </c>
      <c r="G24" s="10">
        <f>IF((F4+F5+F6+G4+G5+G6)&gt;0,('Profit &amp; Loss'!G10+'Profit &amp; Loss'!G9)*2/(F4+F5+F6+G4+G5+G6),"")</f>
        <v>0.12714808863099669</v>
      </c>
      <c r="H24" s="10">
        <f>IF((G4+G5+G6+H4+H5+H6)&gt;0,('Profit &amp; Loss'!H10+'Profit &amp; Loss'!H9)*2/(G4+G5+G6+H4+H5+H6),"")</f>
        <v>0.15745957399353183</v>
      </c>
      <c r="I24" s="10">
        <f>IF((H4+H5+H6+I4+I5+I6)&gt;0,('Profit &amp; Loss'!I10+'Profit &amp; Loss'!I9)*2/(H4+H5+H6+I4+I5+I6),"")</f>
        <v>0.20147354302901541</v>
      </c>
      <c r="J24" s="10">
        <f>IF((I4+I5+I6+J4+J5+J6)&gt;0,('Profit &amp; Loss'!J10+'Profit &amp; Loss'!J9)*2/(I4+I5+I6+J4+J5+J6),"")</f>
        <v>0.19546224750539129</v>
      </c>
      <c r="K24" s="10">
        <f>IF((J4+J5+J6+K4+K5+K6)&gt;0,('Profit &amp; Loss'!K10+'Profit &amp; Loss'!K9)*2/(J4+J5+J6+K4+K5+K6),"")</f>
        <v>0.1801809696574288</v>
      </c>
    </row>
  </sheetData>
  <hyperlinks>
    <hyperlink ref="J1" r:id="rId1" xr:uid="{00000000-0004-0000-0200-000000000000}"/>
  </hyperlinks>
  <printOptions gridLines="1"/>
  <pageMargins left="0.7" right="0.7" top="0.75" bottom="0.75" header="0.3" footer="0.3"/>
  <pageSetup paperSize="9" orientation="landscape" horizontalDpi="0" verticalDpi="0"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3">
    <pageSetUpPr fitToPage="1"/>
  </sheetPr>
  <dimension ref="A1:K24"/>
  <sheetViews>
    <sheetView zoomScaleNormal="150" zoomScalePageLayoutView="150" workbookViewId="0">
      <pane xSplit="1" ySplit="3" topLeftCell="B4" activePane="bottomRight" state="frozen"/>
      <selection activeCell="K13" sqref="K13"/>
      <selection pane="topRight" activeCell="K13" sqref="K13"/>
      <selection pane="bottomLeft" activeCell="K13" sqref="K13"/>
      <selection pane="bottomRight" activeCell="B13" sqref="B13"/>
    </sheetView>
  </sheetViews>
  <sheetFormatPr defaultColWidth="8.77734375" defaultRowHeight="14.4" x14ac:dyDescent="0.3"/>
  <cols>
    <col min="1" max="1" width="26.77734375" bestFit="1" customWidth="1"/>
    <col min="2" max="6" width="13.44140625" customWidth="1"/>
    <col min="7" max="11" width="13.44140625" bestFit="1" customWidth="1"/>
  </cols>
  <sheetData>
    <row r="1" spans="1:11" s="2" customFormat="1" x14ac:dyDescent="0.3">
      <c r="A1" s="2" t="str">
        <f>'Balance Sheet'!A1</f>
        <v>AVENUE SUPERMARTS LTD</v>
      </c>
      <c r="E1" t="str">
        <f>UPDATE</f>
        <v/>
      </c>
      <c r="F1"/>
      <c r="J1" s="2" t="s">
        <v>1</v>
      </c>
    </row>
    <row r="3" spans="1:11" s="2" customFormat="1" x14ac:dyDescent="0.3">
      <c r="A3" s="11" t="s">
        <v>2</v>
      </c>
      <c r="B3" s="12">
        <f>'Data Sheet'!B81</f>
        <v>42460</v>
      </c>
      <c r="C3" s="12">
        <f>'Data Sheet'!C81</f>
        <v>42825</v>
      </c>
      <c r="D3" s="12">
        <f>'Data Sheet'!D81</f>
        <v>43190</v>
      </c>
      <c r="E3" s="12">
        <f>'Data Sheet'!E81</f>
        <v>43555</v>
      </c>
      <c r="F3" s="12">
        <f>'Data Sheet'!F81</f>
        <v>43921</v>
      </c>
      <c r="G3" s="12">
        <f>'Data Sheet'!G81</f>
        <v>44286</v>
      </c>
      <c r="H3" s="12">
        <f>'Data Sheet'!H81</f>
        <v>44651</v>
      </c>
      <c r="I3" s="12">
        <f>'Data Sheet'!I81</f>
        <v>45016</v>
      </c>
      <c r="J3" s="12">
        <f>'Data Sheet'!J81</f>
        <v>45382</v>
      </c>
      <c r="K3" s="12">
        <f>'Data Sheet'!K81</f>
        <v>45747</v>
      </c>
    </row>
    <row r="4" spans="1:11" s="2" customFormat="1" x14ac:dyDescent="0.3">
      <c r="A4" s="2" t="s">
        <v>32</v>
      </c>
      <c r="B4" s="1">
        <f>'Data Sheet'!B82</f>
        <v>433.47</v>
      </c>
      <c r="C4" s="1">
        <f>'Data Sheet'!C82</f>
        <v>455.28</v>
      </c>
      <c r="D4" s="1">
        <f>'Data Sheet'!D82</f>
        <v>729.99</v>
      </c>
      <c r="E4" s="1">
        <f>'Data Sheet'!E82</f>
        <v>806.84</v>
      </c>
      <c r="F4" s="1">
        <f>'Data Sheet'!F82</f>
        <v>1280.1400000000001</v>
      </c>
      <c r="G4" s="1">
        <f>'Data Sheet'!G82</f>
        <v>1375.14</v>
      </c>
      <c r="H4" s="1">
        <f>'Data Sheet'!H82</f>
        <v>1372.35</v>
      </c>
      <c r="I4" s="1">
        <f>'Data Sheet'!I82</f>
        <v>2630.27</v>
      </c>
      <c r="J4" s="1">
        <f>'Data Sheet'!J82</f>
        <v>2745.84</v>
      </c>
      <c r="K4" s="1">
        <f>'Data Sheet'!K82</f>
        <v>2462.9699999999998</v>
      </c>
    </row>
    <row r="5" spans="1:11" x14ac:dyDescent="0.3">
      <c r="A5" t="s">
        <v>33</v>
      </c>
      <c r="B5" s="6">
        <f>'Data Sheet'!B83</f>
        <v>-632.89</v>
      </c>
      <c r="C5" s="6">
        <f>'Data Sheet'!C83</f>
        <v>-2481.61</v>
      </c>
      <c r="D5" s="6">
        <f>'Data Sheet'!D83</f>
        <v>463.55</v>
      </c>
      <c r="E5" s="6">
        <f>'Data Sheet'!E83</f>
        <v>-958.37</v>
      </c>
      <c r="F5" s="6">
        <f>'Data Sheet'!F83</f>
        <v>-4656.5600000000004</v>
      </c>
      <c r="G5" s="6">
        <f>'Data Sheet'!G83</f>
        <v>-1110</v>
      </c>
      <c r="H5" s="6">
        <f>'Data Sheet'!H83</f>
        <v>-1289.49</v>
      </c>
      <c r="I5" s="6">
        <f>'Data Sheet'!I83</f>
        <v>-2313.1</v>
      </c>
      <c r="J5" s="6">
        <f>'Data Sheet'!J83</f>
        <v>-2468.23</v>
      </c>
      <c r="K5" s="6">
        <f>'Data Sheet'!K83</f>
        <v>-2185.31</v>
      </c>
    </row>
    <row r="6" spans="1:11" x14ac:dyDescent="0.3">
      <c r="A6" t="s">
        <v>34</v>
      </c>
      <c r="B6" s="6">
        <f>'Data Sheet'!B84</f>
        <v>196.44</v>
      </c>
      <c r="C6" s="6">
        <f>'Data Sheet'!C84</f>
        <v>2025.26</v>
      </c>
      <c r="D6" s="6">
        <f>'Data Sheet'!D84</f>
        <v>-1159.06</v>
      </c>
      <c r="E6" s="6">
        <f>'Data Sheet'!E84</f>
        <v>208.98</v>
      </c>
      <c r="F6" s="6">
        <f>'Data Sheet'!F84</f>
        <v>3357.42</v>
      </c>
      <c r="G6" s="6">
        <f>'Data Sheet'!G84</f>
        <v>-179.5</v>
      </c>
      <c r="H6" s="6">
        <f>'Data Sheet'!H84</f>
        <v>-179.24</v>
      </c>
      <c r="I6" s="6">
        <f>'Data Sheet'!I84</f>
        <v>-205.14</v>
      </c>
      <c r="J6" s="6">
        <f>'Data Sheet'!J84</f>
        <v>-147.63999999999999</v>
      </c>
      <c r="K6" s="6">
        <f>'Data Sheet'!K84</f>
        <v>-259.3</v>
      </c>
    </row>
    <row r="7" spans="1:11" s="2" customFormat="1" x14ac:dyDescent="0.3">
      <c r="A7" s="2" t="s">
        <v>35</v>
      </c>
      <c r="B7" s="1">
        <f>'Data Sheet'!B85</f>
        <v>-2.98</v>
      </c>
      <c r="C7" s="1">
        <f>'Data Sheet'!C85</f>
        <v>-1.07</v>
      </c>
      <c r="D7" s="1">
        <f>'Data Sheet'!D85</f>
        <v>34.479999999999997</v>
      </c>
      <c r="E7" s="1">
        <f>'Data Sheet'!E85</f>
        <v>57.45</v>
      </c>
      <c r="F7" s="1">
        <f>'Data Sheet'!F85</f>
        <v>-19</v>
      </c>
      <c r="G7" s="1">
        <f>'Data Sheet'!G85</f>
        <v>85.64</v>
      </c>
      <c r="H7" s="1">
        <f>'Data Sheet'!H85</f>
        <v>-96.38</v>
      </c>
      <c r="I7" s="1">
        <f>'Data Sheet'!I85</f>
        <v>112.03</v>
      </c>
      <c r="J7" s="1">
        <f>'Data Sheet'!J85</f>
        <v>129.97</v>
      </c>
      <c r="K7" s="1">
        <f>'Data Sheet'!K85</f>
        <v>18.36</v>
      </c>
    </row>
    <row r="8" spans="1:11" x14ac:dyDescent="0.3">
      <c r="B8" s="6"/>
      <c r="C8" s="6"/>
      <c r="D8" s="6"/>
      <c r="E8" s="6"/>
      <c r="F8" s="6"/>
      <c r="G8" s="6"/>
      <c r="H8" s="6"/>
      <c r="I8" s="6"/>
      <c r="J8" s="6"/>
      <c r="K8" s="6"/>
    </row>
    <row r="24" customFormat="1" x14ac:dyDescent="0.3"/>
  </sheetData>
  <hyperlinks>
    <hyperlink ref="J1" r:id="rId1" xr:uid="{00000000-0004-0000-0300-000000000000}"/>
  </hyperlinks>
  <printOptions gridLines="1"/>
  <pageMargins left="0.7" right="0.7" top="0.75" bottom="0.75" header="0.3" footer="0.3"/>
  <pageSetup paperSize="9" orientation="landscape" horizontalDpi="0" verticalDpi="0"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K93"/>
  <sheetViews>
    <sheetView zoomScale="103" zoomScaleNormal="120" zoomScalePageLayoutView="120" workbookViewId="0">
      <pane xSplit="1" ySplit="1" topLeftCell="B23" activePane="bottomRight" state="frozen"/>
      <selection activeCell="K13" sqref="K13"/>
      <selection pane="topRight" activeCell="K13" sqref="K13"/>
      <selection pane="bottomLeft" activeCell="K13" sqref="K13"/>
      <selection pane="bottomRight" activeCell="H42" sqref="H42:K42"/>
    </sheetView>
  </sheetViews>
  <sheetFormatPr defaultColWidth="8.77734375" defaultRowHeight="14.4" x14ac:dyDescent="0.3"/>
  <cols>
    <col min="1" max="1" width="27.6640625" style="4" bestFit="1" customWidth="1"/>
    <col min="2" max="11" width="13.44140625" style="4" bestFit="1" customWidth="1"/>
    <col min="12" max="16384" width="8.77734375" style="4"/>
  </cols>
  <sheetData>
    <row r="1" spans="1:11" s="1" customFormat="1" x14ac:dyDescent="0.3">
      <c r="A1" s="1" t="s">
        <v>0</v>
      </c>
      <c r="B1" s="1" t="s">
        <v>54</v>
      </c>
      <c r="E1" s="267" t="str">
        <f>IF(B2&lt;&gt;B3, "A NEW VERSION OF THE WORKSHEET IS AVAILABLE", "")</f>
        <v/>
      </c>
      <c r="F1" s="267"/>
      <c r="G1" s="267"/>
      <c r="H1" s="267"/>
      <c r="I1" s="267"/>
      <c r="J1" s="267"/>
      <c r="K1" s="267"/>
    </row>
    <row r="2" spans="1:11" x14ac:dyDescent="0.3">
      <c r="A2" s="1" t="s">
        <v>52</v>
      </c>
      <c r="B2" s="4">
        <v>2.1</v>
      </c>
      <c r="E2" s="268" t="s">
        <v>36</v>
      </c>
      <c r="F2" s="268"/>
      <c r="G2" s="268"/>
      <c r="H2" s="268"/>
      <c r="I2" s="268"/>
      <c r="J2" s="268"/>
      <c r="K2" s="268"/>
    </row>
    <row r="3" spans="1:11" x14ac:dyDescent="0.3">
      <c r="A3" s="1" t="s">
        <v>53</v>
      </c>
      <c r="B3" s="4">
        <v>2.1</v>
      </c>
    </row>
    <row r="4" spans="1:11" x14ac:dyDescent="0.3">
      <c r="A4" s="1"/>
    </row>
    <row r="5" spans="1:11" x14ac:dyDescent="0.3">
      <c r="A5" s="1" t="s">
        <v>55</v>
      </c>
    </row>
    <row r="6" spans="1:11" x14ac:dyDescent="0.3">
      <c r="A6" s="4" t="s">
        <v>42</v>
      </c>
      <c r="B6" s="4">
        <f>IF(B9&gt;0, B9/B8, 0)</f>
        <v>65.073307787618745</v>
      </c>
    </row>
    <row r="7" spans="1:11" x14ac:dyDescent="0.3">
      <c r="A7" s="4" t="s">
        <v>31</v>
      </c>
      <c r="B7">
        <v>10</v>
      </c>
    </row>
    <row r="8" spans="1:11" x14ac:dyDescent="0.3">
      <c r="A8" s="4" t="s">
        <v>43</v>
      </c>
      <c r="B8">
        <v>4358.2</v>
      </c>
    </row>
    <row r="9" spans="1:11" x14ac:dyDescent="0.3">
      <c r="A9" s="4" t="s">
        <v>70</v>
      </c>
      <c r="B9">
        <v>283602.49</v>
      </c>
    </row>
    <row r="13" spans="1:11" x14ac:dyDescent="0.3">
      <c r="K13" s="21"/>
    </row>
    <row r="15" spans="1:11" x14ac:dyDescent="0.3">
      <c r="A15" s="1" t="s">
        <v>37</v>
      </c>
    </row>
    <row r="16" spans="1:11" s="18" customFormat="1" x14ac:dyDescent="0.3">
      <c r="A16" s="17" t="s">
        <v>38</v>
      </c>
      <c r="B16" s="12">
        <v>42460</v>
      </c>
      <c r="C16" s="12">
        <v>42825</v>
      </c>
      <c r="D16" s="12">
        <v>43190</v>
      </c>
      <c r="E16" s="12">
        <v>43555</v>
      </c>
      <c r="F16" s="12">
        <v>43921</v>
      </c>
      <c r="G16" s="12">
        <v>44286</v>
      </c>
      <c r="H16" s="12">
        <v>44651</v>
      </c>
      <c r="I16" s="12">
        <v>45016</v>
      </c>
      <c r="J16" s="12">
        <v>45382</v>
      </c>
      <c r="K16" s="12">
        <v>45747</v>
      </c>
    </row>
    <row r="17" spans="1:11" s="6" customFormat="1" x14ac:dyDescent="0.3">
      <c r="A17" s="6" t="s">
        <v>6</v>
      </c>
      <c r="B17">
        <v>8583.76</v>
      </c>
      <c r="C17">
        <v>11897.7</v>
      </c>
      <c r="D17">
        <v>15033.2</v>
      </c>
      <c r="E17">
        <v>20004.52</v>
      </c>
      <c r="F17">
        <v>24870.2</v>
      </c>
      <c r="G17">
        <v>24143.06</v>
      </c>
      <c r="H17">
        <v>30976.27</v>
      </c>
      <c r="I17">
        <v>42839.56</v>
      </c>
      <c r="J17">
        <v>50788.83</v>
      </c>
      <c r="K17">
        <v>59358.05</v>
      </c>
    </row>
    <row r="18" spans="1:11" s="6" customFormat="1" x14ac:dyDescent="0.3">
      <c r="A18" s="4" t="s">
        <v>71</v>
      </c>
      <c r="B18">
        <v>7435.62</v>
      </c>
      <c r="C18">
        <v>10357.25</v>
      </c>
      <c r="D18">
        <v>12846.95</v>
      </c>
      <c r="E18">
        <v>17445.490000000002</v>
      </c>
      <c r="F18">
        <v>21441.68</v>
      </c>
      <c r="G18">
        <v>20855.560000000001</v>
      </c>
      <c r="H18">
        <v>26891.77</v>
      </c>
      <c r="I18">
        <v>36884.769999999997</v>
      </c>
      <c r="J18">
        <v>43958.31</v>
      </c>
      <c r="K18">
        <v>51668.76</v>
      </c>
    </row>
    <row r="19" spans="1:11" s="6" customFormat="1" x14ac:dyDescent="0.3">
      <c r="A19" s="4" t="s">
        <v>72</v>
      </c>
      <c r="B19">
        <v>132.08000000000001</v>
      </c>
      <c r="C19">
        <v>276.22000000000003</v>
      </c>
      <c r="D19">
        <v>211.31</v>
      </c>
      <c r="E19">
        <v>444.65</v>
      </c>
      <c r="F19">
        <v>338.75</v>
      </c>
      <c r="G19">
        <v>300.88</v>
      </c>
      <c r="H19">
        <v>494.38</v>
      </c>
      <c r="I19">
        <v>500.82</v>
      </c>
      <c r="J19">
        <v>683.77</v>
      </c>
      <c r="K19">
        <v>1117.06</v>
      </c>
    </row>
    <row r="20" spans="1:11" s="6" customFormat="1" x14ac:dyDescent="0.3">
      <c r="A20" s="4" t="s">
        <v>73</v>
      </c>
      <c r="B20">
        <v>79.239999999999995</v>
      </c>
      <c r="C20">
        <v>99.41</v>
      </c>
      <c r="D20">
        <v>121.26</v>
      </c>
      <c r="E20">
        <v>152.80000000000001</v>
      </c>
      <c r="F20">
        <v>188.24</v>
      </c>
      <c r="G20">
        <v>174.2</v>
      </c>
      <c r="H20">
        <v>207.86</v>
      </c>
      <c r="I20">
        <v>314.62</v>
      </c>
      <c r="J20">
        <v>376.59</v>
      </c>
      <c r="K20">
        <v>447.75</v>
      </c>
    </row>
    <row r="21" spans="1:11" s="6" customFormat="1" x14ac:dyDescent="0.3">
      <c r="A21" s="4" t="s">
        <v>74</v>
      </c>
      <c r="B21">
        <v>241.36</v>
      </c>
      <c r="C21">
        <v>332.9</v>
      </c>
      <c r="D21">
        <v>373.72</v>
      </c>
      <c r="E21">
        <v>499.72</v>
      </c>
      <c r="F21">
        <v>645.96</v>
      </c>
      <c r="G21">
        <v>746.43</v>
      </c>
      <c r="H21">
        <v>805.85</v>
      </c>
      <c r="I21">
        <v>1116.56</v>
      </c>
      <c r="J21">
        <v>1323.43</v>
      </c>
      <c r="K21">
        <v>1751.85</v>
      </c>
    </row>
    <row r="22" spans="1:11" s="6" customFormat="1" x14ac:dyDescent="0.3">
      <c r="A22" s="4" t="s">
        <v>75</v>
      </c>
      <c r="B22">
        <v>149.04</v>
      </c>
      <c r="C22">
        <v>192.67</v>
      </c>
      <c r="D22">
        <v>283.14</v>
      </c>
      <c r="E22">
        <v>356.17</v>
      </c>
      <c r="F22">
        <v>457.14</v>
      </c>
      <c r="G22">
        <v>537.58000000000004</v>
      </c>
      <c r="H22">
        <v>617.36</v>
      </c>
      <c r="I22">
        <v>748.16</v>
      </c>
      <c r="J22">
        <v>907.82</v>
      </c>
      <c r="K22">
        <v>1167.47</v>
      </c>
    </row>
    <row r="23" spans="1:11" s="6" customFormat="1" x14ac:dyDescent="0.3">
      <c r="A23" s="4" t="s">
        <v>76</v>
      </c>
      <c r="B23">
        <v>647.37</v>
      </c>
      <c r="C23">
        <v>71.239999999999995</v>
      </c>
      <c r="D23">
        <v>96</v>
      </c>
      <c r="E23">
        <v>135.84</v>
      </c>
      <c r="F23">
        <v>119.23</v>
      </c>
      <c r="G23">
        <v>108.69</v>
      </c>
      <c r="H23">
        <v>143.41</v>
      </c>
      <c r="I23">
        <v>212.04</v>
      </c>
      <c r="J23">
        <v>274.43</v>
      </c>
      <c r="K23">
        <v>312.48</v>
      </c>
    </row>
    <row r="24" spans="1:11" s="6" customFormat="1" x14ac:dyDescent="0.3">
      <c r="A24" s="4" t="s">
        <v>77</v>
      </c>
      <c r="B24">
        <v>-501.25</v>
      </c>
      <c r="C24">
        <v>151.27000000000001</v>
      </c>
      <c r="D24">
        <v>170.58</v>
      </c>
      <c r="E24">
        <v>225.84</v>
      </c>
      <c r="F24">
        <v>228.39</v>
      </c>
      <c r="G24">
        <v>276.64999999999998</v>
      </c>
      <c r="H24">
        <v>302.05</v>
      </c>
      <c r="I24">
        <v>425.46</v>
      </c>
      <c r="J24">
        <v>526.38</v>
      </c>
      <c r="K24">
        <v>632.29</v>
      </c>
    </row>
    <row r="25" spans="1:11" s="6" customFormat="1" x14ac:dyDescent="0.3">
      <c r="A25" s="6" t="s">
        <v>9</v>
      </c>
      <c r="B25">
        <v>17.02</v>
      </c>
      <c r="C25">
        <v>27.7</v>
      </c>
      <c r="D25">
        <v>87.75</v>
      </c>
      <c r="E25">
        <v>48.33</v>
      </c>
      <c r="F25">
        <v>59.99</v>
      </c>
      <c r="G25">
        <v>194.43</v>
      </c>
      <c r="H25">
        <v>113.64</v>
      </c>
      <c r="I25">
        <v>127.6</v>
      </c>
      <c r="J25">
        <v>144.58000000000001</v>
      </c>
      <c r="K25">
        <v>117.13</v>
      </c>
    </row>
    <row r="26" spans="1:11" s="6" customFormat="1" x14ac:dyDescent="0.3">
      <c r="A26" s="6" t="s">
        <v>10</v>
      </c>
      <c r="B26">
        <v>98.43</v>
      </c>
      <c r="C26">
        <v>127.82</v>
      </c>
      <c r="D26">
        <v>159</v>
      </c>
      <c r="E26">
        <v>212.49</v>
      </c>
      <c r="F26">
        <v>374.41</v>
      </c>
      <c r="G26">
        <v>414.16</v>
      </c>
      <c r="H26">
        <v>498.08</v>
      </c>
      <c r="I26">
        <v>638.87</v>
      </c>
      <c r="J26">
        <v>730.76</v>
      </c>
      <c r="K26">
        <v>869.52</v>
      </c>
    </row>
    <row r="27" spans="1:11" s="6" customFormat="1" x14ac:dyDescent="0.3">
      <c r="A27" s="6" t="s">
        <v>11</v>
      </c>
      <c r="B27">
        <v>91.34</v>
      </c>
      <c r="C27">
        <v>121.98</v>
      </c>
      <c r="D27">
        <v>59.54</v>
      </c>
      <c r="E27">
        <v>47.21</v>
      </c>
      <c r="F27">
        <v>69.12</v>
      </c>
      <c r="G27">
        <v>41.65</v>
      </c>
      <c r="H27">
        <v>53.79</v>
      </c>
      <c r="I27">
        <v>67.41</v>
      </c>
      <c r="J27">
        <v>58.13</v>
      </c>
      <c r="K27">
        <v>69.45</v>
      </c>
    </row>
    <row r="28" spans="1:11" s="6" customFormat="1" x14ac:dyDescent="0.3">
      <c r="A28" s="6" t="s">
        <v>12</v>
      </c>
      <c r="B28">
        <v>491.71</v>
      </c>
      <c r="C28">
        <v>747.08</v>
      </c>
      <c r="D28">
        <v>1222.07</v>
      </c>
      <c r="E28">
        <v>1421.94</v>
      </c>
      <c r="F28">
        <v>1744.77</v>
      </c>
      <c r="G28">
        <v>1483.45</v>
      </c>
      <c r="H28">
        <v>2064.12</v>
      </c>
      <c r="I28">
        <v>3060.09</v>
      </c>
      <c r="J28">
        <v>3461.33</v>
      </c>
      <c r="K28">
        <v>3672.67</v>
      </c>
    </row>
    <row r="29" spans="1:11" s="6" customFormat="1" x14ac:dyDescent="0.3">
      <c r="A29" s="6" t="s">
        <v>13</v>
      </c>
      <c r="B29">
        <v>171.47</v>
      </c>
      <c r="C29">
        <v>268.27999999999997</v>
      </c>
      <c r="D29">
        <v>415.79</v>
      </c>
      <c r="E29">
        <v>519.48</v>
      </c>
      <c r="F29">
        <v>443.79</v>
      </c>
      <c r="G29">
        <v>384.02</v>
      </c>
      <c r="H29">
        <v>571.72</v>
      </c>
      <c r="I29">
        <v>681.75</v>
      </c>
      <c r="J29">
        <v>925.72</v>
      </c>
      <c r="K29">
        <v>965.22</v>
      </c>
    </row>
    <row r="30" spans="1:11" s="6" customFormat="1" x14ac:dyDescent="0.3">
      <c r="A30" s="6" t="s">
        <v>14</v>
      </c>
      <c r="B30">
        <v>320.24</v>
      </c>
      <c r="C30">
        <v>478.75</v>
      </c>
      <c r="D30">
        <v>806.26</v>
      </c>
      <c r="E30">
        <v>902.54</v>
      </c>
      <c r="F30">
        <v>1301.08</v>
      </c>
      <c r="G30">
        <v>1099.49</v>
      </c>
      <c r="H30">
        <v>1492.55</v>
      </c>
      <c r="I30">
        <v>2378.5100000000002</v>
      </c>
      <c r="J30">
        <v>2536.17</v>
      </c>
      <c r="K30">
        <v>2708.02</v>
      </c>
    </row>
    <row r="31" spans="1:11" s="6" customFormat="1" x14ac:dyDescent="0.3">
      <c r="A31" s="6" t="s">
        <v>61</v>
      </c>
      <c r="B31"/>
      <c r="I31"/>
      <c r="J31"/>
      <c r="K31"/>
    </row>
    <row r="32" spans="1:11" s="6" customFormat="1" x14ac:dyDescent="0.3">
      <c r="A32" s="6" t="s">
        <v>293</v>
      </c>
      <c r="B32" s="6">
        <f>B30+B27+B29+B26</f>
        <v>681.48</v>
      </c>
      <c r="C32" s="6">
        <f t="shared" ref="C32:K32" si="0">C30+C27+C29+C26</f>
        <v>996.82999999999993</v>
      </c>
      <c r="D32" s="6">
        <f t="shared" si="0"/>
        <v>1440.59</v>
      </c>
      <c r="E32" s="6">
        <f t="shared" si="0"/>
        <v>1681.72</v>
      </c>
      <c r="F32" s="6">
        <f t="shared" si="0"/>
        <v>2188.3999999999996</v>
      </c>
      <c r="G32" s="6">
        <f t="shared" si="0"/>
        <v>1939.3200000000002</v>
      </c>
      <c r="H32" s="6">
        <f t="shared" si="0"/>
        <v>2616.14</v>
      </c>
      <c r="I32" s="6">
        <f t="shared" si="0"/>
        <v>3766.54</v>
      </c>
      <c r="J32" s="6">
        <f t="shared" si="0"/>
        <v>4250.7800000000007</v>
      </c>
      <c r="K32" s="6">
        <f t="shared" si="0"/>
        <v>4612.2099999999991</v>
      </c>
    </row>
    <row r="33" spans="1:11" x14ac:dyDescent="0.3">
      <c r="A33" s="6"/>
    </row>
    <row r="34" spans="1:11" x14ac:dyDescent="0.3">
      <c r="A34" s="6"/>
    </row>
    <row r="35" spans="1:11" x14ac:dyDescent="0.3">
      <c r="A35" s="6"/>
    </row>
    <row r="36" spans="1:11" x14ac:dyDescent="0.3">
      <c r="A36" s="6"/>
    </row>
    <row r="37" spans="1:11" x14ac:dyDescent="0.3">
      <c r="A37" s="6"/>
    </row>
    <row r="38" spans="1:11" x14ac:dyDescent="0.3">
      <c r="A38" s="6"/>
    </row>
    <row r="39" spans="1:11" x14ac:dyDescent="0.3">
      <c r="A39" s="6"/>
    </row>
    <row r="40" spans="1:11" x14ac:dyDescent="0.3">
      <c r="A40" s="1" t="s">
        <v>39</v>
      </c>
    </row>
    <row r="41" spans="1:11" s="18" customFormat="1" x14ac:dyDescent="0.3">
      <c r="A41" s="17" t="s">
        <v>38</v>
      </c>
      <c r="B41" s="12">
        <v>45016</v>
      </c>
      <c r="C41" s="12">
        <v>45107</v>
      </c>
      <c r="D41" s="12">
        <v>45199</v>
      </c>
      <c r="E41" s="12">
        <v>45291</v>
      </c>
      <c r="F41" s="12">
        <v>45382</v>
      </c>
      <c r="G41" s="12">
        <v>45473</v>
      </c>
      <c r="H41" s="12">
        <v>45565</v>
      </c>
      <c r="I41" s="12">
        <v>45657</v>
      </c>
      <c r="J41" s="12">
        <v>45747</v>
      </c>
      <c r="K41" s="12">
        <v>45838</v>
      </c>
    </row>
    <row r="42" spans="1:11" s="6" customFormat="1" x14ac:dyDescent="0.3">
      <c r="A42" s="6" t="s">
        <v>6</v>
      </c>
      <c r="B42">
        <v>10594.11</v>
      </c>
      <c r="C42">
        <v>11865.44</v>
      </c>
      <c r="D42">
        <v>12624.37</v>
      </c>
      <c r="E42">
        <v>13572.47</v>
      </c>
      <c r="F42">
        <v>12726.55</v>
      </c>
      <c r="G42">
        <v>14069.14</v>
      </c>
      <c r="H42">
        <v>14444.5</v>
      </c>
      <c r="I42">
        <v>15972.55</v>
      </c>
      <c r="J42">
        <v>14871.86</v>
      </c>
      <c r="K42">
        <v>16359.7</v>
      </c>
    </row>
    <row r="43" spans="1:11" s="6" customFormat="1" x14ac:dyDescent="0.3">
      <c r="A43" s="6" t="s">
        <v>7</v>
      </c>
      <c r="B43">
        <v>9822.6</v>
      </c>
      <c r="C43">
        <v>10830.17</v>
      </c>
      <c r="D43">
        <v>11619.4</v>
      </c>
      <c r="E43">
        <v>12452.58</v>
      </c>
      <c r="F43">
        <v>11782.91</v>
      </c>
      <c r="G43">
        <v>12847.89</v>
      </c>
      <c r="H43">
        <v>13350.73</v>
      </c>
      <c r="I43">
        <v>14755.31</v>
      </c>
      <c r="J43">
        <v>13916.79</v>
      </c>
      <c r="K43">
        <v>15060.66</v>
      </c>
    </row>
    <row r="44" spans="1:11" s="6" customFormat="1" x14ac:dyDescent="0.3">
      <c r="A44" s="6" t="s">
        <v>9</v>
      </c>
      <c r="B44">
        <v>33.07</v>
      </c>
      <c r="C44">
        <v>38.74</v>
      </c>
      <c r="D44">
        <v>36.92</v>
      </c>
      <c r="E44">
        <v>32.92</v>
      </c>
      <c r="F44">
        <v>37.869999999999997</v>
      </c>
      <c r="G44">
        <v>41.6</v>
      </c>
      <c r="H44">
        <v>33.520000000000003</v>
      </c>
      <c r="I44">
        <v>24.14</v>
      </c>
      <c r="J44">
        <v>25.05</v>
      </c>
      <c r="K44">
        <v>19.43</v>
      </c>
    </row>
    <row r="45" spans="1:11" s="6" customFormat="1" x14ac:dyDescent="0.3">
      <c r="A45" s="6" t="s">
        <v>10</v>
      </c>
      <c r="B45">
        <v>164.08</v>
      </c>
      <c r="C45">
        <v>162.18</v>
      </c>
      <c r="D45">
        <v>174.36</v>
      </c>
      <c r="E45">
        <v>189.33</v>
      </c>
      <c r="F45">
        <v>204.89</v>
      </c>
      <c r="G45">
        <v>192.76</v>
      </c>
      <c r="H45">
        <v>207.78</v>
      </c>
      <c r="I45">
        <v>228.12</v>
      </c>
      <c r="J45">
        <v>240.86</v>
      </c>
      <c r="K45">
        <v>231.7</v>
      </c>
    </row>
    <row r="46" spans="1:11" s="6" customFormat="1" x14ac:dyDescent="0.3">
      <c r="A46" s="6" t="s">
        <v>11</v>
      </c>
      <c r="B46">
        <v>15.53</v>
      </c>
      <c r="C46">
        <v>14.57</v>
      </c>
      <c r="D46">
        <v>15.59</v>
      </c>
      <c r="E46">
        <v>14.55</v>
      </c>
      <c r="F46">
        <v>13.42</v>
      </c>
      <c r="G46">
        <v>15.96</v>
      </c>
      <c r="H46">
        <v>16.32</v>
      </c>
      <c r="I46">
        <v>18.21</v>
      </c>
      <c r="J46">
        <v>18.96</v>
      </c>
      <c r="K46">
        <v>29.3</v>
      </c>
    </row>
    <row r="47" spans="1:11" s="6" customFormat="1" x14ac:dyDescent="0.3">
      <c r="A47" s="6" t="s">
        <v>12</v>
      </c>
      <c r="B47">
        <v>624.97</v>
      </c>
      <c r="C47">
        <v>897.26</v>
      </c>
      <c r="D47">
        <v>851.94</v>
      </c>
      <c r="E47">
        <v>948.93</v>
      </c>
      <c r="F47">
        <v>763.2</v>
      </c>
      <c r="G47">
        <v>1054.1300000000001</v>
      </c>
      <c r="H47">
        <v>903.19</v>
      </c>
      <c r="I47">
        <v>995.05</v>
      </c>
      <c r="J47">
        <v>720.3</v>
      </c>
      <c r="K47">
        <v>1057.47</v>
      </c>
    </row>
    <row r="48" spans="1:11" s="6" customFormat="1" x14ac:dyDescent="0.3">
      <c r="A48" s="6" t="s">
        <v>13</v>
      </c>
      <c r="B48">
        <v>164.87</v>
      </c>
      <c r="C48">
        <v>238.55</v>
      </c>
      <c r="D48">
        <v>228.59</v>
      </c>
      <c r="E48">
        <v>258.52</v>
      </c>
      <c r="F48">
        <v>200.06</v>
      </c>
      <c r="G48">
        <v>280.45</v>
      </c>
      <c r="H48">
        <v>243.75</v>
      </c>
      <c r="I48">
        <v>271.51</v>
      </c>
      <c r="J48">
        <v>169.51</v>
      </c>
      <c r="K48">
        <v>284.66000000000003</v>
      </c>
    </row>
    <row r="49" spans="1:11" s="6" customFormat="1" x14ac:dyDescent="0.3">
      <c r="A49" s="6" t="s">
        <v>14</v>
      </c>
      <c r="B49">
        <v>460.13</v>
      </c>
      <c r="C49">
        <v>658.75</v>
      </c>
      <c r="D49">
        <v>623.55999999999995</v>
      </c>
      <c r="E49">
        <v>690.61</v>
      </c>
      <c r="F49">
        <v>563.25</v>
      </c>
      <c r="G49">
        <v>773.82</v>
      </c>
      <c r="H49">
        <v>659.58</v>
      </c>
      <c r="I49">
        <v>723.72</v>
      </c>
      <c r="J49">
        <v>550.9</v>
      </c>
      <c r="K49">
        <v>772.97</v>
      </c>
    </row>
    <row r="50" spans="1:11" x14ac:dyDescent="0.3">
      <c r="A50" s="6" t="s">
        <v>8</v>
      </c>
      <c r="B50">
        <v>771.51</v>
      </c>
      <c r="C50">
        <v>1035.27</v>
      </c>
      <c r="D50">
        <v>1004.97</v>
      </c>
      <c r="E50">
        <v>1119.8900000000001</v>
      </c>
      <c r="F50">
        <v>943.64</v>
      </c>
      <c r="G50">
        <v>1221.25</v>
      </c>
      <c r="H50">
        <v>1093.77</v>
      </c>
      <c r="I50">
        <v>1217.24</v>
      </c>
      <c r="J50">
        <v>955.07</v>
      </c>
      <c r="K50">
        <v>1299.04</v>
      </c>
    </row>
    <row r="51" spans="1:11" x14ac:dyDescent="0.3">
      <c r="A51" s="6"/>
    </row>
    <row r="52" spans="1:11" x14ac:dyDescent="0.3">
      <c r="A52" s="6"/>
    </row>
    <row r="53" spans="1:11" x14ac:dyDescent="0.3">
      <c r="A53" s="6"/>
    </row>
    <row r="54" spans="1:11" x14ac:dyDescent="0.3">
      <c r="A54" s="6"/>
    </row>
    <row r="55" spans="1:11" x14ac:dyDescent="0.3">
      <c r="A55" s="1" t="s">
        <v>40</v>
      </c>
    </row>
    <row r="56" spans="1:11" s="18" customFormat="1" x14ac:dyDescent="0.3">
      <c r="A56" s="17" t="s">
        <v>38</v>
      </c>
      <c r="B56" s="12">
        <v>42460</v>
      </c>
      <c r="C56" s="12">
        <v>42825</v>
      </c>
      <c r="D56" s="12">
        <v>43190</v>
      </c>
      <c r="E56" s="12">
        <v>43555</v>
      </c>
      <c r="F56" s="12">
        <v>43921</v>
      </c>
      <c r="G56" s="12">
        <v>44286</v>
      </c>
      <c r="H56" s="12">
        <v>44651</v>
      </c>
      <c r="I56" s="12">
        <v>45016</v>
      </c>
      <c r="J56" s="12">
        <v>45382</v>
      </c>
      <c r="K56" s="12">
        <v>45747</v>
      </c>
    </row>
    <row r="57" spans="1:11" x14ac:dyDescent="0.3">
      <c r="A57" s="6" t="s">
        <v>24</v>
      </c>
      <c r="B57">
        <v>561.54</v>
      </c>
      <c r="C57">
        <v>624.08000000000004</v>
      </c>
      <c r="D57">
        <v>624.08000000000004</v>
      </c>
      <c r="E57">
        <v>624.08000000000004</v>
      </c>
      <c r="F57">
        <v>647.77</v>
      </c>
      <c r="G57">
        <v>647.77</v>
      </c>
      <c r="H57">
        <v>647.77</v>
      </c>
      <c r="I57">
        <v>648.26</v>
      </c>
      <c r="J57">
        <v>650.73</v>
      </c>
      <c r="K57">
        <v>650.73</v>
      </c>
    </row>
    <row r="58" spans="1:11" x14ac:dyDescent="0.3">
      <c r="A58" s="6" t="s">
        <v>25</v>
      </c>
      <c r="B58">
        <v>958.9</v>
      </c>
      <c r="C58">
        <v>3217.7</v>
      </c>
      <c r="D58">
        <v>4044.97</v>
      </c>
      <c r="E58">
        <v>4963.37</v>
      </c>
      <c r="F58">
        <v>10431.969999999999</v>
      </c>
      <c r="G58">
        <v>11535.94</v>
      </c>
      <c r="H58">
        <v>13029.87</v>
      </c>
      <c r="I58">
        <v>15430.44</v>
      </c>
      <c r="J58">
        <v>18047.09</v>
      </c>
      <c r="K58">
        <v>20777.02</v>
      </c>
    </row>
    <row r="59" spans="1:11" x14ac:dyDescent="0.3">
      <c r="A59" s="6" t="s">
        <v>62</v>
      </c>
      <c r="B59">
        <v>1192.3399999999999</v>
      </c>
      <c r="C59">
        <v>1497.32</v>
      </c>
      <c r="D59">
        <v>439.25</v>
      </c>
      <c r="E59">
        <v>700.15</v>
      </c>
      <c r="F59">
        <v>333.19</v>
      </c>
      <c r="G59">
        <v>392.71</v>
      </c>
      <c r="H59">
        <v>646.94000000000005</v>
      </c>
      <c r="I59">
        <v>642.98</v>
      </c>
      <c r="J59">
        <v>592.16</v>
      </c>
      <c r="K59">
        <v>819.62</v>
      </c>
    </row>
    <row r="60" spans="1:11" x14ac:dyDescent="0.3">
      <c r="A60" s="6" t="s">
        <v>63</v>
      </c>
      <c r="B60">
        <v>388.78</v>
      </c>
      <c r="C60">
        <v>480.18</v>
      </c>
      <c r="D60">
        <v>539.91999999999996</v>
      </c>
      <c r="E60">
        <v>717.9</v>
      </c>
      <c r="F60">
        <v>663.23</v>
      </c>
      <c r="G60">
        <v>1078.6300000000001</v>
      </c>
      <c r="H60">
        <v>1146.4000000000001</v>
      </c>
      <c r="I60">
        <v>1382.84</v>
      </c>
      <c r="J60">
        <v>1882.5</v>
      </c>
      <c r="K60">
        <v>2065.41</v>
      </c>
    </row>
    <row r="61" spans="1:11" s="1" customFormat="1" x14ac:dyDescent="0.3">
      <c r="A61" s="1" t="s">
        <v>26</v>
      </c>
      <c r="B61">
        <v>3101.56</v>
      </c>
      <c r="C61">
        <v>5819.28</v>
      </c>
      <c r="D61">
        <v>5648.22</v>
      </c>
      <c r="E61">
        <v>7005.5</v>
      </c>
      <c r="F61">
        <v>12076.16</v>
      </c>
      <c r="G61">
        <v>13655.05</v>
      </c>
      <c r="H61">
        <v>15470.98</v>
      </c>
      <c r="I61">
        <v>18104.52</v>
      </c>
      <c r="J61">
        <v>21172.48</v>
      </c>
      <c r="K61">
        <v>24312.78</v>
      </c>
    </row>
    <row r="62" spans="1:11" x14ac:dyDescent="0.3">
      <c r="A62" s="6" t="s">
        <v>27</v>
      </c>
      <c r="B62">
        <v>2093.52</v>
      </c>
      <c r="C62">
        <v>2577.75</v>
      </c>
      <c r="D62">
        <v>3399.97</v>
      </c>
      <c r="E62">
        <v>4400.37</v>
      </c>
      <c r="F62">
        <v>5948.03</v>
      </c>
      <c r="G62">
        <v>7008.8</v>
      </c>
      <c r="H62">
        <v>9260.02</v>
      </c>
      <c r="I62">
        <v>11340.48</v>
      </c>
      <c r="J62">
        <v>13415</v>
      </c>
      <c r="K62">
        <v>16206.46</v>
      </c>
    </row>
    <row r="63" spans="1:11" x14ac:dyDescent="0.3">
      <c r="A63" s="6" t="s">
        <v>28</v>
      </c>
      <c r="B63">
        <v>81.69</v>
      </c>
      <c r="C63">
        <v>152.88999999999999</v>
      </c>
      <c r="D63">
        <v>147.07</v>
      </c>
      <c r="E63">
        <v>376.84</v>
      </c>
      <c r="F63">
        <v>364.4</v>
      </c>
      <c r="G63">
        <v>1019.59</v>
      </c>
      <c r="H63">
        <v>1129.3399999999999</v>
      </c>
      <c r="I63">
        <v>829.16</v>
      </c>
      <c r="J63">
        <v>935.22</v>
      </c>
      <c r="K63">
        <v>1099.3499999999999</v>
      </c>
    </row>
    <row r="64" spans="1:11" x14ac:dyDescent="0.3">
      <c r="A64" s="6" t="s">
        <v>29</v>
      </c>
      <c r="B64">
        <v>29.33</v>
      </c>
      <c r="C64">
        <v>25.69</v>
      </c>
      <c r="D64">
        <v>68.180000000000007</v>
      </c>
      <c r="E64">
        <v>16.53</v>
      </c>
      <c r="F64">
        <v>14.68</v>
      </c>
      <c r="G64">
        <v>2.95</v>
      </c>
      <c r="H64">
        <v>5.94</v>
      </c>
      <c r="I64">
        <v>202.2</v>
      </c>
      <c r="J64">
        <v>106.67</v>
      </c>
      <c r="K64">
        <v>3.26</v>
      </c>
    </row>
    <row r="65" spans="1:11" x14ac:dyDescent="0.3">
      <c r="A65" s="6" t="s">
        <v>64</v>
      </c>
      <c r="B65">
        <v>897.02</v>
      </c>
      <c r="C65">
        <v>3062.95</v>
      </c>
      <c r="D65">
        <v>2033</v>
      </c>
      <c r="E65">
        <v>2211.7600000000002</v>
      </c>
      <c r="F65">
        <v>5749.05</v>
      </c>
      <c r="G65">
        <v>5623.71</v>
      </c>
      <c r="H65">
        <v>5075.68</v>
      </c>
      <c r="I65">
        <v>5732.68</v>
      </c>
      <c r="J65">
        <v>6715.59</v>
      </c>
      <c r="K65">
        <v>7003.71</v>
      </c>
    </row>
    <row r="66" spans="1:11" s="1" customFormat="1" x14ac:dyDescent="0.3">
      <c r="A66" s="1" t="s">
        <v>26</v>
      </c>
      <c r="B66">
        <v>3101.56</v>
      </c>
      <c r="C66">
        <v>5819.28</v>
      </c>
      <c r="D66">
        <v>5648.22</v>
      </c>
      <c r="E66">
        <v>7005.5</v>
      </c>
      <c r="F66">
        <v>12076.16</v>
      </c>
      <c r="G66">
        <v>13655.05</v>
      </c>
      <c r="H66">
        <v>15470.98</v>
      </c>
      <c r="I66">
        <v>18104.52</v>
      </c>
      <c r="J66">
        <v>21172.48</v>
      </c>
      <c r="K66">
        <v>24312.78</v>
      </c>
    </row>
    <row r="67" spans="1:11" s="6" customFormat="1" x14ac:dyDescent="0.3">
      <c r="A67" s="6" t="s">
        <v>69</v>
      </c>
      <c r="B67">
        <v>8.42</v>
      </c>
      <c r="C67">
        <v>21</v>
      </c>
      <c r="D67">
        <v>33.520000000000003</v>
      </c>
      <c r="E67">
        <v>64.37</v>
      </c>
      <c r="F67">
        <v>19.55</v>
      </c>
      <c r="G67">
        <v>43.58</v>
      </c>
      <c r="H67">
        <v>66.89</v>
      </c>
      <c r="I67">
        <v>62.16</v>
      </c>
      <c r="J67">
        <v>166.37</v>
      </c>
      <c r="K67">
        <v>153.79</v>
      </c>
    </row>
    <row r="68" spans="1:11" x14ac:dyDescent="0.3">
      <c r="A68" s="6" t="s">
        <v>45</v>
      </c>
      <c r="B68">
        <v>671.69</v>
      </c>
      <c r="C68">
        <v>947.9</v>
      </c>
      <c r="D68">
        <v>1163.45</v>
      </c>
      <c r="E68">
        <v>1608.65</v>
      </c>
      <c r="F68">
        <v>1947.4</v>
      </c>
      <c r="G68">
        <v>2248.2800000000002</v>
      </c>
      <c r="H68">
        <v>2742.66</v>
      </c>
      <c r="I68">
        <v>3243.48</v>
      </c>
      <c r="J68">
        <v>3927.31</v>
      </c>
      <c r="K68">
        <v>5044.37</v>
      </c>
    </row>
    <row r="69" spans="1:11" x14ac:dyDescent="0.3">
      <c r="A69" s="4" t="s">
        <v>78</v>
      </c>
      <c r="B69">
        <v>35.1</v>
      </c>
      <c r="C69">
        <v>1884.29</v>
      </c>
      <c r="D69">
        <v>560.17999999999995</v>
      </c>
      <c r="E69">
        <v>219.07</v>
      </c>
      <c r="F69">
        <v>107.88</v>
      </c>
      <c r="G69">
        <v>1445.58</v>
      </c>
      <c r="H69">
        <v>298.58</v>
      </c>
      <c r="I69">
        <v>1408.33</v>
      </c>
      <c r="J69">
        <v>638.17999999999995</v>
      </c>
      <c r="K69">
        <v>358.2</v>
      </c>
    </row>
    <row r="70" spans="1:11" x14ac:dyDescent="0.3">
      <c r="A70" s="4" t="s">
        <v>65</v>
      </c>
      <c r="B70">
        <v>561542680</v>
      </c>
      <c r="C70">
        <v>624084486</v>
      </c>
      <c r="D70">
        <v>624084486</v>
      </c>
      <c r="E70">
        <v>624084486</v>
      </c>
      <c r="F70">
        <v>647774691</v>
      </c>
      <c r="G70">
        <v>647774691</v>
      </c>
      <c r="H70">
        <v>647774691</v>
      </c>
      <c r="I70">
        <v>648263978</v>
      </c>
      <c r="J70">
        <v>650733068</v>
      </c>
      <c r="K70">
        <v>650733068</v>
      </c>
    </row>
    <row r="71" spans="1:11" x14ac:dyDescent="0.3">
      <c r="A71" s="4" t="s">
        <v>66</v>
      </c>
    </row>
    <row r="72" spans="1:11" x14ac:dyDescent="0.3">
      <c r="A72" s="4" t="s">
        <v>79</v>
      </c>
      <c r="B72">
        <v>10</v>
      </c>
      <c r="C72">
        <v>10</v>
      </c>
      <c r="D72">
        <v>10</v>
      </c>
      <c r="E72">
        <v>10</v>
      </c>
      <c r="F72">
        <v>10</v>
      </c>
      <c r="G72">
        <v>10</v>
      </c>
      <c r="H72">
        <v>10</v>
      </c>
      <c r="I72">
        <v>10</v>
      </c>
      <c r="J72">
        <v>10</v>
      </c>
      <c r="K72">
        <v>10</v>
      </c>
    </row>
    <row r="74" spans="1:11" x14ac:dyDescent="0.3">
      <c r="A74" s="6"/>
    </row>
    <row r="75" spans="1:11" x14ac:dyDescent="0.3">
      <c r="A75" s="6" t="s">
        <v>113</v>
      </c>
      <c r="B75" s="4">
        <f>B66</f>
        <v>3101.56</v>
      </c>
      <c r="C75" s="4">
        <f t="shared" ref="C75:K75" si="1">C66</f>
        <v>5819.28</v>
      </c>
      <c r="D75" s="4">
        <f t="shared" si="1"/>
        <v>5648.22</v>
      </c>
      <c r="E75" s="4">
        <f t="shared" si="1"/>
        <v>7005.5</v>
      </c>
      <c r="F75" s="4">
        <f t="shared" si="1"/>
        <v>12076.16</v>
      </c>
      <c r="G75" s="4">
        <f t="shared" si="1"/>
        <v>13655.05</v>
      </c>
      <c r="H75" s="4">
        <f t="shared" si="1"/>
        <v>15470.98</v>
      </c>
      <c r="I75" s="4">
        <f t="shared" si="1"/>
        <v>18104.52</v>
      </c>
      <c r="J75" s="4">
        <f t="shared" si="1"/>
        <v>21172.48</v>
      </c>
      <c r="K75" s="4">
        <f t="shared" si="1"/>
        <v>24312.78</v>
      </c>
    </row>
    <row r="76" spans="1:11" x14ac:dyDescent="0.3">
      <c r="A76" s="6"/>
    </row>
    <row r="77" spans="1:11" x14ac:dyDescent="0.3">
      <c r="A77" s="6"/>
    </row>
    <row r="78" spans="1:11" x14ac:dyDescent="0.3">
      <c r="A78" s="6"/>
    </row>
    <row r="79" spans="1:11" x14ac:dyDescent="0.3">
      <c r="A79" s="6"/>
    </row>
    <row r="80" spans="1:11" x14ac:dyDescent="0.3">
      <c r="A80" s="1" t="s">
        <v>41</v>
      </c>
    </row>
    <row r="81" spans="1:11" s="18" customFormat="1" x14ac:dyDescent="0.3">
      <c r="A81" s="17" t="s">
        <v>38</v>
      </c>
      <c r="B81" s="12">
        <v>42460</v>
      </c>
      <c r="C81" s="12">
        <v>42825</v>
      </c>
      <c r="D81" s="12">
        <v>43190</v>
      </c>
      <c r="E81" s="12">
        <v>43555</v>
      </c>
      <c r="F81" s="12">
        <v>43921</v>
      </c>
      <c r="G81" s="12">
        <v>44286</v>
      </c>
      <c r="H81" s="12">
        <v>44651</v>
      </c>
      <c r="I81" s="12">
        <v>45016</v>
      </c>
      <c r="J81" s="12">
        <v>45382</v>
      </c>
      <c r="K81" s="12">
        <v>45747</v>
      </c>
    </row>
    <row r="82" spans="1:11" s="1" customFormat="1" x14ac:dyDescent="0.3">
      <c r="A82" s="6" t="s">
        <v>32</v>
      </c>
      <c r="B82">
        <v>433.47</v>
      </c>
      <c r="C82">
        <v>455.28</v>
      </c>
      <c r="D82">
        <v>729.99</v>
      </c>
      <c r="E82">
        <v>806.84</v>
      </c>
      <c r="F82">
        <v>1280.1400000000001</v>
      </c>
      <c r="G82">
        <v>1375.14</v>
      </c>
      <c r="H82">
        <v>1372.35</v>
      </c>
      <c r="I82">
        <v>2630.27</v>
      </c>
      <c r="J82">
        <v>2745.84</v>
      </c>
      <c r="K82">
        <v>2462.9699999999998</v>
      </c>
    </row>
    <row r="83" spans="1:11" s="6" customFormat="1" x14ac:dyDescent="0.3">
      <c r="A83" s="6" t="s">
        <v>33</v>
      </c>
      <c r="B83">
        <v>-632.89</v>
      </c>
      <c r="C83">
        <v>-2481.61</v>
      </c>
      <c r="D83">
        <v>463.55</v>
      </c>
      <c r="E83">
        <v>-958.37</v>
      </c>
      <c r="F83">
        <v>-4656.5600000000004</v>
      </c>
      <c r="G83">
        <v>-1110</v>
      </c>
      <c r="H83">
        <v>-1289.49</v>
      </c>
      <c r="I83">
        <v>-2313.1</v>
      </c>
      <c r="J83">
        <v>-2468.23</v>
      </c>
      <c r="K83">
        <v>-2185.31</v>
      </c>
    </row>
    <row r="84" spans="1:11" s="6" customFormat="1" x14ac:dyDescent="0.3">
      <c r="A84" s="6" t="s">
        <v>34</v>
      </c>
      <c r="B84">
        <v>196.44</v>
      </c>
      <c r="C84">
        <v>2025.26</v>
      </c>
      <c r="D84">
        <v>-1159.06</v>
      </c>
      <c r="E84">
        <v>208.98</v>
      </c>
      <c r="F84">
        <v>3357.42</v>
      </c>
      <c r="G84">
        <v>-179.5</v>
      </c>
      <c r="H84">
        <v>-179.24</v>
      </c>
      <c r="I84">
        <v>-205.14</v>
      </c>
      <c r="J84">
        <v>-147.63999999999999</v>
      </c>
      <c r="K84">
        <v>-259.3</v>
      </c>
    </row>
    <row r="85" spans="1:11" s="1" customFormat="1" x14ac:dyDescent="0.3">
      <c r="A85" s="6" t="s">
        <v>35</v>
      </c>
      <c r="B85">
        <v>-2.98</v>
      </c>
      <c r="C85">
        <v>-1.07</v>
      </c>
      <c r="D85">
        <v>34.479999999999997</v>
      </c>
      <c r="E85">
        <v>57.45</v>
      </c>
      <c r="F85">
        <v>-19</v>
      </c>
      <c r="G85">
        <v>85.64</v>
      </c>
      <c r="H85">
        <v>-96.38</v>
      </c>
      <c r="I85">
        <v>112.03</v>
      </c>
      <c r="J85">
        <v>129.97</v>
      </c>
      <c r="K85">
        <v>18.36</v>
      </c>
    </row>
    <row r="86" spans="1:11" x14ac:dyDescent="0.3">
      <c r="A86" s="6"/>
    </row>
    <row r="87" spans="1:11" x14ac:dyDescent="0.3">
      <c r="A87" s="6"/>
    </row>
    <row r="88" spans="1:11" x14ac:dyDescent="0.3">
      <c r="A88" s="6"/>
    </row>
    <row r="89" spans="1:11" x14ac:dyDescent="0.3">
      <c r="A89" s="6"/>
    </row>
    <row r="90" spans="1:11" s="1" customFormat="1" x14ac:dyDescent="0.3">
      <c r="A90" s="1" t="s">
        <v>68</v>
      </c>
      <c r="B90"/>
      <c r="C90">
        <v>637.85</v>
      </c>
      <c r="D90">
        <v>1324.8</v>
      </c>
      <c r="E90">
        <v>1471.1</v>
      </c>
      <c r="F90">
        <v>2187.5</v>
      </c>
      <c r="G90">
        <v>2859.05</v>
      </c>
      <c r="H90">
        <v>4003.35</v>
      </c>
      <c r="I90">
        <v>3401.05</v>
      </c>
      <c r="J90">
        <v>4525.6000000000004</v>
      </c>
      <c r="K90">
        <v>4083.2</v>
      </c>
    </row>
    <row r="92" spans="1:11" s="1" customFormat="1" x14ac:dyDescent="0.3">
      <c r="A92" s="1" t="s">
        <v>67</v>
      </c>
    </row>
    <row r="93" spans="1:11" x14ac:dyDescent="0.3">
      <c r="A93" s="4" t="s">
        <v>80</v>
      </c>
      <c r="B93" s="20">
        <v>56.15</v>
      </c>
      <c r="C93" s="20">
        <v>62.41</v>
      </c>
      <c r="D93" s="20">
        <v>62.41</v>
      </c>
      <c r="E93" s="20">
        <v>62.41</v>
      </c>
      <c r="F93" s="20">
        <v>64.78</v>
      </c>
      <c r="G93" s="20">
        <v>64.78</v>
      </c>
      <c r="H93" s="20">
        <v>64.78</v>
      </c>
      <c r="I93" s="20">
        <v>64.83</v>
      </c>
      <c r="J93" s="20">
        <v>65.069999999999993</v>
      </c>
      <c r="K93" s="20">
        <v>65.069999999999993</v>
      </c>
    </row>
  </sheetData>
  <mergeCells count="2">
    <mergeCell ref="E1:K1"/>
    <mergeCell ref="E2:K2"/>
  </mergeCells>
  <conditionalFormatting sqref="E1:K1">
    <cfRule type="cellIs" dxfId="0" priority="1" operator="notEqual">
      <formula>""</formula>
    </cfRule>
  </conditionalFormatting>
  <hyperlinks>
    <hyperlink ref="E1:K1" r:id="rId1" display="https://www.screener.in/excel/" xr:uid="{00000000-0004-0000-0500-000000000000}"/>
  </hyperlinks>
  <pageMargins left="0.7" right="0.7" top="0.75" bottom="0.75" header="0.3" footer="0.3"/>
  <pageSetup paperSize="9" orientation="portrait"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10A78C-6594-4D82-B614-75BE7C059514}">
  <sheetPr>
    <tabColor rgb="FFFFC000"/>
    <pageSetUpPr fitToPage="1"/>
  </sheetPr>
  <dimension ref="A2:P108"/>
  <sheetViews>
    <sheetView showGridLines="0" zoomScale="116" zoomScaleNormal="100" workbookViewId="0">
      <pane ySplit="3" topLeftCell="A4" activePane="bottomLeft" state="frozen"/>
      <selection pane="bottomLeft" activeCell="P12" sqref="P12"/>
    </sheetView>
  </sheetViews>
  <sheetFormatPr defaultRowHeight="14.4" x14ac:dyDescent="0.3"/>
  <cols>
    <col min="1" max="1" width="1.88671875" customWidth="1"/>
    <col min="2" max="2" width="31.33203125" bestFit="1" customWidth="1"/>
    <col min="3" max="12" width="11.5546875" bestFit="1" customWidth="1"/>
    <col min="13" max="13" width="11.44140625" bestFit="1" customWidth="1"/>
    <col min="15" max="15" width="10.6640625" bestFit="1" customWidth="1"/>
  </cols>
  <sheetData>
    <row r="2" spans="1:16" x14ac:dyDescent="0.3">
      <c r="B2" s="269" t="str">
        <f>"Historial Financial Statement - "&amp;'Data Sheet'!B1</f>
        <v>Historial Financial Statement - AVENUE SUPERMARTS LTD</v>
      </c>
      <c r="C2" s="269"/>
      <c r="D2" s="269"/>
      <c r="E2" s="269"/>
      <c r="F2" s="269"/>
      <c r="G2" s="269"/>
      <c r="H2" s="269"/>
      <c r="I2" s="269"/>
      <c r="J2" s="269"/>
      <c r="K2" s="269"/>
      <c r="L2" s="269"/>
      <c r="M2" s="269"/>
    </row>
    <row r="3" spans="1:16" x14ac:dyDescent="0.3">
      <c r="B3" s="24" t="s">
        <v>81</v>
      </c>
      <c r="C3" s="25">
        <f>'Data Sheet'!B16</f>
        <v>42460</v>
      </c>
      <c r="D3" s="25">
        <f>'Data Sheet'!C16</f>
        <v>42825</v>
      </c>
      <c r="E3" s="25">
        <f>'Data Sheet'!D16</f>
        <v>43190</v>
      </c>
      <c r="F3" s="25">
        <f>'Data Sheet'!E16</f>
        <v>43555</v>
      </c>
      <c r="G3" s="25">
        <f>'Data Sheet'!F16</f>
        <v>43921</v>
      </c>
      <c r="H3" s="25">
        <f>'Data Sheet'!G16</f>
        <v>44286</v>
      </c>
      <c r="I3" s="25">
        <f>'Data Sheet'!H16</f>
        <v>44651</v>
      </c>
      <c r="J3" s="25">
        <f>'Data Sheet'!I16</f>
        <v>45016</v>
      </c>
      <c r="K3" s="25">
        <f>'Data Sheet'!J16</f>
        <v>45382</v>
      </c>
      <c r="L3" s="25">
        <f>'Data Sheet'!K16</f>
        <v>45747</v>
      </c>
      <c r="M3" s="26" t="s">
        <v>82</v>
      </c>
    </row>
    <row r="4" spans="1:16" x14ac:dyDescent="0.3">
      <c r="A4" t="s">
        <v>83</v>
      </c>
      <c r="B4" t="s">
        <v>84</v>
      </c>
    </row>
    <row r="5" spans="1:16" x14ac:dyDescent="0.3">
      <c r="B5" t="s">
        <v>6</v>
      </c>
      <c r="C5" s="27">
        <f>IFERROR('Data Sheet'!B17,0)</f>
        <v>8583.76</v>
      </c>
      <c r="D5" s="27">
        <f>IFERROR('Data Sheet'!C17,0)</f>
        <v>11897.7</v>
      </c>
      <c r="E5" s="27">
        <f>IFERROR('Data Sheet'!D17,0)</f>
        <v>15033.2</v>
      </c>
      <c r="F5" s="27">
        <f>IFERROR('Data Sheet'!E17,0)</f>
        <v>20004.52</v>
      </c>
      <c r="G5" s="27">
        <f>IFERROR('Data Sheet'!F17,0)</f>
        <v>24870.2</v>
      </c>
      <c r="H5" s="27">
        <f>IFERROR('Data Sheet'!G17,0)</f>
        <v>24143.06</v>
      </c>
      <c r="I5" s="27">
        <f>IFERROR('Data Sheet'!H17,0)</f>
        <v>30976.27</v>
      </c>
      <c r="J5" s="27">
        <f>IFERROR('Data Sheet'!I17,0)</f>
        <v>42839.56</v>
      </c>
      <c r="K5" s="27">
        <f>IFERROR('Data Sheet'!J17,0)</f>
        <v>50788.83</v>
      </c>
      <c r="L5" s="27">
        <f>IFERROR('Data Sheet'!K17,0)</f>
        <v>59358.05</v>
      </c>
      <c r="M5" s="27">
        <f>IFERROR(SUM('Data Sheet'!H42:K42),0)</f>
        <v>61648.61</v>
      </c>
    </row>
    <row r="6" spans="1:16" x14ac:dyDescent="0.3">
      <c r="B6" s="137" t="s">
        <v>22</v>
      </c>
      <c r="C6" s="137" t="s">
        <v>92</v>
      </c>
      <c r="D6" s="138">
        <f>D5/C5-1</f>
        <v>0.38607090598991589</v>
      </c>
      <c r="E6" s="138">
        <f t="shared" ref="E6:M6" si="0">E5/D5-1</f>
        <v>0.26353833093791246</v>
      </c>
      <c r="F6" s="138">
        <f t="shared" si="0"/>
        <v>0.33068940744485542</v>
      </c>
      <c r="G6" s="138">
        <f t="shared" si="0"/>
        <v>0.24322903023916598</v>
      </c>
      <c r="H6" s="138">
        <f t="shared" si="0"/>
        <v>-2.9237400583831175E-2</v>
      </c>
      <c r="I6" s="138">
        <f t="shared" si="0"/>
        <v>0.28302998874210639</v>
      </c>
      <c r="J6" s="138">
        <f t="shared" si="0"/>
        <v>0.38297993915987938</v>
      </c>
      <c r="K6" s="138">
        <f t="shared" si="0"/>
        <v>0.18555909537819737</v>
      </c>
      <c r="L6" s="138">
        <f t="shared" si="0"/>
        <v>0.16872253210007004</v>
      </c>
      <c r="M6" s="138">
        <f t="shared" si="0"/>
        <v>3.8588868738107074E-2</v>
      </c>
    </row>
    <row r="8" spans="1:16" x14ac:dyDescent="0.3">
      <c r="B8" t="s">
        <v>85</v>
      </c>
      <c r="C8" s="139">
        <f>IFERROR(SUM('Data Sheet'!B18,'Data Sheet'!B20:B22)-1*'Data Sheet'!B19,0)</f>
        <v>7773.1799999999994</v>
      </c>
      <c r="D8" s="139">
        <f>IFERROR(SUM('Data Sheet'!C18,'Data Sheet'!C20:C22)-1*'Data Sheet'!C19,0)</f>
        <v>10706.01</v>
      </c>
      <c r="E8" s="139">
        <f>IFERROR(SUM('Data Sheet'!D18,'Data Sheet'!D20:D22)-1*'Data Sheet'!D19,0)</f>
        <v>13413.76</v>
      </c>
      <c r="F8" s="139">
        <f>IFERROR(SUM('Data Sheet'!E18,'Data Sheet'!E20:E22)-1*'Data Sheet'!E19,0)</f>
        <v>18009.53</v>
      </c>
      <c r="G8" s="139">
        <f>IFERROR(SUM('Data Sheet'!F18,'Data Sheet'!F20:F22)-1*'Data Sheet'!F19,0)</f>
        <v>22394.27</v>
      </c>
      <c r="H8" s="139">
        <f>IFERROR(SUM('Data Sheet'!G18,'Data Sheet'!G20:G22)-1*'Data Sheet'!G19,0)</f>
        <v>22012.890000000003</v>
      </c>
      <c r="I8" s="139">
        <f>IFERROR(SUM('Data Sheet'!H18,'Data Sheet'!H20:H22)-1*'Data Sheet'!H19,0)</f>
        <v>28028.46</v>
      </c>
      <c r="J8" s="139">
        <f>IFERROR(SUM('Data Sheet'!I18,'Data Sheet'!I20:I22)-1*'Data Sheet'!I19,0)</f>
        <v>38563.29</v>
      </c>
      <c r="K8" s="139">
        <f>IFERROR(SUM('Data Sheet'!J18,'Data Sheet'!J20:J22)-1*'Data Sheet'!J19,0)</f>
        <v>45882.38</v>
      </c>
      <c r="L8" s="139">
        <f>IFERROR(SUM('Data Sheet'!K18,'Data Sheet'!K20:K22)-1*'Data Sheet'!K19,0)</f>
        <v>53918.770000000004</v>
      </c>
      <c r="M8" s="139">
        <f>IFERROR(SUM('Data Sheet'!H43:K43),0)</f>
        <v>57083.490000000005</v>
      </c>
    </row>
    <row r="9" spans="1:16" x14ac:dyDescent="0.3">
      <c r="B9" s="137" t="s">
        <v>86</v>
      </c>
      <c r="C9" s="138">
        <f>C8/C5</f>
        <v>0.90556818923175852</v>
      </c>
      <c r="D9" s="138">
        <f t="shared" ref="D9:M9" si="1">D8/D5</f>
        <v>0.89983862427191807</v>
      </c>
      <c r="E9" s="138">
        <f t="shared" si="1"/>
        <v>0.89227576297794209</v>
      </c>
      <c r="F9" s="138">
        <f t="shared" si="1"/>
        <v>0.9002730382933456</v>
      </c>
      <c r="G9" s="138">
        <f t="shared" si="1"/>
        <v>0.90044591519167516</v>
      </c>
      <c r="H9" s="138">
        <f t="shared" si="1"/>
        <v>0.91176884785938495</v>
      </c>
      <c r="I9" s="138">
        <f t="shared" si="1"/>
        <v>0.90483650872103061</v>
      </c>
      <c r="J9" s="138">
        <f t="shared" si="1"/>
        <v>0.90017941360742271</v>
      </c>
      <c r="K9" s="138">
        <f t="shared" si="1"/>
        <v>0.90339509691402609</v>
      </c>
      <c r="L9" s="138">
        <f t="shared" si="1"/>
        <v>0.90836491427868671</v>
      </c>
      <c r="M9" s="138">
        <f t="shared" si="1"/>
        <v>0.92594934419445962</v>
      </c>
    </row>
    <row r="10" spans="1:16" x14ac:dyDescent="0.3">
      <c r="C10" s="5"/>
      <c r="D10" s="5"/>
      <c r="E10" s="5"/>
      <c r="F10" s="5"/>
      <c r="G10" s="5"/>
      <c r="H10" s="5"/>
      <c r="I10" s="5"/>
      <c r="J10" s="5"/>
      <c r="K10" s="5"/>
      <c r="L10" s="5"/>
      <c r="M10" s="5"/>
      <c r="O10" s="27"/>
    </row>
    <row r="11" spans="1:16" x14ac:dyDescent="0.3">
      <c r="B11" s="2" t="s">
        <v>87</v>
      </c>
      <c r="C11" s="140">
        <f t="shared" ref="C11:M11" si="2">C5-C8</f>
        <v>810.58000000000084</v>
      </c>
      <c r="D11" s="140">
        <f t="shared" si="2"/>
        <v>1191.6900000000005</v>
      </c>
      <c r="E11" s="140">
        <f t="shared" si="2"/>
        <v>1619.4400000000005</v>
      </c>
      <c r="F11" s="140">
        <f t="shared" si="2"/>
        <v>1994.9900000000016</v>
      </c>
      <c r="G11" s="140">
        <f t="shared" si="2"/>
        <v>2475.9300000000003</v>
      </c>
      <c r="H11" s="140">
        <f t="shared" si="2"/>
        <v>2130.1699999999983</v>
      </c>
      <c r="I11" s="140">
        <f t="shared" si="2"/>
        <v>2947.8100000000013</v>
      </c>
      <c r="J11" s="140">
        <f t="shared" si="2"/>
        <v>4276.2699999999968</v>
      </c>
      <c r="K11" s="140">
        <f t="shared" si="2"/>
        <v>4906.4500000000044</v>
      </c>
      <c r="L11" s="140">
        <f t="shared" si="2"/>
        <v>5439.2799999999988</v>
      </c>
      <c r="M11" s="140">
        <f t="shared" si="2"/>
        <v>4565.1199999999953</v>
      </c>
    </row>
    <row r="12" spans="1:16" x14ac:dyDescent="0.3">
      <c r="B12" s="137" t="s">
        <v>99</v>
      </c>
      <c r="C12" s="5">
        <f>C11/C5</f>
        <v>9.4431810768241517E-2</v>
      </c>
      <c r="D12" s="5">
        <f t="shared" ref="D12:M12" si="3">D11/D5</f>
        <v>0.10016137572808194</v>
      </c>
      <c r="E12" s="5">
        <f t="shared" si="3"/>
        <v>0.10772423702205787</v>
      </c>
      <c r="F12" s="5">
        <f t="shared" si="3"/>
        <v>9.9726961706654377E-2</v>
      </c>
      <c r="G12" s="5">
        <f t="shared" si="3"/>
        <v>9.9554084808324825E-2</v>
      </c>
      <c r="H12" s="5">
        <f t="shared" si="3"/>
        <v>8.8231152140615068E-2</v>
      </c>
      <c r="I12" s="5">
        <f t="shared" si="3"/>
        <v>9.5163491278969392E-2</v>
      </c>
      <c r="J12" s="5">
        <f t="shared" si="3"/>
        <v>9.9820586392577265E-2</v>
      </c>
      <c r="K12" s="5">
        <f t="shared" si="3"/>
        <v>9.6604903085973914E-2</v>
      </c>
      <c r="L12" s="5">
        <f t="shared" si="3"/>
        <v>9.1635085721313264E-2</v>
      </c>
      <c r="M12" s="5">
        <f t="shared" si="3"/>
        <v>7.4050655805540391E-2</v>
      </c>
    </row>
    <row r="14" spans="1:16" x14ac:dyDescent="0.3">
      <c r="B14" t="s">
        <v>88</v>
      </c>
      <c r="C14">
        <f>IFERROR(SUM('Data Sheet'!B23:B24),0)</f>
        <v>146.12</v>
      </c>
      <c r="D14">
        <f>IFERROR(SUM('Data Sheet'!C23:C24),0)</f>
        <v>222.51</v>
      </c>
      <c r="E14">
        <f>IFERROR(SUM('Data Sheet'!D23:D24),0)</f>
        <v>266.58000000000004</v>
      </c>
      <c r="F14">
        <f>IFERROR(SUM('Data Sheet'!E23:E24),0)</f>
        <v>361.68</v>
      </c>
      <c r="G14">
        <f>IFERROR(SUM('Data Sheet'!F23:F24),0)</f>
        <v>347.62</v>
      </c>
      <c r="H14">
        <f>IFERROR(SUM('Data Sheet'!G23:G24),0)</f>
        <v>385.34</v>
      </c>
      <c r="I14">
        <f>IFERROR(SUM('Data Sheet'!H23:H24),0)</f>
        <v>445.46000000000004</v>
      </c>
      <c r="J14">
        <f>IFERROR(SUM('Data Sheet'!I23:I24),0)</f>
        <v>637.5</v>
      </c>
      <c r="K14">
        <f>IFERROR(SUM('Data Sheet'!J23:J24),0)</f>
        <v>800.81</v>
      </c>
      <c r="L14">
        <f>IFERROR(SUM('Data Sheet'!K23:K24),0)</f>
        <v>944.77</v>
      </c>
    </row>
    <row r="15" spans="1:16" x14ac:dyDescent="0.3">
      <c r="B15" s="137" t="s">
        <v>89</v>
      </c>
      <c r="C15" s="138">
        <f t="shared" ref="C15:M15" si="4">C14/C5</f>
        <v>1.7022843136341184E-2</v>
      </c>
      <c r="D15" s="138">
        <f t="shared" si="4"/>
        <v>1.870193398724123E-2</v>
      </c>
      <c r="E15" s="138">
        <f t="shared" si="4"/>
        <v>1.7732751509991221E-2</v>
      </c>
      <c r="F15" s="138">
        <f t="shared" si="4"/>
        <v>1.8079913939449684E-2</v>
      </c>
      <c r="G15" s="138">
        <f t="shared" si="4"/>
        <v>1.3977370507675852E-2</v>
      </c>
      <c r="H15" s="138">
        <f t="shared" si="4"/>
        <v>1.5960694294757993E-2</v>
      </c>
      <c r="I15" s="138">
        <f t="shared" si="4"/>
        <v>1.438068560223681E-2</v>
      </c>
      <c r="J15" s="138">
        <f t="shared" si="4"/>
        <v>1.4881105221435514E-2</v>
      </c>
      <c r="K15" s="138">
        <f t="shared" si="4"/>
        <v>1.5767443353193997E-2</v>
      </c>
      <c r="L15" s="138">
        <f t="shared" si="4"/>
        <v>1.5916459519812392E-2</v>
      </c>
      <c r="M15" s="138">
        <f t="shared" si="4"/>
        <v>0</v>
      </c>
    </row>
    <row r="16" spans="1:16" x14ac:dyDescent="0.3">
      <c r="P16" s="27">
        <f>D17-D23</f>
        <v>841.36000000000058</v>
      </c>
    </row>
    <row r="17" spans="2:15" x14ac:dyDescent="0.3">
      <c r="B17" s="2" t="s">
        <v>90</v>
      </c>
      <c r="C17" s="140">
        <f>C11-C14</f>
        <v>664.46000000000083</v>
      </c>
      <c r="D17" s="140">
        <f t="shared" ref="D17:M17" si="5">D11-D14</f>
        <v>969.18000000000052</v>
      </c>
      <c r="E17" s="140">
        <f t="shared" si="5"/>
        <v>1352.8600000000006</v>
      </c>
      <c r="F17" s="140">
        <f t="shared" si="5"/>
        <v>1633.3100000000015</v>
      </c>
      <c r="G17" s="140">
        <f t="shared" si="5"/>
        <v>2128.3100000000004</v>
      </c>
      <c r="H17" s="140">
        <f t="shared" si="5"/>
        <v>1744.8299999999983</v>
      </c>
      <c r="I17" s="140">
        <f t="shared" si="5"/>
        <v>2502.3500000000013</v>
      </c>
      <c r="J17" s="140">
        <f t="shared" si="5"/>
        <v>3638.7699999999968</v>
      </c>
      <c r="K17" s="140">
        <f t="shared" si="5"/>
        <v>4105.6400000000049</v>
      </c>
      <c r="L17" s="140">
        <f t="shared" si="5"/>
        <v>4494.5099999999984</v>
      </c>
      <c r="M17" s="140">
        <f t="shared" si="5"/>
        <v>4565.1199999999953</v>
      </c>
    </row>
    <row r="18" spans="2:15" x14ac:dyDescent="0.3">
      <c r="B18" s="137" t="s">
        <v>91</v>
      </c>
      <c r="C18" s="138">
        <f t="shared" ref="C18:M18" si="6">C17/C5</f>
        <v>7.7408967631900333E-2</v>
      </c>
      <c r="D18" s="138">
        <f t="shared" si="6"/>
        <v>8.1459441740840702E-2</v>
      </c>
      <c r="E18" s="138">
        <f t="shared" si="6"/>
        <v>8.9991485512066663E-2</v>
      </c>
      <c r="F18" s="138">
        <f t="shared" si="6"/>
        <v>8.1647047767204689E-2</v>
      </c>
      <c r="G18" s="138">
        <f t="shared" si="6"/>
        <v>8.5576714300648976E-2</v>
      </c>
      <c r="H18" s="138">
        <f t="shared" si="6"/>
        <v>7.2270457845857075E-2</v>
      </c>
      <c r="I18" s="138">
        <f t="shared" si="6"/>
        <v>8.0782805676732586E-2</v>
      </c>
      <c r="J18" s="138">
        <f t="shared" si="6"/>
        <v>8.4939481171141737E-2</v>
      </c>
      <c r="K18" s="138">
        <f t="shared" si="6"/>
        <v>8.083745973277992E-2</v>
      </c>
      <c r="L18" s="138">
        <f t="shared" si="6"/>
        <v>7.5718626201500855E-2</v>
      </c>
      <c r="M18" s="138">
        <f t="shared" si="6"/>
        <v>7.4050655805540391E-2</v>
      </c>
    </row>
    <row r="20" spans="2:15" x14ac:dyDescent="0.3">
      <c r="B20" t="s">
        <v>11</v>
      </c>
      <c r="C20" s="27">
        <f>'Data Sheet'!B27</f>
        <v>91.34</v>
      </c>
      <c r="D20" s="27">
        <f>'Data Sheet'!C27</f>
        <v>121.98</v>
      </c>
      <c r="E20" s="27">
        <f>'Data Sheet'!D27</f>
        <v>59.54</v>
      </c>
      <c r="F20" s="27">
        <f>'Data Sheet'!E27</f>
        <v>47.21</v>
      </c>
      <c r="G20" s="27">
        <f>'Data Sheet'!F27</f>
        <v>69.12</v>
      </c>
      <c r="H20" s="27">
        <f>'Data Sheet'!G27</f>
        <v>41.65</v>
      </c>
      <c r="I20" s="27">
        <f>'Data Sheet'!H27</f>
        <v>53.79</v>
      </c>
      <c r="J20" s="27">
        <f>'Data Sheet'!I27</f>
        <v>67.41</v>
      </c>
      <c r="K20" s="27">
        <f>'Data Sheet'!J27</f>
        <v>58.13</v>
      </c>
      <c r="L20" s="27">
        <f>'Data Sheet'!K27</f>
        <v>69.45</v>
      </c>
      <c r="M20" s="27">
        <f>IFERROR(SUM('Data Sheet'!H46:K46),0)</f>
        <v>82.79</v>
      </c>
    </row>
    <row r="21" spans="2:15" x14ac:dyDescent="0.3">
      <c r="B21" s="137" t="s">
        <v>94</v>
      </c>
      <c r="C21" s="138">
        <f>C20/C5</f>
        <v>1.0641024446163452E-2</v>
      </c>
      <c r="D21" s="138">
        <f t="shared" ref="D21:M21" si="7">D20/D5</f>
        <v>1.0252401724703094E-2</v>
      </c>
      <c r="E21" s="138">
        <f t="shared" si="7"/>
        <v>3.9605672777585609E-3</v>
      </c>
      <c r="F21" s="138">
        <f t="shared" si="7"/>
        <v>2.3599666475376565E-3</v>
      </c>
      <c r="G21" s="138">
        <f t="shared" si="7"/>
        <v>2.7792297609186899E-3</v>
      </c>
      <c r="H21" s="138">
        <f t="shared" si="7"/>
        <v>1.7251334337900829E-3</v>
      </c>
      <c r="I21" s="138">
        <f t="shared" si="7"/>
        <v>1.7364905458274996E-3</v>
      </c>
      <c r="J21" s="138">
        <f t="shared" si="7"/>
        <v>1.5735455732972048E-3</v>
      </c>
      <c r="K21" s="138">
        <f t="shared" si="7"/>
        <v>1.1445430028610621E-3</v>
      </c>
      <c r="L21" s="138">
        <f t="shared" si="7"/>
        <v>1.170018219938155E-3</v>
      </c>
      <c r="M21" s="138">
        <f t="shared" si="7"/>
        <v>1.3429337660654476E-3</v>
      </c>
    </row>
    <row r="22" spans="2:15" x14ac:dyDescent="0.3">
      <c r="B22" s="137"/>
      <c r="C22" s="138"/>
      <c r="D22" s="138"/>
      <c r="E22" s="138"/>
      <c r="F22" s="138"/>
      <c r="G22" s="138"/>
      <c r="H22" s="138"/>
      <c r="I22" s="138"/>
      <c r="J22" s="138"/>
      <c r="K22" s="138"/>
      <c r="L22" s="138"/>
      <c r="M22" s="138"/>
    </row>
    <row r="23" spans="2:15" x14ac:dyDescent="0.3">
      <c r="B23" t="s">
        <v>93</v>
      </c>
      <c r="C23" s="27">
        <f>IFERROR('Data Sheet'!B26,0)</f>
        <v>98.43</v>
      </c>
      <c r="D23" s="27">
        <f>IFERROR('Data Sheet'!C26,0)</f>
        <v>127.82</v>
      </c>
      <c r="E23" s="27">
        <f>IFERROR('Data Sheet'!D26,0)</f>
        <v>159</v>
      </c>
      <c r="F23" s="27">
        <f>IFERROR('Data Sheet'!E26,0)</f>
        <v>212.49</v>
      </c>
      <c r="G23" s="27">
        <f>IFERROR('Data Sheet'!F26,0)</f>
        <v>374.41</v>
      </c>
      <c r="H23" s="27">
        <f>IFERROR('Data Sheet'!G26,0)</f>
        <v>414.16</v>
      </c>
      <c r="I23" s="27">
        <f>IFERROR('Data Sheet'!H26,0)</f>
        <v>498.08</v>
      </c>
      <c r="J23" s="27">
        <f>IFERROR('Data Sheet'!I26,0)</f>
        <v>638.87</v>
      </c>
      <c r="K23" s="27">
        <f>IFERROR('Data Sheet'!J26,0)</f>
        <v>730.76</v>
      </c>
      <c r="L23" s="27">
        <f>IFERROR('Data Sheet'!K26,0)</f>
        <v>869.52</v>
      </c>
      <c r="M23" s="27">
        <f>IFERROR(SUM('Data Sheet'!H45:K45),0)</f>
        <v>908.46</v>
      </c>
    </row>
    <row r="24" spans="2:15" x14ac:dyDescent="0.3">
      <c r="B24" s="137" t="s">
        <v>95</v>
      </c>
      <c r="C24" s="138">
        <f>C23/C5</f>
        <v>1.1467002805297445E-2</v>
      </c>
      <c r="D24" s="138">
        <f t="shared" ref="D24:M24" si="8">D23/D5</f>
        <v>1.0743252897618866E-2</v>
      </c>
      <c r="E24" s="138">
        <f t="shared" si="8"/>
        <v>1.0576590479738178E-2</v>
      </c>
      <c r="F24" s="138">
        <f t="shared" si="8"/>
        <v>1.062209940553435E-2</v>
      </c>
      <c r="G24" s="138">
        <f t="shared" si="8"/>
        <v>1.5054563292615258E-2</v>
      </c>
      <c r="H24" s="138">
        <f t="shared" si="8"/>
        <v>1.7154412075354161E-2</v>
      </c>
      <c r="I24" s="138">
        <f t="shared" si="8"/>
        <v>1.6079405299605148E-2</v>
      </c>
      <c r="J24" s="138">
        <f t="shared" si="8"/>
        <v>1.4913085008342757E-2</v>
      </c>
      <c r="K24" s="138">
        <f t="shared" si="8"/>
        <v>1.4388203075361254E-2</v>
      </c>
      <c r="L24" s="138">
        <f t="shared" si="8"/>
        <v>1.4648729195113383E-2</v>
      </c>
      <c r="M24" s="138">
        <f t="shared" si="8"/>
        <v>1.473609867278435E-2</v>
      </c>
    </row>
    <row r="26" spans="2:15" x14ac:dyDescent="0.3">
      <c r="B26" s="141" t="s">
        <v>96</v>
      </c>
      <c r="C26" s="140">
        <f>IFERROR(C17-SUM(C20,C23),0)</f>
        <v>474.69000000000085</v>
      </c>
      <c r="D26" s="140">
        <f t="shared" ref="D26:M26" si="9">IFERROR(D17-SUM(D20,D23),0)</f>
        <v>719.38000000000056</v>
      </c>
      <c r="E26" s="140">
        <f t="shared" si="9"/>
        <v>1134.3200000000006</v>
      </c>
      <c r="F26" s="140">
        <f t="shared" si="9"/>
        <v>1373.6100000000015</v>
      </c>
      <c r="G26" s="140">
        <f t="shared" si="9"/>
        <v>1684.7800000000004</v>
      </c>
      <c r="H26" s="140">
        <f t="shared" si="9"/>
        <v>1289.0199999999984</v>
      </c>
      <c r="I26" s="140">
        <f t="shared" si="9"/>
        <v>1950.4800000000014</v>
      </c>
      <c r="J26" s="140">
        <f t="shared" si="9"/>
        <v>2932.4899999999971</v>
      </c>
      <c r="K26" s="140">
        <f t="shared" si="9"/>
        <v>3316.750000000005</v>
      </c>
      <c r="L26" s="140">
        <f t="shared" si="9"/>
        <v>3555.5399999999981</v>
      </c>
      <c r="M26" s="140">
        <f t="shared" si="9"/>
        <v>3573.8699999999953</v>
      </c>
      <c r="O26" s="27">
        <f>L26-K26-1</f>
        <v>237.78999999999314</v>
      </c>
    </row>
    <row r="27" spans="2:15" x14ac:dyDescent="0.3">
      <c r="B27" s="137" t="s">
        <v>97</v>
      </c>
      <c r="C27" s="138">
        <f>C26/C5</f>
        <v>5.5300940380439437E-2</v>
      </c>
      <c r="D27" s="138">
        <f t="shared" ref="D27:M27" si="10">D26/D5</f>
        <v>6.0463787118518748E-2</v>
      </c>
      <c r="E27" s="138">
        <f t="shared" si="10"/>
        <v>7.5454327754569922E-2</v>
      </c>
      <c r="F27" s="138">
        <f t="shared" si="10"/>
        <v>6.8664981714132683E-2</v>
      </c>
      <c r="G27" s="138">
        <f t="shared" si="10"/>
        <v>6.7742921247115034E-2</v>
      </c>
      <c r="H27" s="138">
        <f t="shared" si="10"/>
        <v>5.3390912336712844E-2</v>
      </c>
      <c r="I27" s="138">
        <f t="shared" si="10"/>
        <v>6.2966909831299933E-2</v>
      </c>
      <c r="J27" s="138">
        <f t="shared" si="10"/>
        <v>6.845285058950179E-2</v>
      </c>
      <c r="K27" s="138">
        <f t="shared" si="10"/>
        <v>6.5304713654557603E-2</v>
      </c>
      <c r="L27" s="138">
        <f t="shared" si="10"/>
        <v>5.9899878786449319E-2</v>
      </c>
      <c r="M27" s="138">
        <f t="shared" si="10"/>
        <v>5.7971623366690594E-2</v>
      </c>
    </row>
    <row r="29" spans="2:15" x14ac:dyDescent="0.3">
      <c r="B29" t="s">
        <v>98</v>
      </c>
      <c r="C29" s="27">
        <f>'Data Sheet'!B29</f>
        <v>171.47</v>
      </c>
      <c r="D29" s="27">
        <f>'Data Sheet'!C29</f>
        <v>268.27999999999997</v>
      </c>
      <c r="E29" s="27">
        <f>'Data Sheet'!D29</f>
        <v>415.79</v>
      </c>
      <c r="F29" s="27">
        <f>'Data Sheet'!E29</f>
        <v>519.48</v>
      </c>
      <c r="G29" s="27">
        <f>'Data Sheet'!F29</f>
        <v>443.79</v>
      </c>
      <c r="H29" s="27">
        <f>'Data Sheet'!G29</f>
        <v>384.02</v>
      </c>
      <c r="I29" s="27">
        <f>'Data Sheet'!H29</f>
        <v>571.72</v>
      </c>
      <c r="J29" s="27">
        <f>'Data Sheet'!I29</f>
        <v>681.75</v>
      </c>
      <c r="K29" s="27">
        <f>'Data Sheet'!J29</f>
        <v>925.72</v>
      </c>
      <c r="L29" s="27">
        <f>'Data Sheet'!K29</f>
        <v>965.22</v>
      </c>
      <c r="M29" s="27">
        <f>IFERROR(SUM('Data Sheet'!H48:K48),0)</f>
        <v>969.43000000000006</v>
      </c>
    </row>
    <row r="30" spans="2:15" x14ac:dyDescent="0.3">
      <c r="B30" s="137" t="s">
        <v>100</v>
      </c>
      <c r="C30" s="138">
        <f>C29/C5</f>
        <v>1.9976094392201087E-2</v>
      </c>
      <c r="D30" s="138">
        <f t="shared" ref="D30:M30" si="11">D29/D5</f>
        <v>2.2548896005110227E-2</v>
      </c>
      <c r="E30" s="138">
        <f t="shared" si="11"/>
        <v>2.7658116701700236E-2</v>
      </c>
      <c r="F30" s="138">
        <f t="shared" si="11"/>
        <v>2.5968131202348269E-2</v>
      </c>
      <c r="G30" s="138">
        <f t="shared" si="11"/>
        <v>1.7844247332148514E-2</v>
      </c>
      <c r="H30" s="138">
        <f t="shared" si="11"/>
        <v>1.5906020197936795E-2</v>
      </c>
      <c r="I30" s="138">
        <f t="shared" si="11"/>
        <v>1.8456708958179923E-2</v>
      </c>
      <c r="J30" s="138">
        <f t="shared" si="11"/>
        <v>1.5914028995629274E-2</v>
      </c>
      <c r="K30" s="138">
        <f t="shared" si="11"/>
        <v>1.8226842398220238E-2</v>
      </c>
      <c r="L30" s="138">
        <f t="shared" si="11"/>
        <v>1.6260978923667471E-2</v>
      </c>
      <c r="M30" s="138">
        <f t="shared" si="11"/>
        <v>1.5725090963121472E-2</v>
      </c>
    </row>
    <row r="32" spans="2:15" x14ac:dyDescent="0.3">
      <c r="B32" s="2" t="s">
        <v>101</v>
      </c>
      <c r="C32" s="140">
        <f>'Data Sheet'!B30</f>
        <v>320.24</v>
      </c>
      <c r="D32" s="140">
        <f>'Data Sheet'!C30</f>
        <v>478.75</v>
      </c>
      <c r="E32" s="140">
        <f>'Data Sheet'!D30</f>
        <v>806.26</v>
      </c>
      <c r="F32" s="140">
        <f>'Data Sheet'!E30</f>
        <v>902.54</v>
      </c>
      <c r="G32" s="140">
        <f>'Data Sheet'!F30</f>
        <v>1301.08</v>
      </c>
      <c r="H32" s="140">
        <f>'Data Sheet'!G30</f>
        <v>1099.49</v>
      </c>
      <c r="I32" s="140">
        <f>'Data Sheet'!H30</f>
        <v>1492.55</v>
      </c>
      <c r="J32" s="140">
        <f>'Data Sheet'!I30</f>
        <v>2378.5100000000002</v>
      </c>
      <c r="K32" s="140">
        <f>'Data Sheet'!J30</f>
        <v>2536.17</v>
      </c>
      <c r="L32" s="140">
        <f>'Data Sheet'!K30</f>
        <v>2708.02</v>
      </c>
      <c r="M32" s="140">
        <f>IFERROR(SUM('Data Sheet'!H49:K49),0)</f>
        <v>2707.17</v>
      </c>
    </row>
    <row r="33" spans="2:13" x14ac:dyDescent="0.3">
      <c r="B33" s="137" t="s">
        <v>102</v>
      </c>
      <c r="C33" s="138">
        <f>IFERROR(C32/C5,0)</f>
        <v>3.7307660046413227E-2</v>
      </c>
      <c r="D33" s="138">
        <f t="shared" ref="D33:M33" si="12">IFERROR(D32/D5,0)</f>
        <v>4.0238869697504558E-2</v>
      </c>
      <c r="E33" s="138">
        <f t="shared" si="12"/>
        <v>5.3631961259079902E-2</v>
      </c>
      <c r="F33" s="138">
        <f t="shared" si="12"/>
        <v>4.511680360238586E-2</v>
      </c>
      <c r="G33" s="138">
        <f t="shared" si="12"/>
        <v>5.2314818537848508E-2</v>
      </c>
      <c r="H33" s="138">
        <f t="shared" si="12"/>
        <v>4.5540623268135849E-2</v>
      </c>
      <c r="I33" s="138">
        <f t="shared" si="12"/>
        <v>4.8183658006596658E-2</v>
      </c>
      <c r="J33" s="138">
        <f t="shared" si="12"/>
        <v>5.5521345223900537E-2</v>
      </c>
      <c r="K33" s="138">
        <f t="shared" si="12"/>
        <v>4.9935586230279376E-2</v>
      </c>
      <c r="L33" s="138">
        <f t="shared" si="12"/>
        <v>4.5621781712842653E-2</v>
      </c>
      <c r="M33" s="138">
        <f t="shared" si="12"/>
        <v>4.3912912229489037E-2</v>
      </c>
    </row>
    <row r="35" spans="2:13" x14ac:dyDescent="0.3">
      <c r="B35" t="s">
        <v>103</v>
      </c>
      <c r="C35" s="27">
        <f>IFERROR('Data Sheet'!B93,0)</f>
        <v>56.15</v>
      </c>
      <c r="D35" s="27">
        <f>IFERROR('Data Sheet'!C93,0)</f>
        <v>62.41</v>
      </c>
      <c r="E35" s="27">
        <f>IFERROR('Data Sheet'!D93,0)</f>
        <v>62.41</v>
      </c>
      <c r="F35" s="27">
        <f>IFERROR('Data Sheet'!E93,0)</f>
        <v>62.41</v>
      </c>
      <c r="G35" s="27">
        <f>IFERROR('Data Sheet'!F93,0)</f>
        <v>64.78</v>
      </c>
      <c r="H35" s="27">
        <f>IFERROR('Data Sheet'!G93,0)</f>
        <v>64.78</v>
      </c>
      <c r="I35" s="27">
        <f>IFERROR('Data Sheet'!H93,0)</f>
        <v>64.78</v>
      </c>
      <c r="J35" s="27">
        <f>IFERROR('Data Sheet'!I93,0)</f>
        <v>64.83</v>
      </c>
      <c r="K35" s="27">
        <f>IFERROR('Data Sheet'!J93,0)</f>
        <v>65.069999999999993</v>
      </c>
      <c r="L35" s="27">
        <f>IFERROR('Data Sheet'!K93,0)</f>
        <v>65.069999999999993</v>
      </c>
      <c r="M35" s="27"/>
    </row>
    <row r="37" spans="2:13" x14ac:dyDescent="0.3">
      <c r="B37" t="s">
        <v>48</v>
      </c>
      <c r="C37" s="27">
        <f>IFERROR(C32/C35,0)</f>
        <v>5.7032947462154944</v>
      </c>
      <c r="D37" s="27">
        <f t="shared" ref="D37:M37" si="13">IFERROR(D32/D35,0)</f>
        <v>7.6710463066816219</v>
      </c>
      <c r="E37" s="27">
        <f t="shared" si="13"/>
        <v>12.918763018746997</v>
      </c>
      <c r="F37" s="27">
        <f t="shared" si="13"/>
        <v>14.461464508892806</v>
      </c>
      <c r="G37" s="27">
        <f t="shared" si="13"/>
        <v>20.084594010497067</v>
      </c>
      <c r="H37" s="27">
        <f t="shared" si="13"/>
        <v>16.972676752083977</v>
      </c>
      <c r="I37" s="27">
        <f t="shared" si="13"/>
        <v>23.040290213028712</v>
      </c>
      <c r="J37" s="27">
        <f t="shared" si="13"/>
        <v>36.688415856856395</v>
      </c>
      <c r="K37" s="27">
        <f t="shared" si="13"/>
        <v>38.976025818349477</v>
      </c>
      <c r="L37" s="27">
        <f t="shared" si="13"/>
        <v>41.617027816197947</v>
      </c>
      <c r="M37" s="27">
        <f t="shared" si="13"/>
        <v>0</v>
      </c>
    </row>
    <row r="38" spans="2:13" x14ac:dyDescent="0.3">
      <c r="B38" s="137" t="s">
        <v>105</v>
      </c>
      <c r="C38" s="138"/>
      <c r="D38" s="138">
        <f>IFERROR(D37/C37-1,0)</f>
        <v>0.34502014151940119</v>
      </c>
      <c r="E38" s="138">
        <f t="shared" ref="E38:M38" si="14">IFERROR(E37/D37-1,0)</f>
        <v>0.68409399477806798</v>
      </c>
      <c r="F38" s="138">
        <f t="shared" si="14"/>
        <v>0.11941557314017803</v>
      </c>
      <c r="G38" s="138">
        <f t="shared" si="14"/>
        <v>0.38883541138910394</v>
      </c>
      <c r="H38" s="138">
        <f t="shared" si="14"/>
        <v>-0.1549405109601254</v>
      </c>
      <c r="I38" s="138">
        <f t="shared" si="14"/>
        <v>0.35749301949085477</v>
      </c>
      <c r="J38" s="138">
        <f t="shared" si="14"/>
        <v>0.5923591030164197</v>
      </c>
      <c r="K38" s="138">
        <f t="shared" si="14"/>
        <v>6.2352377666520908E-2</v>
      </c>
      <c r="L38" s="138">
        <f t="shared" si="14"/>
        <v>6.7759653335541348E-2</v>
      </c>
      <c r="M38" s="138">
        <f t="shared" si="14"/>
        <v>-1</v>
      </c>
    </row>
    <row r="40" spans="2:13" x14ac:dyDescent="0.3">
      <c r="B40" t="s">
        <v>104</v>
      </c>
      <c r="C40" s="27">
        <f>IFERROR('Data Sheet'!B31/HistoricaIFS!C35,0)</f>
        <v>0</v>
      </c>
      <c r="D40" s="27">
        <f>IFERROR('Data Sheet'!C31/HistoricaIFS!D35,0)</f>
        <v>0</v>
      </c>
      <c r="E40" s="27">
        <f>IFERROR('Data Sheet'!D31/HistoricaIFS!E35,0)</f>
        <v>0</v>
      </c>
      <c r="F40" s="27">
        <f>IFERROR('Data Sheet'!E31/HistoricaIFS!F35,0)</f>
        <v>0</v>
      </c>
      <c r="G40" s="27">
        <f>IFERROR('Data Sheet'!F31/HistoricaIFS!G35,0)</f>
        <v>0</v>
      </c>
      <c r="H40" s="27">
        <f>IFERROR('Data Sheet'!G31/HistoricaIFS!H35,0)</f>
        <v>0</v>
      </c>
      <c r="I40" s="27">
        <f>IFERROR('Data Sheet'!H31/HistoricaIFS!I35,0)</f>
        <v>0</v>
      </c>
      <c r="J40" s="27">
        <f>IFERROR('Data Sheet'!I31/HistoricaIFS!J35,0)</f>
        <v>0</v>
      </c>
      <c r="K40" s="27">
        <f>IFERROR('Data Sheet'!J31/HistoricaIFS!K35,0)</f>
        <v>0</v>
      </c>
      <c r="L40" s="27">
        <f>IFERROR('Data Sheet'!K31/HistoricaIFS!L35,0)</f>
        <v>0</v>
      </c>
      <c r="M40" s="27">
        <f>IFERROR('Data Sheet'!L31/HistoricaIFS!M35,0)</f>
        <v>0</v>
      </c>
    </row>
    <row r="41" spans="2:13" x14ac:dyDescent="0.3">
      <c r="B41" s="137" t="s">
        <v>106</v>
      </c>
      <c r="C41" s="138">
        <f>C40/C37</f>
        <v>0</v>
      </c>
      <c r="D41" s="138">
        <f t="shared" ref="D41:L41" si="15">D40/D37</f>
        <v>0</v>
      </c>
      <c r="E41" s="138">
        <f t="shared" si="15"/>
        <v>0</v>
      </c>
      <c r="F41" s="138">
        <f t="shared" si="15"/>
        <v>0</v>
      </c>
      <c r="G41" s="138">
        <f t="shared" si="15"/>
        <v>0</v>
      </c>
      <c r="H41" s="138">
        <f t="shared" si="15"/>
        <v>0</v>
      </c>
      <c r="I41" s="138">
        <f t="shared" si="15"/>
        <v>0</v>
      </c>
      <c r="J41" s="138">
        <f t="shared" si="15"/>
        <v>0</v>
      </c>
      <c r="K41" s="138">
        <f t="shared" si="15"/>
        <v>0</v>
      </c>
      <c r="L41" s="138">
        <f t="shared" si="15"/>
        <v>0</v>
      </c>
      <c r="M41" s="138"/>
    </row>
    <row r="43" spans="2:13" x14ac:dyDescent="0.3">
      <c r="B43" t="s">
        <v>107</v>
      </c>
      <c r="C43" s="5">
        <f>IFERROR(IF(C37&gt;C40,1-C40,0),0)</f>
        <v>1</v>
      </c>
      <c r="D43" s="5">
        <f t="shared" ref="D43:M43" si="16">IFERROR(IF(D37&gt;D40,1-D40,0),0)</f>
        <v>1</v>
      </c>
      <c r="E43" s="5">
        <f t="shared" si="16"/>
        <v>1</v>
      </c>
      <c r="F43" s="5">
        <f t="shared" si="16"/>
        <v>1</v>
      </c>
      <c r="G43" s="5">
        <f t="shared" si="16"/>
        <v>1</v>
      </c>
      <c r="H43" s="5">
        <f t="shared" si="16"/>
        <v>1</v>
      </c>
      <c r="I43" s="5">
        <f t="shared" si="16"/>
        <v>1</v>
      </c>
      <c r="J43" s="5">
        <f t="shared" si="16"/>
        <v>1</v>
      </c>
      <c r="K43" s="5">
        <f t="shared" si="16"/>
        <v>1</v>
      </c>
      <c r="L43" s="5">
        <f t="shared" si="16"/>
        <v>1</v>
      </c>
      <c r="M43" s="5">
        <f t="shared" si="16"/>
        <v>0</v>
      </c>
    </row>
    <row r="46" spans="2:13" x14ac:dyDescent="0.3">
      <c r="B46" s="270" t="s">
        <v>108</v>
      </c>
      <c r="C46" s="270"/>
      <c r="D46" s="270"/>
      <c r="E46" s="270"/>
      <c r="F46" s="270"/>
      <c r="G46" s="270"/>
      <c r="H46" s="270"/>
      <c r="I46" s="270"/>
      <c r="J46" s="270"/>
      <c r="K46" s="270"/>
      <c r="L46" s="270"/>
      <c r="M46" s="270"/>
    </row>
    <row r="47" spans="2:13" x14ac:dyDescent="0.3">
      <c r="B47" t="s">
        <v>24</v>
      </c>
      <c r="C47" s="27">
        <f>IFERROR('Data Sheet'!B57,0)</f>
        <v>561.54</v>
      </c>
      <c r="D47" s="27">
        <f>IFERROR('Data Sheet'!C57,0)</f>
        <v>624.08000000000004</v>
      </c>
      <c r="E47" s="27">
        <f>IFERROR('Data Sheet'!D57,0)</f>
        <v>624.08000000000004</v>
      </c>
      <c r="F47" s="27">
        <f>IFERROR('Data Sheet'!E57,0)</f>
        <v>624.08000000000004</v>
      </c>
      <c r="G47" s="27">
        <f>IFERROR('Data Sheet'!F57,0)</f>
        <v>647.77</v>
      </c>
      <c r="H47" s="27">
        <f>IFERROR('Data Sheet'!G57,0)</f>
        <v>647.77</v>
      </c>
      <c r="I47" s="27">
        <f>IFERROR('Data Sheet'!H57,0)</f>
        <v>647.77</v>
      </c>
      <c r="J47" s="27">
        <f>IFERROR('Data Sheet'!I57,0)</f>
        <v>648.26</v>
      </c>
      <c r="K47" s="27">
        <f>IFERROR('Data Sheet'!J57,0)</f>
        <v>650.73</v>
      </c>
      <c r="L47" s="27">
        <f>IFERROR('Data Sheet'!K57,0)</f>
        <v>650.73</v>
      </c>
      <c r="M47" s="27"/>
    </row>
    <row r="48" spans="2:13" x14ac:dyDescent="0.3">
      <c r="B48" t="s">
        <v>25</v>
      </c>
      <c r="C48" s="27">
        <f>IFERROR('Data Sheet'!B58,0)</f>
        <v>958.9</v>
      </c>
      <c r="D48" s="27">
        <f>IFERROR('Data Sheet'!C58,0)</f>
        <v>3217.7</v>
      </c>
      <c r="E48" s="27">
        <f>IFERROR('Data Sheet'!D58,0)</f>
        <v>4044.97</v>
      </c>
      <c r="F48" s="27">
        <f>IFERROR('Data Sheet'!E58,0)</f>
        <v>4963.37</v>
      </c>
      <c r="G48" s="27">
        <f>IFERROR('Data Sheet'!F58,0)</f>
        <v>10431.969999999999</v>
      </c>
      <c r="H48" s="27">
        <f>IFERROR('Data Sheet'!G58,0)</f>
        <v>11535.94</v>
      </c>
      <c r="I48" s="27">
        <f>IFERROR('Data Sheet'!H58,0)</f>
        <v>13029.87</v>
      </c>
      <c r="J48" s="27">
        <f>IFERROR('Data Sheet'!I58,0)</f>
        <v>15430.44</v>
      </c>
      <c r="K48" s="27">
        <f>IFERROR('Data Sheet'!J58,0)</f>
        <v>18047.09</v>
      </c>
      <c r="L48" s="27">
        <f>IFERROR('Data Sheet'!K58,0)</f>
        <v>20777.02</v>
      </c>
      <c r="M48" s="27"/>
    </row>
    <row r="49" spans="2:13" x14ac:dyDescent="0.3">
      <c r="B49" t="s">
        <v>62</v>
      </c>
      <c r="C49" s="27">
        <f>IFERROR('Data Sheet'!B59,0)</f>
        <v>1192.3399999999999</v>
      </c>
      <c r="D49" s="27">
        <f>IFERROR('Data Sheet'!C59,0)</f>
        <v>1497.32</v>
      </c>
      <c r="E49" s="27">
        <f>IFERROR('Data Sheet'!D59,0)</f>
        <v>439.25</v>
      </c>
      <c r="F49" s="27">
        <f>IFERROR('Data Sheet'!E59,0)</f>
        <v>700.15</v>
      </c>
      <c r="G49" s="27">
        <f>IFERROR('Data Sheet'!F59,0)</f>
        <v>333.19</v>
      </c>
      <c r="H49" s="27">
        <f>IFERROR('Data Sheet'!G59,0)</f>
        <v>392.71</v>
      </c>
      <c r="I49" s="27">
        <f>IFERROR('Data Sheet'!H59,0)</f>
        <v>646.94000000000005</v>
      </c>
      <c r="J49" s="27">
        <f>IFERROR('Data Sheet'!I59,0)</f>
        <v>642.98</v>
      </c>
      <c r="K49" s="27">
        <f>IFERROR('Data Sheet'!J59,0)</f>
        <v>592.16</v>
      </c>
      <c r="L49" s="27">
        <f>IFERROR('Data Sheet'!K59,0)</f>
        <v>819.62</v>
      </c>
      <c r="M49" s="27"/>
    </row>
    <row r="50" spans="2:13" x14ac:dyDescent="0.3">
      <c r="B50" t="s">
        <v>63</v>
      </c>
      <c r="C50" s="27">
        <f>IFERROR('Data Sheet'!B60,0)</f>
        <v>388.78</v>
      </c>
      <c r="D50" s="27">
        <f>IFERROR('Data Sheet'!C60,0)</f>
        <v>480.18</v>
      </c>
      <c r="E50" s="27">
        <f>IFERROR('Data Sheet'!D60,0)</f>
        <v>539.91999999999996</v>
      </c>
      <c r="F50" s="27">
        <f>IFERROR('Data Sheet'!E60,0)</f>
        <v>717.9</v>
      </c>
      <c r="G50" s="27">
        <f>IFERROR('Data Sheet'!F60,0)</f>
        <v>663.23</v>
      </c>
      <c r="H50" s="27">
        <f>IFERROR('Data Sheet'!G60,0)</f>
        <v>1078.6300000000001</v>
      </c>
      <c r="I50" s="27">
        <f>IFERROR('Data Sheet'!H60,0)</f>
        <v>1146.4000000000001</v>
      </c>
      <c r="J50" s="27">
        <f>IFERROR('Data Sheet'!I60,0)</f>
        <v>1382.84</v>
      </c>
      <c r="K50" s="27">
        <f>IFERROR('Data Sheet'!J60,0)</f>
        <v>1882.5</v>
      </c>
      <c r="L50" s="27">
        <f>IFERROR('Data Sheet'!K60,0)</f>
        <v>2065.41</v>
      </c>
      <c r="M50" s="27"/>
    </row>
    <row r="51" spans="2:13" x14ac:dyDescent="0.3">
      <c r="B51" s="2" t="s">
        <v>109</v>
      </c>
      <c r="C51" s="140">
        <f>IFERROR('Data Sheet'!B61,0)</f>
        <v>3101.56</v>
      </c>
      <c r="D51" s="140">
        <f>IFERROR('Data Sheet'!C61,0)</f>
        <v>5819.28</v>
      </c>
      <c r="E51" s="140">
        <f>IFERROR('Data Sheet'!D61,0)</f>
        <v>5648.22</v>
      </c>
      <c r="F51" s="140">
        <f>IFERROR('Data Sheet'!E61,0)</f>
        <v>7005.5</v>
      </c>
      <c r="G51" s="140">
        <f>IFERROR('Data Sheet'!F61,0)</f>
        <v>12076.16</v>
      </c>
      <c r="H51" s="140">
        <f>IFERROR('Data Sheet'!G61,0)</f>
        <v>13655.05</v>
      </c>
      <c r="I51" s="140">
        <f>IFERROR('Data Sheet'!H61,0)</f>
        <v>15470.98</v>
      </c>
      <c r="J51" s="140">
        <f>IFERROR('Data Sheet'!I61,0)</f>
        <v>18104.52</v>
      </c>
      <c r="K51" s="140">
        <f>IFERROR('Data Sheet'!J61,0)</f>
        <v>21172.48</v>
      </c>
      <c r="L51" s="140">
        <f>IFERROR('Data Sheet'!K61,0)</f>
        <v>24312.78</v>
      </c>
      <c r="M51" s="27"/>
    </row>
    <row r="54" spans="2:13" x14ac:dyDescent="0.3">
      <c r="B54" t="s">
        <v>110</v>
      </c>
      <c r="C54" s="27">
        <f>IFERROR('Data Sheet'!B62,0)</f>
        <v>2093.52</v>
      </c>
      <c r="D54" s="27">
        <f>IFERROR('Data Sheet'!C62,0)</f>
        <v>2577.75</v>
      </c>
      <c r="E54" s="27">
        <f>IFERROR('Data Sheet'!D62,0)</f>
        <v>3399.97</v>
      </c>
      <c r="F54" s="27">
        <f>IFERROR('Data Sheet'!E62,0)</f>
        <v>4400.37</v>
      </c>
      <c r="G54" s="27">
        <f>IFERROR('Data Sheet'!F62,0)</f>
        <v>5948.03</v>
      </c>
      <c r="H54" s="27">
        <f>IFERROR('Data Sheet'!G62,0)</f>
        <v>7008.8</v>
      </c>
      <c r="I54" s="27">
        <f>IFERROR('Data Sheet'!H62,0)</f>
        <v>9260.02</v>
      </c>
      <c r="J54" s="27">
        <f>IFERROR('Data Sheet'!I62,0)</f>
        <v>11340.48</v>
      </c>
      <c r="K54" s="27">
        <f>IFERROR('Data Sheet'!J62,0)</f>
        <v>13415</v>
      </c>
      <c r="L54" s="27">
        <f>IFERROR('Data Sheet'!K62,0)</f>
        <v>16206.46</v>
      </c>
    </row>
    <row r="55" spans="2:13" x14ac:dyDescent="0.3">
      <c r="B55" t="s">
        <v>28</v>
      </c>
      <c r="C55" s="27">
        <f>IFERROR('Data Sheet'!B63,0)</f>
        <v>81.69</v>
      </c>
      <c r="D55" s="27">
        <f>IFERROR('Data Sheet'!C63,0)</f>
        <v>152.88999999999999</v>
      </c>
      <c r="E55" s="27">
        <f>IFERROR('Data Sheet'!D63,0)</f>
        <v>147.07</v>
      </c>
      <c r="F55" s="27">
        <f>IFERROR('Data Sheet'!E63,0)</f>
        <v>376.84</v>
      </c>
      <c r="G55" s="27">
        <f>IFERROR('Data Sheet'!F63,0)</f>
        <v>364.4</v>
      </c>
      <c r="H55" s="27">
        <f>IFERROR('Data Sheet'!G63,0)</f>
        <v>1019.59</v>
      </c>
      <c r="I55" s="27">
        <f>IFERROR('Data Sheet'!H63,0)</f>
        <v>1129.3399999999999</v>
      </c>
      <c r="J55" s="27">
        <f>IFERROR('Data Sheet'!I63,0)</f>
        <v>829.16</v>
      </c>
      <c r="K55" s="27">
        <f>IFERROR('Data Sheet'!J63,0)</f>
        <v>935.22</v>
      </c>
      <c r="L55" s="27">
        <f>IFERROR('Data Sheet'!K63,0)</f>
        <v>1099.3499999999999</v>
      </c>
    </row>
    <row r="56" spans="2:13" x14ac:dyDescent="0.3">
      <c r="B56" t="s">
        <v>29</v>
      </c>
      <c r="C56" s="27">
        <f>IFERROR('Data Sheet'!B64,0)</f>
        <v>29.33</v>
      </c>
      <c r="D56" s="27">
        <f>IFERROR('Data Sheet'!C64,0)</f>
        <v>25.69</v>
      </c>
      <c r="E56" s="27">
        <f>IFERROR('Data Sheet'!D64,0)</f>
        <v>68.180000000000007</v>
      </c>
      <c r="F56" s="27">
        <f>IFERROR('Data Sheet'!E64,0)</f>
        <v>16.53</v>
      </c>
      <c r="G56" s="27">
        <f>IFERROR('Data Sheet'!F64,0)</f>
        <v>14.68</v>
      </c>
      <c r="H56" s="27">
        <f>IFERROR('Data Sheet'!G64,0)</f>
        <v>2.95</v>
      </c>
      <c r="I56" s="27">
        <f>IFERROR('Data Sheet'!H64,0)</f>
        <v>5.94</v>
      </c>
      <c r="J56" s="27">
        <f>IFERROR('Data Sheet'!I64,0)</f>
        <v>202.2</v>
      </c>
      <c r="K56" s="27">
        <f>IFERROR('Data Sheet'!J64,0)</f>
        <v>106.67</v>
      </c>
      <c r="L56" s="27">
        <f>IFERROR('Data Sheet'!K64,0)</f>
        <v>3.26</v>
      </c>
    </row>
    <row r="57" spans="2:13" x14ac:dyDescent="0.3">
      <c r="B57" t="s">
        <v>64</v>
      </c>
      <c r="C57" s="27">
        <f>IFERROR('Data Sheet'!B65-SUM('Data Sheet'!B67:B69),0)</f>
        <v>181.80999999999995</v>
      </c>
      <c r="D57" s="27">
        <f>IFERROR('Data Sheet'!C65-SUM('Data Sheet'!C67:C69),0)</f>
        <v>209.75999999999976</v>
      </c>
      <c r="E57" s="27">
        <f>IFERROR('Data Sheet'!D65-SUM('Data Sheet'!D67:D69),0)</f>
        <v>275.84999999999991</v>
      </c>
      <c r="F57" s="27">
        <f>IFERROR('Data Sheet'!E65-SUM('Data Sheet'!E67:E69),0)</f>
        <v>319.6700000000003</v>
      </c>
      <c r="G57" s="27">
        <f>IFERROR('Data Sheet'!F65-SUM('Data Sheet'!F67:F69),0)</f>
        <v>3674.2200000000003</v>
      </c>
      <c r="H57" s="27">
        <f>IFERROR('Data Sheet'!G65-SUM('Data Sheet'!G67:G69),0)</f>
        <v>1886.27</v>
      </c>
      <c r="I57" s="27">
        <f>IFERROR('Data Sheet'!H65-SUM('Data Sheet'!H67:H69),0)</f>
        <v>1967.5500000000006</v>
      </c>
      <c r="J57" s="27">
        <f>IFERROR('Data Sheet'!I65-SUM('Data Sheet'!I67:I69),0)</f>
        <v>1018.7100000000009</v>
      </c>
      <c r="K57" s="27">
        <f>IFERROR('Data Sheet'!J65-SUM('Data Sheet'!J67:J69),0)</f>
        <v>1983.7300000000005</v>
      </c>
      <c r="L57" s="27">
        <f>IFERROR('Data Sheet'!K65-SUM('Data Sheet'!K67:K69),0)</f>
        <v>1447.3500000000004</v>
      </c>
    </row>
    <row r="58" spans="2:13" x14ac:dyDescent="0.3">
      <c r="B58" s="2" t="s">
        <v>111</v>
      </c>
      <c r="C58" s="140">
        <f>SUM(C54:C57)</f>
        <v>2386.35</v>
      </c>
      <c r="D58" s="140">
        <f t="shared" ref="D58:L58" si="17">SUM(D54:D57)</f>
        <v>2966.0899999999997</v>
      </c>
      <c r="E58" s="140">
        <f t="shared" si="17"/>
        <v>3891.0699999999997</v>
      </c>
      <c r="F58" s="140">
        <f t="shared" si="17"/>
        <v>5113.41</v>
      </c>
      <c r="G58" s="140">
        <f t="shared" si="17"/>
        <v>10001.33</v>
      </c>
      <c r="H58" s="140">
        <f t="shared" si="17"/>
        <v>9917.61</v>
      </c>
      <c r="I58" s="140">
        <f t="shared" si="17"/>
        <v>12362.850000000002</v>
      </c>
      <c r="J58" s="140">
        <f t="shared" si="17"/>
        <v>13390.550000000001</v>
      </c>
      <c r="K58" s="140">
        <f t="shared" si="17"/>
        <v>16440.62</v>
      </c>
      <c r="L58" s="140">
        <f t="shared" si="17"/>
        <v>18756.419999999998</v>
      </c>
    </row>
    <row r="59" spans="2:13" x14ac:dyDescent="0.3">
      <c r="C59" s="27"/>
    </row>
    <row r="61" spans="2:13" x14ac:dyDescent="0.3">
      <c r="B61" t="s">
        <v>69</v>
      </c>
      <c r="C61" s="27">
        <f>IFERROR('Data Sheet'!B67,0)</f>
        <v>8.42</v>
      </c>
      <c r="D61" s="27">
        <f>IFERROR('Data Sheet'!C67,0)</f>
        <v>21</v>
      </c>
      <c r="E61" s="27">
        <f>IFERROR('Data Sheet'!D67,0)</f>
        <v>33.520000000000003</v>
      </c>
      <c r="F61" s="27">
        <f>IFERROR('Data Sheet'!E67,0)</f>
        <v>64.37</v>
      </c>
      <c r="G61" s="27">
        <f>IFERROR('Data Sheet'!F67,0)</f>
        <v>19.55</v>
      </c>
      <c r="H61" s="27">
        <f>IFERROR('Data Sheet'!G67,0)</f>
        <v>43.58</v>
      </c>
      <c r="I61" s="27">
        <f>IFERROR('Data Sheet'!H67,0)</f>
        <v>66.89</v>
      </c>
      <c r="J61" s="27">
        <f>IFERROR('Data Sheet'!I67,0)</f>
        <v>62.16</v>
      </c>
      <c r="K61" s="27">
        <f>IFERROR('Data Sheet'!J67,0)</f>
        <v>166.37</v>
      </c>
      <c r="L61" s="27">
        <f>IFERROR('Data Sheet'!K67,0)</f>
        <v>153.79</v>
      </c>
    </row>
    <row r="62" spans="2:13" x14ac:dyDescent="0.3">
      <c r="B62" t="s">
        <v>45</v>
      </c>
      <c r="C62" s="27">
        <f>IFERROR('Data Sheet'!B68,0)</f>
        <v>671.69</v>
      </c>
      <c r="D62" s="27">
        <f>IFERROR('Data Sheet'!C68,0)</f>
        <v>947.9</v>
      </c>
      <c r="E62" s="27">
        <f>IFERROR('Data Sheet'!D68,0)</f>
        <v>1163.45</v>
      </c>
      <c r="F62" s="27">
        <f>IFERROR('Data Sheet'!E68,0)</f>
        <v>1608.65</v>
      </c>
      <c r="G62" s="27">
        <f>IFERROR('Data Sheet'!F68,0)</f>
        <v>1947.4</v>
      </c>
      <c r="H62" s="27">
        <f>IFERROR('Data Sheet'!G68,0)</f>
        <v>2248.2800000000002</v>
      </c>
      <c r="I62" s="27">
        <f>IFERROR('Data Sheet'!H68,0)</f>
        <v>2742.66</v>
      </c>
      <c r="J62" s="27">
        <f>IFERROR('Data Sheet'!I68,0)</f>
        <v>3243.48</v>
      </c>
      <c r="K62" s="27">
        <f>IFERROR('Data Sheet'!J68,0)</f>
        <v>3927.31</v>
      </c>
      <c r="L62" s="27">
        <f>IFERROR('Data Sheet'!K68,0)</f>
        <v>5044.37</v>
      </c>
    </row>
    <row r="63" spans="2:13" x14ac:dyDescent="0.3">
      <c r="B63" t="s">
        <v>78</v>
      </c>
      <c r="C63" s="27">
        <f>IFERROR('Data Sheet'!B69,0)</f>
        <v>35.1</v>
      </c>
      <c r="D63" s="27">
        <f>IFERROR('Data Sheet'!C69,0)</f>
        <v>1884.29</v>
      </c>
      <c r="E63" s="27">
        <f>IFERROR('Data Sheet'!D69,0)</f>
        <v>560.17999999999995</v>
      </c>
      <c r="F63" s="27">
        <f>IFERROR('Data Sheet'!E69,0)</f>
        <v>219.07</v>
      </c>
      <c r="G63" s="27">
        <f>IFERROR('Data Sheet'!F69,0)</f>
        <v>107.88</v>
      </c>
      <c r="H63" s="27">
        <f>IFERROR('Data Sheet'!G69,0)</f>
        <v>1445.58</v>
      </c>
      <c r="I63" s="27">
        <f>IFERROR('Data Sheet'!H69,0)</f>
        <v>298.58</v>
      </c>
      <c r="J63" s="27">
        <f>IFERROR('Data Sheet'!I69,0)</f>
        <v>1408.33</v>
      </c>
      <c r="K63" s="27">
        <f>IFERROR('Data Sheet'!J69,0)</f>
        <v>638.17999999999995</v>
      </c>
      <c r="L63" s="27">
        <f>IFERROR('Data Sheet'!K69,0)</f>
        <v>358.2</v>
      </c>
    </row>
    <row r="64" spans="2:13" x14ac:dyDescent="0.3">
      <c r="B64" s="2" t="s">
        <v>112</v>
      </c>
      <c r="C64" s="140">
        <f>IFERROR(SUM(C61:C63),0)</f>
        <v>715.21</v>
      </c>
      <c r="D64" s="140">
        <f t="shared" ref="D64:L64" si="18">IFERROR(SUM(D61:D63),0)</f>
        <v>2853.19</v>
      </c>
      <c r="E64" s="140">
        <f t="shared" si="18"/>
        <v>1757.15</v>
      </c>
      <c r="F64" s="140">
        <f t="shared" si="18"/>
        <v>1892.09</v>
      </c>
      <c r="G64" s="140">
        <f t="shared" si="18"/>
        <v>2074.83</v>
      </c>
      <c r="H64" s="140">
        <f t="shared" si="18"/>
        <v>3737.44</v>
      </c>
      <c r="I64" s="140">
        <f t="shared" si="18"/>
        <v>3108.1299999999997</v>
      </c>
      <c r="J64" s="140">
        <f t="shared" si="18"/>
        <v>4713.9699999999993</v>
      </c>
      <c r="K64" s="140">
        <f t="shared" si="18"/>
        <v>4731.8599999999997</v>
      </c>
      <c r="L64" s="140">
        <f t="shared" si="18"/>
        <v>5556.36</v>
      </c>
    </row>
    <row r="66" spans="1:13" x14ac:dyDescent="0.3">
      <c r="B66" s="2" t="s">
        <v>113</v>
      </c>
      <c r="C66" s="140">
        <f>C58+C64</f>
        <v>3101.56</v>
      </c>
      <c r="D66" s="140">
        <f t="shared" ref="D66:L66" si="19">D58+D64</f>
        <v>5819.28</v>
      </c>
      <c r="E66" s="140">
        <f t="shared" si="19"/>
        <v>5648.2199999999993</v>
      </c>
      <c r="F66" s="140">
        <f t="shared" si="19"/>
        <v>7005.5</v>
      </c>
      <c r="G66" s="140">
        <f t="shared" si="19"/>
        <v>12076.16</v>
      </c>
      <c r="H66" s="140">
        <f t="shared" si="19"/>
        <v>13655.050000000001</v>
      </c>
      <c r="I66" s="140">
        <f t="shared" si="19"/>
        <v>15470.980000000001</v>
      </c>
      <c r="J66" s="140">
        <f t="shared" si="19"/>
        <v>18104.52</v>
      </c>
      <c r="K66" s="140">
        <f t="shared" si="19"/>
        <v>21172.48</v>
      </c>
      <c r="L66" s="140">
        <f t="shared" si="19"/>
        <v>24312.78</v>
      </c>
    </row>
    <row r="68" spans="1:13" x14ac:dyDescent="0.3">
      <c r="B68" s="2" t="s">
        <v>114</v>
      </c>
      <c r="C68" s="140" t="b">
        <f>C66=C51</f>
        <v>1</v>
      </c>
      <c r="D68" s="140" t="b">
        <f t="shared" ref="D68:L68" si="20">D66=D51</f>
        <v>1</v>
      </c>
      <c r="E68" s="140" t="b">
        <f t="shared" si="20"/>
        <v>1</v>
      </c>
      <c r="F68" s="140" t="b">
        <f t="shared" si="20"/>
        <v>1</v>
      </c>
      <c r="G68" s="140" t="b">
        <f t="shared" si="20"/>
        <v>1</v>
      </c>
      <c r="H68" s="140" t="b">
        <f t="shared" si="20"/>
        <v>1</v>
      </c>
      <c r="I68" s="140" t="b">
        <f t="shared" si="20"/>
        <v>1</v>
      </c>
      <c r="J68" s="140" t="b">
        <f t="shared" si="20"/>
        <v>1</v>
      </c>
      <c r="K68" s="140" t="b">
        <f t="shared" si="20"/>
        <v>1</v>
      </c>
      <c r="L68" s="140" t="b">
        <f t="shared" si="20"/>
        <v>1</v>
      </c>
    </row>
    <row r="71" spans="1:13" x14ac:dyDescent="0.3">
      <c r="A71" t="s">
        <v>83</v>
      </c>
      <c r="B71" s="270" t="s">
        <v>140</v>
      </c>
      <c r="C71" s="270"/>
      <c r="D71" s="270"/>
      <c r="E71" s="270"/>
      <c r="F71" s="270"/>
      <c r="G71" s="270"/>
      <c r="H71" s="270"/>
      <c r="I71" s="270"/>
      <c r="J71" s="270"/>
      <c r="K71" s="270"/>
      <c r="L71" s="270"/>
      <c r="M71" s="270"/>
    </row>
    <row r="72" spans="1:13" x14ac:dyDescent="0.3">
      <c r="B72" s="142" t="s">
        <v>141</v>
      </c>
    </row>
    <row r="73" spans="1:13" x14ac:dyDescent="0.3">
      <c r="B73" s="77" t="s">
        <v>115</v>
      </c>
      <c r="C73" s="27">
        <f>IFERROR('Cash Flow Data'!C5,0)</f>
        <v>356</v>
      </c>
      <c r="D73" s="27">
        <f>IFERROR('Cash Flow Data'!D5,0)</f>
        <v>474</v>
      </c>
      <c r="E73" s="27">
        <f>IFERROR('Cash Flow Data'!E5,0)</f>
        <v>666</v>
      </c>
      <c r="F73" s="27">
        <f>IFERROR('Cash Flow Data'!F5,0)</f>
        <v>984</v>
      </c>
      <c r="G73" s="27">
        <f>IFERROR('Cash Flow Data'!G5,0)</f>
        <v>1375</v>
      </c>
      <c r="H73" s="27">
        <f>IFERROR('Cash Flow Data'!H5,0)</f>
        <v>1659</v>
      </c>
      <c r="I73" s="27">
        <f>IFERROR('Cash Flow Data'!I5,0)</f>
        <v>2149</v>
      </c>
      <c r="J73" s="27">
        <f>IFERROR('Cash Flow Data'!J5,0)</f>
        <v>1764</v>
      </c>
      <c r="K73" s="27">
        <f>IFERROR('Cash Flow Data'!K5,0)</f>
        <v>2515</v>
      </c>
      <c r="L73" s="27">
        <f>IFERROR('Cash Flow Data'!L5,0)</f>
        <v>3659</v>
      </c>
    </row>
    <row r="74" spans="1:13" x14ac:dyDescent="0.3">
      <c r="B74" s="30" t="s">
        <v>69</v>
      </c>
      <c r="C74" s="27">
        <f>IFERROR('Cash Flow Data'!C6,0)</f>
        <v>4</v>
      </c>
      <c r="D74" s="27">
        <f>IFERROR('Cash Flow Data'!D6,0)</f>
        <v>2</v>
      </c>
      <c r="E74" s="27">
        <f>IFERROR('Cash Flow Data'!E6,0)</f>
        <v>-1</v>
      </c>
      <c r="F74" s="27">
        <f>IFERROR('Cash Flow Data'!F6,0)</f>
        <v>54</v>
      </c>
      <c r="G74" s="27">
        <f>IFERROR('Cash Flow Data'!G6,0)</f>
        <v>-13</v>
      </c>
      <c r="H74" s="27">
        <f>IFERROR('Cash Flow Data'!H6,0)</f>
        <v>-31</v>
      </c>
      <c r="I74" s="27">
        <f>IFERROR('Cash Flow Data'!I6,0)</f>
        <v>45</v>
      </c>
      <c r="J74" s="27">
        <f>IFERROR('Cash Flow Data'!J6,0)</f>
        <v>-24</v>
      </c>
      <c r="K74" s="27">
        <f>IFERROR('Cash Flow Data'!K6,0)</f>
        <v>-23</v>
      </c>
      <c r="L74" s="27">
        <f>IFERROR('Cash Flow Data'!L6,0)</f>
        <v>5</v>
      </c>
    </row>
    <row r="75" spans="1:13" x14ac:dyDescent="0.3">
      <c r="B75" s="30" t="s">
        <v>45</v>
      </c>
      <c r="C75" s="27">
        <f>IFERROR('Cash Flow Data'!C7,0)</f>
        <v>-102</v>
      </c>
      <c r="D75" s="27">
        <f>IFERROR('Cash Flow Data'!D7,0)</f>
        <v>-161</v>
      </c>
      <c r="E75" s="27">
        <f>IFERROR('Cash Flow Data'!E7,0)</f>
        <v>-132</v>
      </c>
      <c r="F75" s="27">
        <f>IFERROR('Cash Flow Data'!F7,0)</f>
        <v>-276</v>
      </c>
      <c r="G75" s="27">
        <f>IFERROR('Cash Flow Data'!G7,0)</f>
        <v>-212</v>
      </c>
      <c r="H75" s="27">
        <f>IFERROR('Cash Flow Data'!H7,0)</f>
        <v>-445</v>
      </c>
      <c r="I75" s="27">
        <f>IFERROR('Cash Flow Data'!I7,0)</f>
        <v>-339</v>
      </c>
      <c r="J75" s="27">
        <f>IFERROR('Cash Flow Data'!J7,0)</f>
        <v>-301</v>
      </c>
      <c r="K75" s="27">
        <f>IFERROR('Cash Flow Data'!K7,0)</f>
        <v>-494</v>
      </c>
      <c r="L75" s="27">
        <f>IFERROR('Cash Flow Data'!L7,0)</f>
        <v>-501</v>
      </c>
    </row>
    <row r="76" spans="1:13" x14ac:dyDescent="0.3">
      <c r="B76" s="30" t="s">
        <v>116</v>
      </c>
      <c r="C76" s="27">
        <f>IFERROR('Cash Flow Data'!C8,0)</f>
        <v>28</v>
      </c>
      <c r="D76" s="27">
        <f>IFERROR('Cash Flow Data'!D8,0)</f>
        <v>-4</v>
      </c>
      <c r="E76" s="27">
        <f>IFERROR('Cash Flow Data'!E8,0)</f>
        <v>72</v>
      </c>
      <c r="F76" s="27">
        <f>IFERROR('Cash Flow Data'!F8,0)</f>
        <v>0</v>
      </c>
      <c r="G76" s="27">
        <f>IFERROR('Cash Flow Data'!G8,0)</f>
        <v>55</v>
      </c>
      <c r="H76" s="27">
        <f>IFERROR('Cash Flow Data'!H8,0)</f>
        <v>146</v>
      </c>
      <c r="I76" s="27">
        <f>IFERROR('Cash Flow Data'!I8,0)</f>
        <v>-30</v>
      </c>
      <c r="J76" s="27">
        <f>IFERROR('Cash Flow Data'!J8,0)</f>
        <v>145</v>
      </c>
      <c r="K76" s="27">
        <f>IFERROR('Cash Flow Data'!K8,0)</f>
        <v>11</v>
      </c>
      <c r="L76" s="27">
        <f>IFERROR('Cash Flow Data'!L8,0)</f>
        <v>165</v>
      </c>
    </row>
    <row r="77" spans="1:13" x14ac:dyDescent="0.3">
      <c r="B77" s="30" t="s">
        <v>117</v>
      </c>
      <c r="C77" s="27">
        <f>IFERROR('Cash Flow Data'!C9,0)</f>
        <v>-18</v>
      </c>
      <c r="D77" s="27">
        <f>IFERROR('Cash Flow Data'!D9,0)</f>
        <v>-5</v>
      </c>
      <c r="E77" s="27">
        <f>IFERROR('Cash Flow Data'!E9,0)</f>
        <v>0</v>
      </c>
      <c r="F77" s="27">
        <f>IFERROR('Cash Flow Data'!F9,0)</f>
        <v>0</v>
      </c>
      <c r="G77" s="27">
        <f>IFERROR('Cash Flow Data'!G9,0)</f>
        <v>0</v>
      </c>
      <c r="H77" s="27">
        <f>IFERROR('Cash Flow Data'!H9,0)</f>
        <v>0</v>
      </c>
      <c r="I77" s="27">
        <f>IFERROR('Cash Flow Data'!I9,0)</f>
        <v>0</v>
      </c>
      <c r="J77" s="27">
        <f>IFERROR('Cash Flow Data'!J9,0)</f>
        <v>0</v>
      </c>
      <c r="K77" s="27">
        <f>IFERROR('Cash Flow Data'!K9,0)</f>
        <v>0</v>
      </c>
      <c r="L77" s="27">
        <f>IFERROR('Cash Flow Data'!L9,0)</f>
        <v>0</v>
      </c>
    </row>
    <row r="78" spans="1:13" x14ac:dyDescent="0.3">
      <c r="B78" s="30" t="s">
        <v>118</v>
      </c>
      <c r="C78" s="27">
        <f>IFERROR('Cash Flow Data'!C10,0)</f>
        <v>0</v>
      </c>
      <c r="D78" s="27">
        <f>IFERROR('Cash Flow Data'!D10,0)</f>
        <v>0</v>
      </c>
      <c r="E78" s="27">
        <f>IFERROR('Cash Flow Data'!E10,0)</f>
        <v>0</v>
      </c>
      <c r="F78" s="27">
        <f>IFERROR('Cash Flow Data'!F10,0)</f>
        <v>-2</v>
      </c>
      <c r="G78" s="27">
        <f>IFERROR('Cash Flow Data'!G10,0)</f>
        <v>-62</v>
      </c>
      <c r="H78" s="27">
        <f>IFERROR('Cash Flow Data'!H10,0)</f>
        <v>52</v>
      </c>
      <c r="I78" s="27">
        <f>IFERROR('Cash Flow Data'!I10,0)</f>
        <v>2</v>
      </c>
      <c r="J78" s="27">
        <f>IFERROR('Cash Flow Data'!J10,0)</f>
        <v>12</v>
      </c>
      <c r="K78" s="27">
        <f>IFERROR('Cash Flow Data'!K10,0)</f>
        <v>-3</v>
      </c>
      <c r="L78" s="27">
        <f>IFERROR('Cash Flow Data'!L10,0)</f>
        <v>0</v>
      </c>
    </row>
    <row r="79" spans="1:13" x14ac:dyDescent="0.3">
      <c r="B79" s="77" t="s">
        <v>119</v>
      </c>
      <c r="C79" s="27">
        <f>IFERROR('Cash Flow Data'!C11,0)</f>
        <v>6</v>
      </c>
      <c r="D79" s="27">
        <f>IFERROR('Cash Flow Data'!D11,0)</f>
        <v>16</v>
      </c>
      <c r="E79" s="27">
        <f>IFERROR('Cash Flow Data'!E11,0)</f>
        <v>-7</v>
      </c>
      <c r="F79" s="27">
        <f>IFERROR('Cash Flow Data'!F11,0)</f>
        <v>-46</v>
      </c>
      <c r="G79" s="27">
        <f>IFERROR('Cash Flow Data'!G11,0)</f>
        <v>-11</v>
      </c>
      <c r="H79" s="27">
        <f>IFERROR('Cash Flow Data'!H11,0)</f>
        <v>-72</v>
      </c>
      <c r="I79" s="27">
        <f>IFERROR('Cash Flow Data'!I11,0)</f>
        <v>-54</v>
      </c>
      <c r="J79" s="27">
        <f>IFERROR('Cash Flow Data'!J11,0)</f>
        <v>41</v>
      </c>
      <c r="K79" s="27">
        <f>IFERROR('Cash Flow Data'!K11,0)</f>
        <v>-73</v>
      </c>
      <c r="L79" s="27">
        <f>IFERROR('Cash Flow Data'!L11,0)</f>
        <v>12</v>
      </c>
    </row>
    <row r="80" spans="1:13" x14ac:dyDescent="0.3">
      <c r="B80" s="30" t="s">
        <v>120</v>
      </c>
      <c r="C80" s="27">
        <f>IFERROR('Cash Flow Data'!C12,0)</f>
        <v>-83</v>
      </c>
      <c r="D80" s="27">
        <f>IFERROR('Cash Flow Data'!D12,0)</f>
        <v>-152</v>
      </c>
      <c r="E80" s="27">
        <f>IFERROR('Cash Flow Data'!E12,0)</f>
        <v>-69</v>
      </c>
      <c r="F80" s="27">
        <f>IFERROR('Cash Flow Data'!F12,0)</f>
        <v>-270</v>
      </c>
      <c r="G80" s="27">
        <f>IFERROR('Cash Flow Data'!G12,0)</f>
        <v>-243</v>
      </c>
      <c r="H80" s="27">
        <f>IFERROR('Cash Flow Data'!H12,0)</f>
        <v>-351</v>
      </c>
      <c r="I80" s="27">
        <f>IFERROR('Cash Flow Data'!I12,0)</f>
        <v>-376</v>
      </c>
      <c r="J80" s="27">
        <f>IFERROR('Cash Flow Data'!J12,0)</f>
        <v>-127</v>
      </c>
      <c r="K80" s="27">
        <f>IFERROR('Cash Flow Data'!K12,0)</f>
        <v>-582</v>
      </c>
      <c r="L80" s="27">
        <f>IFERROR('Cash Flow Data'!L12,0)</f>
        <v>-320</v>
      </c>
    </row>
    <row r="81" spans="2:12" x14ac:dyDescent="0.3">
      <c r="B81" s="143" t="s">
        <v>142</v>
      </c>
      <c r="C81" s="27">
        <f>C73+C79+C80</f>
        <v>279</v>
      </c>
      <c r="D81" s="27">
        <f t="shared" ref="D81:L81" si="21">D73+D79+D80</f>
        <v>338</v>
      </c>
      <c r="E81" s="27">
        <f t="shared" si="21"/>
        <v>590</v>
      </c>
      <c r="F81" s="27">
        <f t="shared" si="21"/>
        <v>668</v>
      </c>
      <c r="G81" s="27">
        <f t="shared" si="21"/>
        <v>1121</v>
      </c>
      <c r="H81" s="27">
        <f t="shared" si="21"/>
        <v>1236</v>
      </c>
      <c r="I81" s="27">
        <f t="shared" si="21"/>
        <v>1719</v>
      </c>
      <c r="J81" s="27">
        <f t="shared" si="21"/>
        <v>1678</v>
      </c>
      <c r="K81" s="27">
        <f t="shared" si="21"/>
        <v>1860</v>
      </c>
      <c r="L81" s="27">
        <f t="shared" si="21"/>
        <v>3351</v>
      </c>
    </row>
    <row r="83" spans="2:12" x14ac:dyDescent="0.3">
      <c r="B83" s="144" t="s">
        <v>143</v>
      </c>
    </row>
    <row r="84" spans="2:12" x14ac:dyDescent="0.3">
      <c r="B84" s="31" t="s">
        <v>121</v>
      </c>
      <c r="C84" s="27">
        <f>IFERROR('Cash Flow Data'!C14,0)</f>
        <v>-270</v>
      </c>
      <c r="D84" s="27">
        <f>IFERROR('Cash Flow Data'!D14,0)</f>
        <v>-474</v>
      </c>
      <c r="E84" s="27">
        <f>IFERROR('Cash Flow Data'!E14,0)</f>
        <v>-633</v>
      </c>
      <c r="F84" s="27">
        <f>IFERROR('Cash Flow Data'!F14,0)</f>
        <v>-2482</v>
      </c>
      <c r="G84" s="27">
        <f>IFERROR('Cash Flow Data'!G14,0)</f>
        <v>464</v>
      </c>
      <c r="H84" s="27">
        <f>IFERROR('Cash Flow Data'!H14,0)</f>
        <v>-958</v>
      </c>
      <c r="I84" s="27">
        <f>IFERROR('Cash Flow Data'!I14,0)</f>
        <v>-4657</v>
      </c>
      <c r="J84" s="27">
        <f>IFERROR('Cash Flow Data'!J14,0)</f>
        <v>-1110</v>
      </c>
      <c r="K84" s="27">
        <f>IFERROR('Cash Flow Data'!K14,0)</f>
        <v>-1289</v>
      </c>
      <c r="L84" s="27">
        <f>IFERROR('Cash Flow Data'!L14,0)</f>
        <v>-2313</v>
      </c>
    </row>
    <row r="85" spans="2:12" x14ac:dyDescent="0.3">
      <c r="B85" s="31" t="s">
        <v>122</v>
      </c>
      <c r="C85" s="27">
        <f>IFERROR('Cash Flow Data'!C15,0)</f>
        <v>-272</v>
      </c>
      <c r="D85" s="27">
        <f>IFERROR('Cash Flow Data'!D15,0)</f>
        <v>-477</v>
      </c>
      <c r="E85" s="27">
        <f>IFERROR('Cash Flow Data'!E15,0)</f>
        <v>0</v>
      </c>
      <c r="F85" s="27">
        <f>IFERROR('Cash Flow Data'!F15,0)</f>
        <v>-645</v>
      </c>
      <c r="G85" s="27">
        <f>IFERROR('Cash Flow Data'!G15,0)</f>
        <v>-916</v>
      </c>
      <c r="H85" s="27">
        <f>IFERROR('Cash Flow Data'!H15,0)</f>
        <v>-1417</v>
      </c>
      <c r="I85" s="27">
        <f>IFERROR('Cash Flow Data'!I15,0)</f>
        <v>-1712</v>
      </c>
      <c r="J85" s="27">
        <f>IFERROR('Cash Flow Data'!J15,0)</f>
        <v>-2029</v>
      </c>
      <c r="K85" s="27">
        <f>IFERROR('Cash Flow Data'!K15,0)</f>
        <v>-2410</v>
      </c>
      <c r="L85" s="27">
        <f>IFERROR('Cash Flow Data'!L15,0)</f>
        <v>-2212</v>
      </c>
    </row>
    <row r="86" spans="2:12" x14ac:dyDescent="0.3">
      <c r="B86" s="31" t="s">
        <v>123</v>
      </c>
      <c r="C86" s="27">
        <f>IFERROR('Cash Flow Data'!C16,0)</f>
        <v>1</v>
      </c>
      <c r="D86" s="27">
        <f>IFERROR('Cash Flow Data'!D16,0)</f>
        <v>0</v>
      </c>
      <c r="E86" s="27">
        <f>IFERROR('Cash Flow Data'!E16,0)</f>
        <v>2</v>
      </c>
      <c r="F86" s="27">
        <f>IFERROR('Cash Flow Data'!F16,0)</f>
        <v>10</v>
      </c>
      <c r="G86" s="27">
        <f>IFERROR('Cash Flow Data'!G16,0)</f>
        <v>7</v>
      </c>
      <c r="H86" s="27">
        <f>IFERROR('Cash Flow Data'!H16,0)</f>
        <v>8</v>
      </c>
      <c r="I86" s="27">
        <f>IFERROR('Cash Flow Data'!I16,0)</f>
        <v>6</v>
      </c>
      <c r="J86" s="27">
        <f>IFERROR('Cash Flow Data'!J16,0)</f>
        <v>2</v>
      </c>
      <c r="K86" s="27">
        <f>IFERROR('Cash Flow Data'!K16,0)</f>
        <v>21</v>
      </c>
      <c r="L86" s="27">
        <f>IFERROR('Cash Flow Data'!L16,0)</f>
        <v>5</v>
      </c>
    </row>
    <row r="87" spans="2:12" x14ac:dyDescent="0.3">
      <c r="B87" s="31" t="s">
        <v>124</v>
      </c>
      <c r="C87" s="27">
        <f>IFERROR('Cash Flow Data'!C17,0)</f>
        <v>-644</v>
      </c>
      <c r="D87" s="27">
        <f>IFERROR('Cash Flow Data'!D17,0)</f>
        <v>-2901</v>
      </c>
      <c r="E87" s="27">
        <f>IFERROR('Cash Flow Data'!E17,0)</f>
        <v>-638</v>
      </c>
      <c r="F87" s="27">
        <f>IFERROR('Cash Flow Data'!F17,0)</f>
        <v>0</v>
      </c>
      <c r="G87" s="27">
        <f>IFERROR('Cash Flow Data'!G17,0)</f>
        <v>0</v>
      </c>
      <c r="H87" s="27">
        <f>IFERROR('Cash Flow Data'!H17,0)</f>
        <v>0</v>
      </c>
      <c r="I87" s="27">
        <f>IFERROR('Cash Flow Data'!I17,0)</f>
        <v>0</v>
      </c>
      <c r="J87" s="27">
        <f>IFERROR('Cash Flow Data'!J17,0)</f>
        <v>0</v>
      </c>
      <c r="K87" s="27">
        <f>IFERROR('Cash Flow Data'!K17,0)</f>
        <v>0</v>
      </c>
      <c r="L87" s="27">
        <f>IFERROR('Cash Flow Data'!L17,0)</f>
        <v>-193</v>
      </c>
    </row>
    <row r="88" spans="2:12" x14ac:dyDescent="0.3">
      <c r="B88" s="31" t="s">
        <v>125</v>
      </c>
      <c r="C88" s="27">
        <f>IFERROR('Cash Flow Data'!C18,0)</f>
        <v>645</v>
      </c>
      <c r="D88" s="27">
        <f>IFERROR('Cash Flow Data'!D18,0)</f>
        <v>2904</v>
      </c>
      <c r="E88" s="27">
        <f>IFERROR('Cash Flow Data'!E18,0)</f>
        <v>0</v>
      </c>
      <c r="F88" s="27">
        <f>IFERROR('Cash Flow Data'!F18,0)</f>
        <v>0</v>
      </c>
      <c r="G88" s="27">
        <f>IFERROR('Cash Flow Data'!G18,0)</f>
        <v>1376</v>
      </c>
      <c r="H88" s="27">
        <f>IFERROR('Cash Flow Data'!H18,0)</f>
        <v>410</v>
      </c>
      <c r="I88" s="27">
        <f>IFERROR('Cash Flow Data'!I18,0)</f>
        <v>232</v>
      </c>
      <c r="J88" s="27">
        <f>IFERROR('Cash Flow Data'!J18,0)</f>
        <v>3</v>
      </c>
      <c r="K88" s="27">
        <f>IFERROR('Cash Flow Data'!K18,0)</f>
        <v>4</v>
      </c>
      <c r="L88" s="27">
        <f>IFERROR('Cash Flow Data'!L18,0)</f>
        <v>6</v>
      </c>
    </row>
    <row r="89" spans="2:12" x14ac:dyDescent="0.3">
      <c r="B89" s="31" t="s">
        <v>126</v>
      </c>
      <c r="C89" s="27">
        <f>IFERROR('Cash Flow Data'!C19,0)</f>
        <v>0</v>
      </c>
      <c r="D89" s="27">
        <f>IFERROR('Cash Flow Data'!D19,0)</f>
        <v>0</v>
      </c>
      <c r="E89" s="27">
        <f>IFERROR('Cash Flow Data'!E19,0)</f>
        <v>3</v>
      </c>
      <c r="F89" s="27">
        <f>IFERROR('Cash Flow Data'!F19,0)</f>
        <v>8</v>
      </c>
      <c r="G89" s="27">
        <f>IFERROR('Cash Flow Data'!G19,0)</f>
        <v>0</v>
      </c>
      <c r="H89" s="27">
        <f>IFERROR('Cash Flow Data'!H19,0)</f>
        <v>0</v>
      </c>
      <c r="I89" s="27">
        <f>IFERROR('Cash Flow Data'!I19,0)</f>
        <v>0</v>
      </c>
      <c r="J89" s="27">
        <f>IFERROR('Cash Flow Data'!J19,0)</f>
        <v>0</v>
      </c>
      <c r="K89" s="27">
        <f>IFERROR('Cash Flow Data'!K19,0)</f>
        <v>0</v>
      </c>
      <c r="L89" s="27">
        <f>IFERROR('Cash Flow Data'!L19,0)</f>
        <v>0</v>
      </c>
    </row>
    <row r="90" spans="2:12" x14ac:dyDescent="0.3">
      <c r="B90" s="31" t="s">
        <v>127</v>
      </c>
      <c r="C90" s="27">
        <f>IFERROR('Cash Flow Data'!C20,0)</f>
        <v>0</v>
      </c>
      <c r="D90" s="27">
        <f>IFERROR('Cash Flow Data'!D20,0)</f>
        <v>0</v>
      </c>
      <c r="E90" s="27">
        <f>IFERROR('Cash Flow Data'!E20,0)</f>
        <v>1</v>
      </c>
      <c r="F90" s="27">
        <f>IFERROR('Cash Flow Data'!F20,0)</f>
        <v>1</v>
      </c>
      <c r="G90" s="27">
        <f>IFERROR('Cash Flow Data'!G20,0)</f>
        <v>31</v>
      </c>
      <c r="H90" s="27">
        <f>IFERROR('Cash Flow Data'!H20,0)</f>
        <v>36</v>
      </c>
      <c r="I90" s="27">
        <f>IFERROR('Cash Flow Data'!I20,0)</f>
        <v>12</v>
      </c>
      <c r="J90" s="27">
        <f>IFERROR('Cash Flow Data'!J20,0)</f>
        <v>129</v>
      </c>
      <c r="K90" s="27">
        <f>IFERROR('Cash Flow Data'!K20,0)</f>
        <v>43</v>
      </c>
      <c r="L90" s="27">
        <f>IFERROR('Cash Flow Data'!L20,0)</f>
        <v>39</v>
      </c>
    </row>
    <row r="91" spans="2:12" x14ac:dyDescent="0.3">
      <c r="B91" s="31" t="s">
        <v>128</v>
      </c>
      <c r="C91" s="27">
        <f>IFERROR('Cash Flow Data'!C21,0)</f>
        <v>0</v>
      </c>
      <c r="D91" s="27">
        <f>IFERROR('Cash Flow Data'!D21,0)</f>
        <v>0</v>
      </c>
      <c r="E91" s="27">
        <f>IFERROR('Cash Flow Data'!E21,0)</f>
        <v>0</v>
      </c>
      <c r="F91" s="27">
        <f>IFERROR('Cash Flow Data'!F21,0)</f>
        <v>0</v>
      </c>
      <c r="G91" s="27">
        <f>IFERROR('Cash Flow Data'!G21,0)</f>
        <v>0</v>
      </c>
      <c r="H91" s="27">
        <f>IFERROR('Cash Flow Data'!H21,0)</f>
        <v>0</v>
      </c>
      <c r="I91" s="27">
        <f>IFERROR('Cash Flow Data'!I21,0)</f>
        <v>0</v>
      </c>
      <c r="J91" s="27">
        <f>IFERROR('Cash Flow Data'!J21,0)</f>
        <v>0</v>
      </c>
      <c r="K91" s="27">
        <f>IFERROR('Cash Flow Data'!K21,0)</f>
        <v>0</v>
      </c>
      <c r="L91" s="27">
        <f>IFERROR('Cash Flow Data'!L21,0)</f>
        <v>0</v>
      </c>
    </row>
    <row r="92" spans="2:12" x14ac:dyDescent="0.3">
      <c r="B92" s="31" t="s">
        <v>129</v>
      </c>
      <c r="C92" s="27">
        <f>IFERROR('Cash Flow Data'!C22,0)</f>
        <v>0</v>
      </c>
      <c r="D92" s="27">
        <f>IFERROR('Cash Flow Data'!D22,0)</f>
        <v>0</v>
      </c>
      <c r="E92" s="27">
        <f>IFERROR('Cash Flow Data'!E22,0)</f>
        <v>-14</v>
      </c>
      <c r="F92" s="27">
        <f>IFERROR('Cash Flow Data'!F22,0)</f>
        <v>-21</v>
      </c>
      <c r="G92" s="27">
        <f>IFERROR('Cash Flow Data'!G22,0)</f>
        <v>-49</v>
      </c>
      <c r="H92" s="27">
        <f>IFERROR('Cash Flow Data'!H22,0)</f>
        <v>0</v>
      </c>
      <c r="I92" s="27">
        <f>IFERROR('Cash Flow Data'!I22,0)</f>
        <v>0</v>
      </c>
      <c r="J92" s="27">
        <f>IFERROR('Cash Flow Data'!J22,0)</f>
        <v>0</v>
      </c>
      <c r="K92" s="27">
        <f>IFERROR('Cash Flow Data'!K22,0)</f>
        <v>0</v>
      </c>
      <c r="L92" s="27">
        <f>IFERROR('Cash Flow Data'!L22,0)</f>
        <v>0</v>
      </c>
    </row>
    <row r="93" spans="2:12" x14ac:dyDescent="0.3">
      <c r="B93" s="31" t="s">
        <v>130</v>
      </c>
      <c r="C93" s="27">
        <f>IFERROR('Cash Flow Data'!C23,0)</f>
        <v>0</v>
      </c>
      <c r="D93" s="27">
        <f>IFERROR('Cash Flow Data'!D23,0)</f>
        <v>0</v>
      </c>
      <c r="E93" s="27">
        <f>IFERROR('Cash Flow Data'!E23,0)</f>
        <v>0</v>
      </c>
      <c r="F93" s="27">
        <f>IFERROR('Cash Flow Data'!F23,0)</f>
        <v>0</v>
      </c>
      <c r="G93" s="27">
        <f>IFERROR('Cash Flow Data'!G23,0)</f>
        <v>8</v>
      </c>
      <c r="H93" s="27">
        <f>IFERROR('Cash Flow Data'!H23,0)</f>
        <v>0</v>
      </c>
      <c r="I93" s="27">
        <f>IFERROR('Cash Flow Data'!I23,0)</f>
        <v>0</v>
      </c>
      <c r="J93" s="27">
        <f>IFERROR('Cash Flow Data'!J23,0)</f>
        <v>0</v>
      </c>
      <c r="K93" s="27">
        <f>IFERROR('Cash Flow Data'!K23,0)</f>
        <v>0</v>
      </c>
      <c r="L93" s="27">
        <f>IFERROR('Cash Flow Data'!L23,0)</f>
        <v>0</v>
      </c>
    </row>
    <row r="94" spans="2:12" x14ac:dyDescent="0.3">
      <c r="B94" s="31" t="s">
        <v>131</v>
      </c>
      <c r="C94" s="27">
        <f>IFERROR('Cash Flow Data'!C24,0)</f>
        <v>0</v>
      </c>
      <c r="D94" s="27">
        <f>IFERROR('Cash Flow Data'!D24,0)</f>
        <v>0</v>
      </c>
      <c r="E94" s="27">
        <f>IFERROR('Cash Flow Data'!E24,0)</f>
        <v>14</v>
      </c>
      <c r="F94" s="27">
        <f>IFERROR('Cash Flow Data'!F24,0)</f>
        <v>-1835</v>
      </c>
      <c r="G94" s="27">
        <f>IFERROR('Cash Flow Data'!G24,0)</f>
        <v>7</v>
      </c>
      <c r="H94" s="27">
        <f>IFERROR('Cash Flow Data'!H24,0)</f>
        <v>3</v>
      </c>
      <c r="I94" s="27">
        <f>IFERROR('Cash Flow Data'!I24,0)</f>
        <v>-3194</v>
      </c>
      <c r="J94" s="27">
        <f>IFERROR('Cash Flow Data'!J24,0)</f>
        <v>786</v>
      </c>
      <c r="K94" s="27">
        <f>IFERROR('Cash Flow Data'!K24,0)</f>
        <v>1054</v>
      </c>
      <c r="L94" s="27">
        <f>IFERROR('Cash Flow Data'!L24,0)</f>
        <v>42</v>
      </c>
    </row>
    <row r="95" spans="2:12" x14ac:dyDescent="0.3">
      <c r="B95" s="144" t="s">
        <v>144</v>
      </c>
      <c r="C95" s="140">
        <f>SUM(C84:C94)</f>
        <v>-540</v>
      </c>
      <c r="D95" s="140">
        <f t="shared" ref="D95:L95" si="22">SUM(D84:D94)</f>
        <v>-948</v>
      </c>
      <c r="E95" s="140">
        <f t="shared" si="22"/>
        <v>-1265</v>
      </c>
      <c r="F95" s="140">
        <f t="shared" si="22"/>
        <v>-4964</v>
      </c>
      <c r="G95" s="140">
        <f t="shared" si="22"/>
        <v>928</v>
      </c>
      <c r="H95" s="140">
        <f t="shared" si="22"/>
        <v>-1918</v>
      </c>
      <c r="I95" s="140">
        <f t="shared" si="22"/>
        <v>-9313</v>
      </c>
      <c r="J95" s="140">
        <f t="shared" si="22"/>
        <v>-2219</v>
      </c>
      <c r="K95" s="140">
        <f t="shared" si="22"/>
        <v>-2577</v>
      </c>
      <c r="L95" s="140">
        <f t="shared" si="22"/>
        <v>-4626</v>
      </c>
    </row>
    <row r="97" spans="2:12" x14ac:dyDescent="0.3">
      <c r="B97" s="143" t="s">
        <v>146</v>
      </c>
    </row>
    <row r="98" spans="2:12" x14ac:dyDescent="0.3">
      <c r="B98" s="30" t="s">
        <v>132</v>
      </c>
      <c r="C98" s="27">
        <f>IFERROR('Cash Flow Data'!C26,0)</f>
        <v>5</v>
      </c>
      <c r="D98" s="27">
        <f>IFERROR('Cash Flow Data'!D26,0)</f>
        <v>33</v>
      </c>
      <c r="E98" s="27">
        <f>IFERROR('Cash Flow Data'!E26,0)</f>
        <v>0</v>
      </c>
      <c r="F98" s="27">
        <f>IFERROR('Cash Flow Data'!F26,0)</f>
        <v>1841</v>
      </c>
      <c r="G98" s="27">
        <f>IFERROR('Cash Flow Data'!G26,0)</f>
        <v>0</v>
      </c>
      <c r="H98" s="27">
        <f>IFERROR('Cash Flow Data'!H26,0)</f>
        <v>0</v>
      </c>
      <c r="I98" s="27">
        <f>IFERROR('Cash Flow Data'!I26,0)</f>
        <v>110</v>
      </c>
      <c r="J98" s="27">
        <f>IFERROR('Cash Flow Data'!J26,0)</f>
        <v>0</v>
      </c>
      <c r="K98" s="27">
        <f>IFERROR('Cash Flow Data'!K26,0)</f>
        <v>0</v>
      </c>
      <c r="L98" s="27">
        <f>IFERROR('Cash Flow Data'!L26,0)</f>
        <v>15</v>
      </c>
    </row>
    <row r="99" spans="2:12" x14ac:dyDescent="0.3">
      <c r="B99" s="30" t="s">
        <v>133</v>
      </c>
      <c r="C99" s="27">
        <f>IFERROR('Cash Flow Data'!C27,0)</f>
        <v>0</v>
      </c>
      <c r="D99" s="27">
        <f>IFERROR('Cash Flow Data'!D27,0)</f>
        <v>200</v>
      </c>
      <c r="E99" s="27">
        <f>IFERROR('Cash Flow Data'!E27,0)</f>
        <v>350</v>
      </c>
      <c r="F99" s="27">
        <f>IFERROR('Cash Flow Data'!F27,0)</f>
        <v>250</v>
      </c>
      <c r="G99" s="27">
        <f>IFERROR('Cash Flow Data'!G27,0)</f>
        <v>0</v>
      </c>
      <c r="H99" s="27">
        <f>IFERROR('Cash Flow Data'!H27,0)</f>
        <v>0</v>
      </c>
      <c r="I99" s="27">
        <f>IFERROR('Cash Flow Data'!I27,0)</f>
        <v>300</v>
      </c>
      <c r="J99" s="27">
        <f>IFERROR('Cash Flow Data'!J27,0)</f>
        <v>0</v>
      </c>
      <c r="K99" s="27">
        <f>IFERROR('Cash Flow Data'!K27,0)</f>
        <v>0</v>
      </c>
      <c r="L99" s="27">
        <f>IFERROR('Cash Flow Data'!L27,0)</f>
        <v>0</v>
      </c>
    </row>
    <row r="100" spans="2:12" x14ac:dyDescent="0.3">
      <c r="B100" s="30" t="s">
        <v>134</v>
      </c>
      <c r="C100" s="27">
        <f>IFERROR('Cash Flow Data'!C28,0)</f>
        <v>0</v>
      </c>
      <c r="D100" s="27">
        <f>IFERROR('Cash Flow Data'!D28,0)</f>
        <v>0</v>
      </c>
      <c r="E100" s="27">
        <f>IFERROR('Cash Flow Data'!E28,0)</f>
        <v>0</v>
      </c>
      <c r="F100" s="27">
        <f>IFERROR('Cash Flow Data'!F28,0)</f>
        <v>0</v>
      </c>
      <c r="G100" s="27">
        <f>IFERROR('Cash Flow Data'!G28,0)</f>
        <v>-384</v>
      </c>
      <c r="H100" s="27">
        <f>IFERROR('Cash Flow Data'!H28,0)</f>
        <v>-170</v>
      </c>
      <c r="I100" s="27">
        <f>IFERROR('Cash Flow Data'!I28,0)</f>
        <v>-512</v>
      </c>
      <c r="J100" s="27">
        <f>IFERROR('Cash Flow Data'!J28,0)</f>
        <v>-34</v>
      </c>
      <c r="K100" s="27">
        <f>IFERROR('Cash Flow Data'!K28,0)</f>
        <v>0</v>
      </c>
      <c r="L100" s="27">
        <f>IFERROR('Cash Flow Data'!L28,0)</f>
        <v>0</v>
      </c>
    </row>
    <row r="101" spans="2:12" x14ac:dyDescent="0.3">
      <c r="B101" s="30" t="s">
        <v>135</v>
      </c>
      <c r="C101" s="27">
        <f>IFERROR('Cash Flow Data'!C29,0)</f>
        <v>245</v>
      </c>
      <c r="D101" s="27">
        <f>IFERROR('Cash Flow Data'!D29,0)</f>
        <v>295</v>
      </c>
      <c r="E101" s="27">
        <f>IFERROR('Cash Flow Data'!E29,0)</f>
        <v>-60</v>
      </c>
      <c r="F101" s="27">
        <f>IFERROR('Cash Flow Data'!F29,0)</f>
        <v>260</v>
      </c>
      <c r="G101" s="27">
        <f>IFERROR('Cash Flow Data'!G29,0)</f>
        <v>0</v>
      </c>
      <c r="H101" s="27">
        <f>IFERROR('Cash Flow Data'!H29,0)</f>
        <v>992</v>
      </c>
      <c r="I101" s="27">
        <f>IFERROR('Cash Flow Data'!I29,0)</f>
        <v>1100</v>
      </c>
      <c r="J101" s="27">
        <f>IFERROR('Cash Flow Data'!J29,0)</f>
        <v>200</v>
      </c>
      <c r="K101" s="27">
        <f>IFERROR('Cash Flow Data'!K29,0)</f>
        <v>248</v>
      </c>
      <c r="L101" s="27">
        <f>IFERROR('Cash Flow Data'!L29,0)</f>
        <v>0</v>
      </c>
    </row>
    <row r="102" spans="2:12" x14ac:dyDescent="0.3">
      <c r="B102" s="30" t="s">
        <v>136</v>
      </c>
      <c r="C102" s="27">
        <f>IFERROR('Cash Flow Data'!C30,0)</f>
        <v>-130</v>
      </c>
      <c r="D102" s="27">
        <f>IFERROR('Cash Flow Data'!D30,0)</f>
        <v>-232</v>
      </c>
      <c r="E102" s="27">
        <f>IFERROR('Cash Flow Data'!E30,0)</f>
        <v>0</v>
      </c>
      <c r="F102" s="27">
        <f>IFERROR('Cash Flow Data'!F30,0)</f>
        <v>-155</v>
      </c>
      <c r="G102" s="27">
        <f>IFERROR('Cash Flow Data'!G30,0)</f>
        <v>-695</v>
      </c>
      <c r="H102" s="27">
        <f>IFERROR('Cash Flow Data'!H30,0)</f>
        <v>-562</v>
      </c>
      <c r="I102" s="27">
        <f>IFERROR('Cash Flow Data'!I30,0)</f>
        <v>-1550</v>
      </c>
      <c r="J102" s="27">
        <f>IFERROR('Cash Flow Data'!J30,0)</f>
        <v>-204</v>
      </c>
      <c r="K102" s="27">
        <f>IFERROR('Cash Flow Data'!K30,0)</f>
        <v>-248</v>
      </c>
      <c r="L102" s="27">
        <f>IFERROR('Cash Flow Data'!L30,0)</f>
        <v>0</v>
      </c>
    </row>
    <row r="103" spans="2:12" x14ac:dyDescent="0.3">
      <c r="B103" s="30" t="s">
        <v>137</v>
      </c>
      <c r="C103" s="27">
        <f>IFERROR('Cash Flow Data'!C31,0)</f>
        <v>-54</v>
      </c>
      <c r="D103" s="27">
        <f>IFERROR('Cash Flow Data'!D31,0)</f>
        <v>-62</v>
      </c>
      <c r="E103" s="27">
        <f>IFERROR('Cash Flow Data'!E31,0)</f>
        <v>-93</v>
      </c>
      <c r="F103" s="27">
        <f>IFERROR('Cash Flow Data'!F31,0)</f>
        <v>-120</v>
      </c>
      <c r="G103" s="27">
        <f>IFERROR('Cash Flow Data'!G31,0)</f>
        <v>-80</v>
      </c>
      <c r="H103" s="27">
        <f>IFERROR('Cash Flow Data'!H31,0)</f>
        <v>-51</v>
      </c>
      <c r="I103" s="27">
        <f>IFERROR('Cash Flow Data'!I31,0)</f>
        <v>-98</v>
      </c>
      <c r="J103" s="27">
        <f>IFERROR('Cash Flow Data'!J31,0)</f>
        <v>-44</v>
      </c>
      <c r="K103" s="27">
        <f>IFERROR('Cash Flow Data'!K31,0)</f>
        <v>-54</v>
      </c>
      <c r="L103" s="27">
        <f>IFERROR('Cash Flow Data'!L31,0)</f>
        <v>-67</v>
      </c>
    </row>
    <row r="104" spans="2:12" x14ac:dyDescent="0.3">
      <c r="B104" s="30" t="s">
        <v>138</v>
      </c>
      <c r="C104" s="27">
        <f>IFERROR('Cash Flow Data'!C32,0)</f>
        <v>0</v>
      </c>
      <c r="D104" s="27">
        <f>IFERROR('Cash Flow Data'!D32,0)</f>
        <v>0</v>
      </c>
      <c r="E104" s="27">
        <f>IFERROR('Cash Flow Data'!E32,0)</f>
        <v>0</v>
      </c>
      <c r="F104" s="27">
        <f>IFERROR('Cash Flow Data'!F32,0)</f>
        <v>0</v>
      </c>
      <c r="G104" s="27">
        <f>IFERROR('Cash Flow Data'!G32,0)</f>
        <v>0</v>
      </c>
      <c r="H104" s="27">
        <f>IFERROR('Cash Flow Data'!H32,0)</f>
        <v>0</v>
      </c>
      <c r="I104" s="27">
        <f>IFERROR('Cash Flow Data'!I32,0)</f>
        <v>-70</v>
      </c>
      <c r="J104" s="27">
        <f>IFERROR('Cash Flow Data'!J32,0)</f>
        <v>-98</v>
      </c>
      <c r="K104" s="27">
        <f>IFERROR('Cash Flow Data'!K32,0)</f>
        <v>-125</v>
      </c>
      <c r="L104" s="27">
        <f>IFERROR('Cash Flow Data'!L32,0)</f>
        <v>-153</v>
      </c>
    </row>
    <row r="105" spans="2:12" x14ac:dyDescent="0.3">
      <c r="B105" s="30" t="s">
        <v>139</v>
      </c>
      <c r="C105" s="27">
        <f>IFERROR('Cash Flow Data'!C33,0)</f>
        <v>0</v>
      </c>
      <c r="D105" s="27">
        <f>IFERROR('Cash Flow Data'!D33,0)</f>
        <v>0</v>
      </c>
      <c r="E105" s="27">
        <f>IFERROR('Cash Flow Data'!E33,0)</f>
        <v>0</v>
      </c>
      <c r="F105" s="27">
        <f>IFERROR('Cash Flow Data'!F33,0)</f>
        <v>0</v>
      </c>
      <c r="G105" s="27">
        <f>IFERROR('Cash Flow Data'!G33,0)</f>
        <v>0</v>
      </c>
      <c r="H105" s="27">
        <f>IFERROR('Cash Flow Data'!H33,0)</f>
        <v>0</v>
      </c>
      <c r="I105" s="27">
        <f>IFERROR('Cash Flow Data'!I33,0)</f>
        <v>0</v>
      </c>
      <c r="J105" s="27">
        <f>IFERROR('Cash Flow Data'!J33,0)</f>
        <v>0</v>
      </c>
      <c r="K105" s="27">
        <f>IFERROR('Cash Flow Data'!K33,0)</f>
        <v>0</v>
      </c>
      <c r="L105" s="27">
        <f>IFERROR('Cash Flow Data'!L33,0)</f>
        <v>1</v>
      </c>
    </row>
    <row r="106" spans="2:12" x14ac:dyDescent="0.3">
      <c r="B106" s="143" t="s">
        <v>145</v>
      </c>
      <c r="C106" s="140">
        <f>SUM(C98:C105)</f>
        <v>66</v>
      </c>
      <c r="D106" s="140">
        <f t="shared" ref="D106:L106" si="23">SUM(D98:D105)</f>
        <v>234</v>
      </c>
      <c r="E106" s="140">
        <f t="shared" si="23"/>
        <v>197</v>
      </c>
      <c r="F106" s="140">
        <f t="shared" si="23"/>
        <v>2076</v>
      </c>
      <c r="G106" s="140">
        <f t="shared" si="23"/>
        <v>-1159</v>
      </c>
      <c r="H106" s="140">
        <f t="shared" si="23"/>
        <v>209</v>
      </c>
      <c r="I106" s="140">
        <f t="shared" si="23"/>
        <v>-720</v>
      </c>
      <c r="J106" s="140">
        <f t="shared" si="23"/>
        <v>-180</v>
      </c>
      <c r="K106" s="140">
        <f t="shared" si="23"/>
        <v>-179</v>
      </c>
      <c r="L106" s="140">
        <f t="shared" si="23"/>
        <v>-204</v>
      </c>
    </row>
    <row r="107" spans="2:12" x14ac:dyDescent="0.3">
      <c r="C107" s="2"/>
      <c r="D107" s="2"/>
      <c r="E107" s="2"/>
      <c r="F107" s="2"/>
      <c r="G107" s="2"/>
      <c r="H107" s="2"/>
      <c r="I107" s="2"/>
      <c r="J107" s="2"/>
      <c r="K107" s="2"/>
      <c r="L107" s="2"/>
    </row>
    <row r="108" spans="2:12" x14ac:dyDescent="0.3">
      <c r="B108" s="34" t="s">
        <v>35</v>
      </c>
      <c r="C108" s="140">
        <f>C81+C106+C95</f>
        <v>-195</v>
      </c>
      <c r="D108" s="140">
        <f t="shared" ref="D108:L108" si="24">D81+D106+D95</f>
        <v>-376</v>
      </c>
      <c r="E108" s="140">
        <f t="shared" si="24"/>
        <v>-478</v>
      </c>
      <c r="F108" s="140">
        <f t="shared" si="24"/>
        <v>-2220</v>
      </c>
      <c r="G108" s="140">
        <f t="shared" si="24"/>
        <v>890</v>
      </c>
      <c r="H108" s="140">
        <f t="shared" si="24"/>
        <v>-473</v>
      </c>
      <c r="I108" s="140">
        <f t="shared" si="24"/>
        <v>-8314</v>
      </c>
      <c r="J108" s="140">
        <f t="shared" si="24"/>
        <v>-721</v>
      </c>
      <c r="K108" s="140">
        <f t="shared" si="24"/>
        <v>-896</v>
      </c>
      <c r="L108" s="140">
        <f t="shared" si="24"/>
        <v>-1479</v>
      </c>
    </row>
  </sheetData>
  <mergeCells count="3">
    <mergeCell ref="B2:M2"/>
    <mergeCell ref="B46:M46"/>
    <mergeCell ref="B71:M71"/>
  </mergeCells>
  <pageMargins left="0.7" right="0.7" top="0.75" bottom="0.75" header="0.3" footer="0.3"/>
  <pageSetup scale="43" orientation="portrait" r:id="rId1"/>
  <ignoredErrors>
    <ignoredError sqref="C14:L14 M20 M23 M29 M32 M5 M8" formulaRange="1"/>
  </ignoredError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B1136E-9009-44F4-A108-91997678F05F}">
  <sheetPr>
    <tabColor theme="9"/>
    <pageSetUpPr fitToPage="1"/>
  </sheetPr>
  <dimension ref="B2:R25"/>
  <sheetViews>
    <sheetView showGridLines="0" zoomScale="109" workbookViewId="0">
      <selection activeCell="I28" sqref="I28"/>
    </sheetView>
  </sheetViews>
  <sheetFormatPr defaultRowHeight="14.4" x14ac:dyDescent="0.3"/>
  <cols>
    <col min="1" max="1" width="1.88671875" customWidth="1"/>
    <col min="2" max="2" width="16.5546875" bestFit="1" customWidth="1"/>
    <col min="4" max="4" width="9" bestFit="1" customWidth="1"/>
    <col min="5" max="5" width="11.6640625" bestFit="1" customWidth="1"/>
    <col min="7" max="7" width="10.88671875" bestFit="1" customWidth="1"/>
    <col min="9" max="9" width="12.6640625" bestFit="1" customWidth="1"/>
    <col min="10" max="10" width="13.6640625" bestFit="1" customWidth="1"/>
    <col min="14" max="14" width="8.6640625" bestFit="1" customWidth="1"/>
    <col min="15" max="15" width="13.6640625" bestFit="1" customWidth="1"/>
    <col min="17" max="17" width="16.5546875" bestFit="1" customWidth="1"/>
  </cols>
  <sheetData>
    <row r="2" spans="2:15" x14ac:dyDescent="0.3">
      <c r="B2" s="273" t="s">
        <v>469</v>
      </c>
      <c r="C2" s="273"/>
      <c r="D2" s="273"/>
      <c r="E2" s="273"/>
      <c r="F2" s="273"/>
      <c r="G2" s="273"/>
      <c r="H2" s="273"/>
      <c r="I2" s="273"/>
      <c r="J2" s="273"/>
      <c r="K2" s="273"/>
      <c r="L2" s="273"/>
      <c r="M2" s="273"/>
      <c r="N2" s="273"/>
      <c r="O2" s="273"/>
    </row>
    <row r="4" spans="2:15" x14ac:dyDescent="0.3">
      <c r="B4" s="271" t="str">
        <f>'Data Sheet'!B1&amp;" - "&amp;'Data Sheet'!A17</f>
        <v>AVENUE SUPERMARTS LTD - Sales</v>
      </c>
      <c r="C4" s="271"/>
      <c r="D4" s="271"/>
      <c r="E4" s="271"/>
      <c r="G4" s="272" t="str">
        <f>'Data Sheet'!B1&amp;" - "&amp;HistoricaIFS!B17</f>
        <v>AVENUE SUPERMARTS LTD - EBITDA</v>
      </c>
      <c r="H4" s="272"/>
      <c r="I4" s="272"/>
      <c r="J4" s="272"/>
      <c r="L4" s="272" t="str">
        <f>'Data Sheet'!B1&amp;" - "&amp;HistoricaIFS!B37</f>
        <v>AVENUE SUPERMARTS LTD - EPS</v>
      </c>
      <c r="M4" s="272"/>
      <c r="N4" s="272"/>
      <c r="O4" s="272"/>
    </row>
    <row r="5" spans="2:15" x14ac:dyDescent="0.3">
      <c r="B5" s="191" t="s">
        <v>177</v>
      </c>
      <c r="C5" s="191" t="s">
        <v>178</v>
      </c>
      <c r="D5" s="191" t="s">
        <v>6</v>
      </c>
      <c r="E5" s="191" t="s">
        <v>22</v>
      </c>
      <c r="G5" s="191" t="s">
        <v>177</v>
      </c>
      <c r="H5" s="191" t="s">
        <v>178</v>
      </c>
      <c r="I5" s="191" t="s">
        <v>90</v>
      </c>
      <c r="J5" s="191" t="s">
        <v>147</v>
      </c>
      <c r="L5" s="191" t="s">
        <v>177</v>
      </c>
      <c r="M5" s="191" t="s">
        <v>178</v>
      </c>
      <c r="N5" s="191" t="s">
        <v>48</v>
      </c>
      <c r="O5" s="191" t="s">
        <v>182</v>
      </c>
    </row>
    <row r="6" spans="2:15" x14ac:dyDescent="0.3">
      <c r="B6" s="192">
        <v>1</v>
      </c>
      <c r="C6" s="192">
        <v>2016</v>
      </c>
      <c r="D6" s="193">
        <f t="array" ref="D6:D15">TRANSPOSE('Data Sheet'!B17:K17)</f>
        <v>8583.76</v>
      </c>
      <c r="E6" s="194"/>
      <c r="G6" s="192">
        <v>1</v>
      </c>
      <c r="H6" s="192">
        <v>2016</v>
      </c>
      <c r="I6" s="193">
        <f t="array" ref="I6:I15">TRANSPOSE(HistoricaIFS!C17:L17)</f>
        <v>664.46000000000083</v>
      </c>
      <c r="J6" s="194"/>
      <c r="L6" s="192">
        <v>1</v>
      </c>
      <c r="M6" s="192">
        <v>2016</v>
      </c>
      <c r="N6" s="193">
        <f t="array" ref="N6:N15">TRANSPOSE(HistoricaIFS!C37:L37)</f>
        <v>5.7032947462154944</v>
      </c>
      <c r="O6" s="194"/>
    </row>
    <row r="7" spans="2:15" x14ac:dyDescent="0.3">
      <c r="B7" s="192">
        <v>2</v>
      </c>
      <c r="C7" s="192">
        <v>2017</v>
      </c>
      <c r="D7" s="193">
        <v>11897.7</v>
      </c>
      <c r="E7" s="194">
        <f t="shared" ref="E7:E20" si="0">IFERROR(D7/D6-1,0)</f>
        <v>0.38607090598991589</v>
      </c>
      <c r="G7" s="192">
        <v>2</v>
      </c>
      <c r="H7" s="192">
        <v>2017</v>
      </c>
      <c r="I7" s="193">
        <v>969.18000000000052</v>
      </c>
      <c r="J7" s="194">
        <f>IFERROR(I7/I6-1,0)</f>
        <v>0.45859795924510016</v>
      </c>
      <c r="L7" s="192">
        <v>2</v>
      </c>
      <c r="M7" s="192">
        <v>2017</v>
      </c>
      <c r="N7" s="193">
        <v>7.6710463066816219</v>
      </c>
      <c r="O7" s="194">
        <f t="shared" ref="O7:O20" si="1">IFERROR(N7/N6-1,0)</f>
        <v>0.34502014151940119</v>
      </c>
    </row>
    <row r="8" spans="2:15" x14ac:dyDescent="0.3">
      <c r="B8" s="192">
        <v>3</v>
      </c>
      <c r="C8" s="192">
        <v>2018</v>
      </c>
      <c r="D8" s="193">
        <v>15033.2</v>
      </c>
      <c r="E8" s="194">
        <f t="shared" si="0"/>
        <v>0.26353833093791246</v>
      </c>
      <c r="G8" s="192">
        <v>3</v>
      </c>
      <c r="H8" s="192">
        <v>2018</v>
      </c>
      <c r="I8" s="193">
        <v>1352.8600000000006</v>
      </c>
      <c r="J8" s="194">
        <f t="shared" ref="J8:J20" si="2">IFERROR(I8/I7-1,0)</f>
        <v>0.39588105408695995</v>
      </c>
      <c r="L8" s="192">
        <v>3</v>
      </c>
      <c r="M8" s="192">
        <v>2018</v>
      </c>
      <c r="N8" s="193">
        <v>12.918763018746997</v>
      </c>
      <c r="O8" s="194">
        <f t="shared" si="1"/>
        <v>0.68409399477806798</v>
      </c>
    </row>
    <row r="9" spans="2:15" x14ac:dyDescent="0.3">
      <c r="B9" s="192">
        <v>4</v>
      </c>
      <c r="C9" s="192">
        <v>2019</v>
      </c>
      <c r="D9" s="193">
        <v>20004.52</v>
      </c>
      <c r="E9" s="194">
        <f t="shared" si="0"/>
        <v>0.33068940744485542</v>
      </c>
      <c r="G9" s="192">
        <v>4</v>
      </c>
      <c r="H9" s="192">
        <v>2019</v>
      </c>
      <c r="I9" s="193">
        <v>1633.3100000000015</v>
      </c>
      <c r="J9" s="194">
        <f t="shared" si="2"/>
        <v>0.20730156852889503</v>
      </c>
      <c r="L9" s="192">
        <v>4</v>
      </c>
      <c r="M9" s="192">
        <v>2019</v>
      </c>
      <c r="N9" s="193">
        <v>14.461464508892806</v>
      </c>
      <c r="O9" s="194">
        <f t="shared" si="1"/>
        <v>0.11941557314017803</v>
      </c>
    </row>
    <row r="10" spans="2:15" x14ac:dyDescent="0.3">
      <c r="B10" s="192">
        <v>5</v>
      </c>
      <c r="C10" s="192">
        <v>2020</v>
      </c>
      <c r="D10" s="193">
        <v>24870.2</v>
      </c>
      <c r="E10" s="194">
        <f t="shared" si="0"/>
        <v>0.24322903023916598</v>
      </c>
      <c r="G10" s="192">
        <v>5</v>
      </c>
      <c r="H10" s="192">
        <v>2020</v>
      </c>
      <c r="I10" s="193">
        <v>2128.3100000000004</v>
      </c>
      <c r="J10" s="194">
        <f t="shared" si="2"/>
        <v>0.30306555399770918</v>
      </c>
      <c r="L10" s="192">
        <v>5</v>
      </c>
      <c r="M10" s="192">
        <v>2020</v>
      </c>
      <c r="N10" s="193">
        <v>20.084594010497067</v>
      </c>
      <c r="O10" s="194">
        <f t="shared" si="1"/>
        <v>0.38883541138910394</v>
      </c>
    </row>
    <row r="11" spans="2:15" x14ac:dyDescent="0.3">
      <c r="B11" s="192">
        <v>6</v>
      </c>
      <c r="C11" s="192">
        <v>2021</v>
      </c>
      <c r="D11" s="193">
        <v>24143.06</v>
      </c>
      <c r="E11" s="194">
        <f t="shared" si="0"/>
        <v>-2.9237400583831175E-2</v>
      </c>
      <c r="G11" s="192">
        <v>6</v>
      </c>
      <c r="H11" s="192">
        <v>2021</v>
      </c>
      <c r="I11" s="193">
        <v>1744.8299999999983</v>
      </c>
      <c r="J11" s="194">
        <f t="shared" si="2"/>
        <v>-0.18018051881539909</v>
      </c>
      <c r="L11" s="192">
        <v>6</v>
      </c>
      <c r="M11" s="192">
        <v>2021</v>
      </c>
      <c r="N11" s="193">
        <v>16.972676752083977</v>
      </c>
      <c r="O11" s="194">
        <f t="shared" si="1"/>
        <v>-0.1549405109601254</v>
      </c>
    </row>
    <row r="12" spans="2:15" x14ac:dyDescent="0.3">
      <c r="B12" s="192">
        <v>7</v>
      </c>
      <c r="C12" s="192">
        <v>2022</v>
      </c>
      <c r="D12" s="193">
        <v>30976.27</v>
      </c>
      <c r="E12" s="194">
        <f t="shared" si="0"/>
        <v>0.28302998874210639</v>
      </c>
      <c r="G12" s="192">
        <v>7</v>
      </c>
      <c r="H12" s="192">
        <v>2022</v>
      </c>
      <c r="I12" s="193">
        <v>2502.3500000000013</v>
      </c>
      <c r="J12" s="194">
        <f t="shared" si="2"/>
        <v>0.43415117805173198</v>
      </c>
      <c r="L12" s="192">
        <v>7</v>
      </c>
      <c r="M12" s="192">
        <v>2022</v>
      </c>
      <c r="N12" s="193">
        <v>23.040290213028712</v>
      </c>
      <c r="O12" s="194">
        <f t="shared" si="1"/>
        <v>0.35749301949085477</v>
      </c>
    </row>
    <row r="13" spans="2:15" x14ac:dyDescent="0.3">
      <c r="B13" s="192">
        <v>8</v>
      </c>
      <c r="C13" s="192">
        <v>2023</v>
      </c>
      <c r="D13" s="193">
        <v>42839.56</v>
      </c>
      <c r="E13" s="194">
        <f t="shared" si="0"/>
        <v>0.38297993915987938</v>
      </c>
      <c r="G13" s="192">
        <v>8</v>
      </c>
      <c r="H13" s="192">
        <v>2023</v>
      </c>
      <c r="I13" s="193">
        <v>3638.7699999999968</v>
      </c>
      <c r="J13" s="194">
        <f t="shared" si="2"/>
        <v>0.45414110735908042</v>
      </c>
      <c r="L13" s="192">
        <v>8</v>
      </c>
      <c r="M13" s="192">
        <v>2023</v>
      </c>
      <c r="N13" s="193">
        <v>36.688415856856395</v>
      </c>
      <c r="O13" s="194">
        <f t="shared" si="1"/>
        <v>0.5923591030164197</v>
      </c>
    </row>
    <row r="14" spans="2:15" x14ac:dyDescent="0.3">
      <c r="B14" s="192">
        <v>9</v>
      </c>
      <c r="C14" s="192">
        <v>2024</v>
      </c>
      <c r="D14" s="193">
        <v>50788.83</v>
      </c>
      <c r="E14" s="194">
        <f t="shared" si="0"/>
        <v>0.18555909537819737</v>
      </c>
      <c r="G14" s="192">
        <v>9</v>
      </c>
      <c r="H14" s="192">
        <v>2024</v>
      </c>
      <c r="I14" s="193">
        <v>4105.6400000000049</v>
      </c>
      <c r="J14" s="194">
        <f t="shared" si="2"/>
        <v>0.1283043445999632</v>
      </c>
      <c r="L14" s="192">
        <v>9</v>
      </c>
      <c r="M14" s="192">
        <v>2024</v>
      </c>
      <c r="N14" s="193">
        <v>38.976025818349477</v>
      </c>
      <c r="O14" s="194">
        <f t="shared" si="1"/>
        <v>6.2352377666520908E-2</v>
      </c>
    </row>
    <row r="15" spans="2:15" x14ac:dyDescent="0.3">
      <c r="B15" s="192">
        <v>10</v>
      </c>
      <c r="C15" s="192">
        <v>2025</v>
      </c>
      <c r="D15" s="193">
        <v>59358.05</v>
      </c>
      <c r="E15" s="194">
        <f t="shared" si="0"/>
        <v>0.16872253210007004</v>
      </c>
      <c r="G15" s="192">
        <v>10</v>
      </c>
      <c r="H15" s="192">
        <v>2025</v>
      </c>
      <c r="I15" s="193">
        <v>4494.5099999999984</v>
      </c>
      <c r="J15" s="194">
        <f t="shared" si="2"/>
        <v>9.4716049142153924E-2</v>
      </c>
      <c r="L15" s="192">
        <v>10</v>
      </c>
      <c r="M15" s="192">
        <v>2025</v>
      </c>
      <c r="N15" s="193">
        <v>41.617027816197947</v>
      </c>
      <c r="O15" s="194">
        <f t="shared" si="1"/>
        <v>6.7759653335541348E-2</v>
      </c>
    </row>
    <row r="16" spans="2:15" x14ac:dyDescent="0.3">
      <c r="B16" s="192">
        <v>11</v>
      </c>
      <c r="C16" s="192">
        <v>2026</v>
      </c>
      <c r="D16" s="193">
        <f>FORECAST(B16,D6:D15,B6:B15)</f>
        <v>58863.729333333336</v>
      </c>
      <c r="E16" s="194">
        <f t="shared" si="0"/>
        <v>-8.3277780632393661E-3</v>
      </c>
      <c r="G16" s="192">
        <v>11</v>
      </c>
      <c r="H16" s="192">
        <v>2026</v>
      </c>
      <c r="I16" s="193">
        <f>FORECAST(G16,I6:I15,G6:G15)</f>
        <v>4659.384</v>
      </c>
      <c r="J16" s="194">
        <f t="shared" si="2"/>
        <v>3.6683420439603376E-2</v>
      </c>
      <c r="L16" s="192">
        <v>11</v>
      </c>
      <c r="M16" s="192">
        <v>2026</v>
      </c>
      <c r="N16" s="193">
        <f>FORECAST(L16,N6:N15,L6:L15)</f>
        <v>44.607735846623669</v>
      </c>
      <c r="O16" s="194">
        <f t="shared" si="1"/>
        <v>7.1862604980687639E-2</v>
      </c>
    </row>
    <row r="17" spans="2:18" x14ac:dyDescent="0.3">
      <c r="B17" s="192">
        <v>12</v>
      </c>
      <c r="C17" s="192">
        <v>2027</v>
      </c>
      <c r="D17" s="193">
        <f>FORECAST(B17,D6:D16,B6:B16)</f>
        <v>64320.859212121206</v>
      </c>
      <c r="E17" s="194">
        <f t="shared" si="0"/>
        <v>9.2707851517277229E-2</v>
      </c>
      <c r="G17" s="192">
        <v>12</v>
      </c>
      <c r="H17" s="192">
        <v>2027</v>
      </c>
      <c r="I17" s="193">
        <f t="shared" ref="I17:I20" si="3">FORECAST(G17,I7:I16,G7:G16)</f>
        <v>5151.3789333333334</v>
      </c>
      <c r="J17" s="194">
        <f t="shared" si="2"/>
        <v>0.10559226999391624</v>
      </c>
      <c r="L17" s="192">
        <v>12</v>
      </c>
      <c r="M17" s="192">
        <v>2027</v>
      </c>
      <c r="N17" s="193">
        <f t="shared" ref="N17:N20" si="4">FORECAST(L17,N7:N16,L7:L16)</f>
        <v>49.429468847760567</v>
      </c>
      <c r="O17" s="194">
        <f t="shared" si="1"/>
        <v>0.10809185693072676</v>
      </c>
    </row>
    <row r="18" spans="2:18" x14ac:dyDescent="0.3">
      <c r="B18" s="192">
        <v>13</v>
      </c>
      <c r="C18" s="192">
        <v>2028</v>
      </c>
      <c r="D18" s="193">
        <f>FORECAST(B18,D6:D17,B6:B17)</f>
        <v>69777.98909090909</v>
      </c>
      <c r="E18" s="194">
        <f t="shared" si="0"/>
        <v>8.4842303812998399E-2</v>
      </c>
      <c r="G18" s="192">
        <v>13</v>
      </c>
      <c r="H18" s="192">
        <v>2028</v>
      </c>
      <c r="I18" s="193">
        <f t="shared" si="3"/>
        <v>5655.1022399999993</v>
      </c>
      <c r="J18" s="194">
        <f t="shared" si="2"/>
        <v>9.7784168702324203E-2</v>
      </c>
      <c r="L18" s="192">
        <v>13</v>
      </c>
      <c r="M18" s="192">
        <v>2028</v>
      </c>
      <c r="N18" s="193">
        <f t="shared" si="4"/>
        <v>54.110999392115986</v>
      </c>
      <c r="O18" s="194">
        <f t="shared" si="1"/>
        <v>9.4711326127622675E-2</v>
      </c>
    </row>
    <row r="19" spans="2:18" x14ac:dyDescent="0.3">
      <c r="B19" s="192">
        <v>14</v>
      </c>
      <c r="C19" s="192">
        <v>2029</v>
      </c>
      <c r="D19" s="193">
        <f>FORECAST(B19,D7:D18,B7:B18)</f>
        <v>76145.400975206605</v>
      </c>
      <c r="E19" s="194">
        <f t="shared" si="0"/>
        <v>9.1252441740644619E-2</v>
      </c>
      <c r="G19" s="192">
        <v>14</v>
      </c>
      <c r="H19" s="192">
        <v>2029</v>
      </c>
      <c r="I19" s="193">
        <f t="shared" si="3"/>
        <v>6183.8162737777784</v>
      </c>
      <c r="J19" s="194">
        <f t="shared" si="2"/>
        <v>9.3493275866534775E-2</v>
      </c>
      <c r="L19" s="192">
        <v>14</v>
      </c>
      <c r="M19" s="192">
        <v>2029</v>
      </c>
      <c r="N19" s="193">
        <f t="shared" si="4"/>
        <v>59.280638441359066</v>
      </c>
      <c r="O19" s="194">
        <f t="shared" si="1"/>
        <v>9.5537674545266293E-2</v>
      </c>
    </row>
    <row r="20" spans="2:18" x14ac:dyDescent="0.3">
      <c r="B20" s="192">
        <v>15</v>
      </c>
      <c r="C20" s="192">
        <v>2030</v>
      </c>
      <c r="D20" s="193">
        <f>FORECAST(B20,D8:D19,B8:B19)</f>
        <v>82556.68458953168</v>
      </c>
      <c r="E20" s="194">
        <f t="shared" si="0"/>
        <v>8.4197909948791727E-2</v>
      </c>
      <c r="G20" s="192">
        <v>15</v>
      </c>
      <c r="H20" s="192">
        <v>2030</v>
      </c>
      <c r="I20" s="193">
        <f t="shared" si="3"/>
        <v>6711.9864384000011</v>
      </c>
      <c r="J20" s="194">
        <f t="shared" si="2"/>
        <v>8.5411684506524921E-2</v>
      </c>
      <c r="L20" s="192">
        <v>15</v>
      </c>
      <c r="M20" s="192">
        <v>2030</v>
      </c>
      <c r="N20" s="193">
        <f t="shared" si="4"/>
        <v>64.183371082780354</v>
      </c>
      <c r="O20" s="194">
        <f t="shared" si="1"/>
        <v>8.2703775976891825E-2</v>
      </c>
    </row>
    <row r="22" spans="2:18" x14ac:dyDescent="0.3">
      <c r="B22" t="s">
        <v>179</v>
      </c>
      <c r="C22" s="35">
        <f>IFERROR(AVERAGE(E6:E15),0)</f>
        <v>0.24606464771203018</v>
      </c>
      <c r="R22" s="35"/>
    </row>
    <row r="23" spans="2:18" x14ac:dyDescent="0.3">
      <c r="B23" t="s">
        <v>180</v>
      </c>
      <c r="C23" s="35">
        <f>_xlfn.RRI(B15,D6,D15)</f>
        <v>0.21333354835613227</v>
      </c>
      <c r="R23" s="35"/>
    </row>
    <row r="25" spans="2:18" x14ac:dyDescent="0.3">
      <c r="B25" t="s">
        <v>181</v>
      </c>
      <c r="C25" s="35">
        <f>_xlfn.STDEV.S(E6:E15)</f>
        <v>0.12875492642269823</v>
      </c>
      <c r="R25" s="35"/>
    </row>
  </sheetData>
  <mergeCells count="4">
    <mergeCell ref="B4:E4"/>
    <mergeCell ref="G4:J4"/>
    <mergeCell ref="L4:O4"/>
    <mergeCell ref="B2:O2"/>
  </mergeCells>
  <pageMargins left="0.7" right="0.7" top="0.75" bottom="0.75" header="0.3" footer="0.3"/>
  <pageSetup scale="59"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F8E412-E0B8-406B-9B5A-D26450350A91}">
  <sheetPr>
    <tabColor theme="8"/>
    <pageSetUpPr fitToPage="1"/>
  </sheetPr>
  <dimension ref="A2:O46"/>
  <sheetViews>
    <sheetView showGridLines="0" workbookViewId="0">
      <selection activeCell="R11" sqref="R11"/>
    </sheetView>
  </sheetViews>
  <sheetFormatPr defaultRowHeight="14.4" x14ac:dyDescent="0.3"/>
  <cols>
    <col min="1" max="1" width="1.88671875" customWidth="1"/>
    <col min="2" max="2" width="19.6640625" bestFit="1" customWidth="1"/>
    <col min="3" max="3" width="9.5546875" bestFit="1" customWidth="1"/>
    <col min="4" max="5" width="8" bestFit="1" customWidth="1"/>
    <col min="8" max="8" width="9.5546875" bestFit="1" customWidth="1"/>
    <col min="12" max="12" width="9.5546875" bestFit="1" customWidth="1"/>
    <col min="13" max="13" width="20.21875" bestFit="1" customWidth="1"/>
  </cols>
  <sheetData>
    <row r="2" spans="1:15" s="2" customFormat="1" x14ac:dyDescent="0.3">
      <c r="A2"/>
      <c r="B2" s="280" t="s">
        <v>183</v>
      </c>
      <c r="C2" s="280"/>
      <c r="D2" s="280"/>
      <c r="E2" s="280"/>
      <c r="F2" s="280"/>
      <c r="G2" s="280"/>
      <c r="H2" s="280"/>
      <c r="I2" s="280"/>
      <c r="J2" s="280"/>
      <c r="K2" s="280"/>
      <c r="L2" s="280"/>
      <c r="M2" s="280"/>
    </row>
    <row r="4" spans="1:15" x14ac:dyDescent="0.3">
      <c r="B4" s="279" t="s">
        <v>184</v>
      </c>
      <c r="C4" s="279"/>
      <c r="D4" s="279"/>
      <c r="E4" s="279"/>
      <c r="F4" s="279"/>
      <c r="G4" s="279"/>
      <c r="H4" s="279"/>
      <c r="I4" s="279"/>
      <c r="J4" s="279"/>
      <c r="K4" s="279"/>
      <c r="L4" s="279"/>
      <c r="M4" s="279"/>
    </row>
    <row r="6" spans="1:15" x14ac:dyDescent="0.3">
      <c r="B6" s="278" t="s">
        <v>185</v>
      </c>
      <c r="C6" s="278"/>
      <c r="D6" s="278"/>
      <c r="E6" s="278"/>
      <c r="F6" s="278"/>
      <c r="G6" s="278"/>
      <c r="H6" s="278"/>
      <c r="I6" s="278"/>
      <c r="J6" s="278"/>
      <c r="K6" s="278"/>
      <c r="L6" s="278"/>
      <c r="M6" s="278"/>
    </row>
    <row r="7" spans="1:15" x14ac:dyDescent="0.3">
      <c r="B7" s="36"/>
      <c r="C7" s="36"/>
      <c r="D7" s="36"/>
      <c r="E7" s="36"/>
      <c r="F7" s="36"/>
      <c r="G7" s="36"/>
      <c r="H7" s="36"/>
      <c r="I7" s="36"/>
      <c r="J7" s="36" t="s">
        <v>191</v>
      </c>
      <c r="K7" s="36" t="s">
        <v>193</v>
      </c>
      <c r="L7" s="36" t="s">
        <v>198</v>
      </c>
      <c r="M7" s="36" t="s">
        <v>197</v>
      </c>
    </row>
    <row r="8" spans="1:15" ht="16.2" x14ac:dyDescent="0.3">
      <c r="B8" s="277" t="s">
        <v>186</v>
      </c>
      <c r="C8" s="277"/>
      <c r="D8" s="277"/>
      <c r="E8" s="277"/>
      <c r="F8" s="39" t="s">
        <v>187</v>
      </c>
      <c r="G8" s="39" t="s">
        <v>188</v>
      </c>
      <c r="H8" s="39" t="s">
        <v>189</v>
      </c>
      <c r="I8" s="39" t="s">
        <v>190</v>
      </c>
      <c r="J8" s="39" t="s">
        <v>192</v>
      </c>
      <c r="K8" s="39" t="s">
        <v>194</v>
      </c>
      <c r="L8" s="39" t="s">
        <v>195</v>
      </c>
      <c r="M8" s="39" t="s">
        <v>196</v>
      </c>
    </row>
    <row r="9" spans="1:15" ht="15" thickBot="1" x14ac:dyDescent="0.35">
      <c r="O9">
        <f>G10</f>
        <v>819.62</v>
      </c>
    </row>
    <row r="10" spans="1:15" ht="15" thickBot="1" x14ac:dyDescent="0.35">
      <c r="B10" s="274" t="str">
        <f>'Beta  - Comp '!C4</f>
        <v>Avenue Super.</v>
      </c>
      <c r="C10" s="275"/>
      <c r="D10" s="275"/>
      <c r="E10" s="276"/>
      <c r="F10" s="51" t="s">
        <v>199</v>
      </c>
      <c r="G10" s="52">
        <f>'Beta  - Comp '!F4</f>
        <v>819.62</v>
      </c>
      <c r="H10" s="52">
        <f>'Beta  - Comp '!E4</f>
        <v>261737.44</v>
      </c>
      <c r="I10" s="53">
        <v>0.3</v>
      </c>
      <c r="J10" s="35">
        <f>G10/H10</f>
        <v>3.1314587626439685E-3</v>
      </c>
      <c r="K10" s="35">
        <f>G10/(G10+H10)</f>
        <v>3.1216833399947425E-3</v>
      </c>
      <c r="L10" s="58">
        <f>Beta!M7</f>
        <v>1.2414891157397492</v>
      </c>
      <c r="M10" s="58">
        <f>L10/(1+(1-I10)*J10)</f>
        <v>1.2387736976145196</v>
      </c>
      <c r="O10">
        <f>H10+G10</f>
        <v>262557.06</v>
      </c>
    </row>
    <row r="11" spans="1:15" ht="15" thickBot="1" x14ac:dyDescent="0.35">
      <c r="B11" s="274" t="str">
        <f>'Beta  - Comp '!C5</f>
        <v>Trent</v>
      </c>
      <c r="C11" s="275"/>
      <c r="D11" s="275"/>
      <c r="E11" s="276"/>
      <c r="F11" s="51" t="s">
        <v>199</v>
      </c>
      <c r="G11" s="52">
        <f>'Beta  - Comp '!F5</f>
        <v>2237.19</v>
      </c>
      <c r="H11" s="52">
        <f>'Beta  - Comp '!E5</f>
        <v>183059.4</v>
      </c>
      <c r="I11" s="53">
        <v>0.3</v>
      </c>
      <c r="J11" s="35">
        <f t="shared" ref="J11:J14" si="0">G11/H11</f>
        <v>1.2221115113454977E-2</v>
      </c>
      <c r="K11" s="35">
        <f t="shared" ref="K11:K14" si="1">G11/(G11+H11)</f>
        <v>1.2073562713701316E-2</v>
      </c>
      <c r="L11">
        <v>1.54</v>
      </c>
      <c r="M11" s="58">
        <f t="shared" ref="M11:M14" si="2">L11/(1+(1-I11)*J11)</f>
        <v>1.5269373857067678</v>
      </c>
    </row>
    <row r="12" spans="1:15" ht="15" thickBot="1" x14ac:dyDescent="0.35">
      <c r="B12" s="274" t="str">
        <f>'Beta  - Comp '!C9</f>
        <v>Vedant Fashions</v>
      </c>
      <c r="C12" s="275"/>
      <c r="D12" s="275"/>
      <c r="E12" s="276"/>
      <c r="F12" s="51" t="s">
        <v>199</v>
      </c>
      <c r="G12" s="52">
        <f>'Beta  - Comp '!F9</f>
        <v>482.9</v>
      </c>
      <c r="H12" s="52">
        <f>'Beta  - Comp '!E9</f>
        <v>19296.240000000002</v>
      </c>
      <c r="I12" s="53">
        <v>0.3</v>
      </c>
      <c r="J12" s="35">
        <f t="shared" si="0"/>
        <v>2.5025600842443912E-2</v>
      </c>
      <c r="K12" s="35">
        <f t="shared" si="1"/>
        <v>2.4414610544240038E-2</v>
      </c>
      <c r="L12">
        <v>0.61</v>
      </c>
      <c r="M12" s="58">
        <f t="shared" si="2"/>
        <v>0.59949804092538206</v>
      </c>
      <c r="O12">
        <f>O9/O10</f>
        <v>3.1216833399947425E-3</v>
      </c>
    </row>
    <row r="13" spans="1:15" ht="15" thickBot="1" x14ac:dyDescent="0.35">
      <c r="B13" s="274" t="str">
        <f>'Beta  - Comp '!C15</f>
        <v>Aditya Bir. Fas.</v>
      </c>
      <c r="C13" s="275"/>
      <c r="D13" s="275"/>
      <c r="E13" s="276"/>
      <c r="F13" s="51" t="s">
        <v>199</v>
      </c>
      <c r="G13" s="52">
        <f>'Beta  - Comp '!F15</f>
        <v>5016.78</v>
      </c>
      <c r="H13" s="52">
        <f>'Beta  - Comp '!E15</f>
        <v>9234.98</v>
      </c>
      <c r="I13" s="53">
        <v>0.3</v>
      </c>
      <c r="J13" s="35">
        <f t="shared" si="0"/>
        <v>0.54323669352830217</v>
      </c>
      <c r="K13" s="35">
        <f t="shared" si="1"/>
        <v>0.35201126036363228</v>
      </c>
      <c r="L13">
        <v>0.93</v>
      </c>
      <c r="M13" s="58">
        <f t="shared" si="2"/>
        <v>0.67378332287051601</v>
      </c>
    </row>
    <row r="14" spans="1:15" ht="15" thickBot="1" x14ac:dyDescent="0.35">
      <c r="B14" s="274" t="s">
        <v>281</v>
      </c>
      <c r="C14" s="275"/>
      <c r="D14" s="275"/>
      <c r="E14" s="276"/>
      <c r="F14" s="51" t="s">
        <v>199</v>
      </c>
      <c r="G14" s="52">
        <f>'Beta  - Comp '!F17</f>
        <v>1227.08</v>
      </c>
      <c r="H14" s="52">
        <f>'Beta  - Comp '!E17</f>
        <v>32844.94</v>
      </c>
      <c r="I14" s="53">
        <v>0.3</v>
      </c>
      <c r="J14" s="35">
        <f t="shared" si="0"/>
        <v>3.7359788143927188E-2</v>
      </c>
      <c r="K14" s="35">
        <f t="shared" si="1"/>
        <v>3.6014301470825613E-2</v>
      </c>
      <c r="L14">
        <v>0.79</v>
      </c>
      <c r="M14" s="58">
        <f t="shared" si="2"/>
        <v>0.76986656379428653</v>
      </c>
    </row>
    <row r="17" spans="2:13" x14ac:dyDescent="0.3">
      <c r="H17" s="33" t="s">
        <v>200</v>
      </c>
      <c r="I17" s="131">
        <f>AVERAGE(I10:I14)</f>
        <v>0.3</v>
      </c>
      <c r="J17" s="131">
        <f t="shared" ref="J17:M17" si="3">AVERAGE(J10:J14)</f>
        <v>0.12419493127815444</v>
      </c>
      <c r="K17" s="131">
        <f t="shared" si="3"/>
        <v>8.5527083686478794E-2</v>
      </c>
      <c r="L17" s="132">
        <f t="shared" si="3"/>
        <v>1.0222978231479498</v>
      </c>
      <c r="M17" s="132">
        <f t="shared" si="3"/>
        <v>0.9617718021822943</v>
      </c>
    </row>
    <row r="18" spans="2:13" ht="15" thickBot="1" x14ac:dyDescent="0.35">
      <c r="H18" s="112" t="s">
        <v>175</v>
      </c>
      <c r="I18" s="128">
        <f>MEDIAN(I10:I14)</f>
        <v>0.3</v>
      </c>
      <c r="J18" s="128">
        <f t="shared" ref="J18:M18" si="4">MEDIAN(J10:J14)</f>
        <v>2.5025600842443912E-2</v>
      </c>
      <c r="K18" s="128">
        <f t="shared" si="4"/>
        <v>2.4414610544240038E-2</v>
      </c>
      <c r="L18" s="133">
        <f t="shared" si="4"/>
        <v>0.93</v>
      </c>
      <c r="M18" s="133">
        <f t="shared" si="4"/>
        <v>0.76986656379428653</v>
      </c>
    </row>
    <row r="19" spans="2:13" ht="15" thickTop="1" x14ac:dyDescent="0.3"/>
    <row r="21" spans="2:13" x14ac:dyDescent="0.3">
      <c r="B21" s="39" t="s">
        <v>201</v>
      </c>
      <c r="C21" s="39"/>
      <c r="D21" s="39"/>
      <c r="E21" s="39"/>
      <c r="F21" s="39"/>
      <c r="G21" s="39"/>
      <c r="H21" s="39" t="s">
        <v>202</v>
      </c>
      <c r="I21" s="39"/>
      <c r="J21" s="39"/>
      <c r="K21" s="39"/>
      <c r="L21" s="39"/>
      <c r="M21" s="39"/>
    </row>
    <row r="22" spans="2:13" ht="15" thickBot="1" x14ac:dyDescent="0.35"/>
    <row r="23" spans="2:13" ht="15" thickBot="1" x14ac:dyDescent="0.35">
      <c r="B23" t="s">
        <v>203</v>
      </c>
      <c r="E23" s="53">
        <v>8.4000000000000005E-2</v>
      </c>
      <c r="H23" t="s">
        <v>206</v>
      </c>
      <c r="M23" s="59">
        <v>7.3899999999999993E-2</v>
      </c>
    </row>
    <row r="24" spans="2:13" ht="15" thickBot="1" x14ac:dyDescent="0.35">
      <c r="B24" t="s">
        <v>204</v>
      </c>
      <c r="E24" s="53">
        <v>0.3</v>
      </c>
      <c r="H24" t="s">
        <v>207</v>
      </c>
      <c r="M24" s="59">
        <f>'Rm '!G7-WACC!M23</f>
        <v>7.9447999999999963E-2</v>
      </c>
    </row>
    <row r="25" spans="2:13" ht="16.2" x14ac:dyDescent="0.3">
      <c r="B25" s="36" t="s">
        <v>205</v>
      </c>
      <c r="C25" s="36"/>
      <c r="D25" s="36"/>
      <c r="E25" s="57">
        <f>E23*(1-E24)</f>
        <v>5.8799999999999998E-2</v>
      </c>
      <c r="H25" t="s">
        <v>208</v>
      </c>
      <c r="M25" s="58">
        <f>M34</f>
        <v>0.8202683948360896</v>
      </c>
    </row>
    <row r="26" spans="2:13" x14ac:dyDescent="0.3">
      <c r="H26" s="36" t="s">
        <v>215</v>
      </c>
      <c r="I26" s="36"/>
      <c r="J26" s="36"/>
      <c r="K26" s="36"/>
      <c r="L26" s="36"/>
      <c r="M26" s="41">
        <f>M23+M24*M25</f>
        <v>0.1390686834329376</v>
      </c>
    </row>
    <row r="29" spans="2:13" x14ac:dyDescent="0.3">
      <c r="B29" s="39" t="s">
        <v>209</v>
      </c>
      <c r="C29" s="39"/>
      <c r="D29" s="39"/>
      <c r="E29" s="39"/>
      <c r="H29" s="39" t="s">
        <v>216</v>
      </c>
      <c r="I29" s="39"/>
      <c r="J29" s="39"/>
      <c r="K29" s="39"/>
      <c r="L29" s="39"/>
      <c r="M29" s="39"/>
    </row>
    <row r="31" spans="2:13" ht="15" thickBot="1" x14ac:dyDescent="0.35">
      <c r="D31" t="s">
        <v>213</v>
      </c>
      <c r="E31" t="s">
        <v>214</v>
      </c>
      <c r="H31" t="s">
        <v>217</v>
      </c>
      <c r="M31" s="74">
        <f>M18</f>
        <v>0.76986656379428653</v>
      </c>
    </row>
    <row r="32" spans="2:13" ht="15" thickBot="1" x14ac:dyDescent="0.35">
      <c r="B32" t="s">
        <v>210</v>
      </c>
      <c r="C32" s="54">
        <f>G10</f>
        <v>819.62</v>
      </c>
      <c r="D32" s="5">
        <f>C32/$C$34</f>
        <v>3.1216833399947425E-3</v>
      </c>
      <c r="E32" s="5">
        <f>K17</f>
        <v>8.5527083686478794E-2</v>
      </c>
      <c r="H32" t="s">
        <v>218</v>
      </c>
      <c r="M32" s="5">
        <f>E36</f>
        <v>9.352609810606613E-2</v>
      </c>
    </row>
    <row r="33" spans="2:13" ht="15" thickBot="1" x14ac:dyDescent="0.35">
      <c r="B33" t="s">
        <v>211</v>
      </c>
      <c r="C33" s="54">
        <f>H10</f>
        <v>261737.44</v>
      </c>
      <c r="D33" s="5">
        <f>C33/$C$34</f>
        <v>0.99687831666000526</v>
      </c>
      <c r="E33" s="5">
        <f>E34-E32</f>
        <v>0.91447291631352123</v>
      </c>
      <c r="H33" t="str">
        <f>B24</f>
        <v>Tax Rate</v>
      </c>
      <c r="M33" s="5">
        <f>E24</f>
        <v>0.3</v>
      </c>
    </row>
    <row r="34" spans="2:13" x14ac:dyDescent="0.3">
      <c r="B34" t="s">
        <v>212</v>
      </c>
      <c r="C34" s="58">
        <f>C32+C33</f>
        <v>262557.06</v>
      </c>
      <c r="D34" s="5">
        <f>D32+D33</f>
        <v>1</v>
      </c>
      <c r="E34" s="5">
        <v>1</v>
      </c>
      <c r="H34" s="36" t="s">
        <v>219</v>
      </c>
      <c r="I34" s="36"/>
      <c r="J34" s="36"/>
      <c r="K34" s="36"/>
      <c r="L34" s="36"/>
      <c r="M34" s="56">
        <f>M31*(1+(1-M33)*M32)</f>
        <v>0.8202683948360896</v>
      </c>
    </row>
    <row r="36" spans="2:13" x14ac:dyDescent="0.3">
      <c r="B36" t="s">
        <v>220</v>
      </c>
      <c r="D36" s="5">
        <f>D32/D33</f>
        <v>3.1314587626439685E-3</v>
      </c>
      <c r="E36" s="5">
        <f>E32/E33</f>
        <v>9.352609810606613E-2</v>
      </c>
    </row>
    <row r="37" spans="2:13" x14ac:dyDescent="0.3">
      <c r="H37" s="55" t="str">
        <f>B2</f>
        <v>Weighted Average Cost of Capital</v>
      </c>
      <c r="I37" s="55"/>
      <c r="J37" s="55"/>
      <c r="K37" s="55"/>
      <c r="L37" s="55"/>
      <c r="M37" s="55"/>
    </row>
    <row r="38" spans="2:13" x14ac:dyDescent="0.3">
      <c r="B38" s="60" t="s">
        <v>221</v>
      </c>
    </row>
    <row r="39" spans="2:13" x14ac:dyDescent="0.3">
      <c r="B39" s="60" t="s">
        <v>222</v>
      </c>
      <c r="H39" s="36" t="s">
        <v>201</v>
      </c>
      <c r="I39" s="36"/>
      <c r="J39" s="36"/>
      <c r="K39" s="36"/>
      <c r="L39" s="36"/>
      <c r="M39" s="41">
        <f>E25</f>
        <v>5.8799999999999998E-2</v>
      </c>
    </row>
    <row r="40" spans="2:13" ht="15" thickBot="1" x14ac:dyDescent="0.35">
      <c r="B40" s="60" t="s">
        <v>223</v>
      </c>
      <c r="H40" s="134" t="s">
        <v>289</v>
      </c>
      <c r="I40" s="134"/>
      <c r="J40" s="134"/>
      <c r="K40" s="134"/>
      <c r="L40" s="135"/>
      <c r="M40" s="136">
        <f>E32</f>
        <v>8.5527083686478794E-2</v>
      </c>
    </row>
    <row r="41" spans="2:13" ht="15" thickTop="1" x14ac:dyDescent="0.3">
      <c r="B41" s="60" t="s">
        <v>224</v>
      </c>
      <c r="L41" s="5"/>
      <c r="M41" s="5"/>
    </row>
    <row r="42" spans="2:13" x14ac:dyDescent="0.3">
      <c r="H42" s="36" t="s">
        <v>290</v>
      </c>
      <c r="I42" s="36"/>
      <c r="J42" s="36"/>
      <c r="K42" s="36"/>
      <c r="L42" s="36"/>
      <c r="M42" s="37">
        <f>M26</f>
        <v>0.1390686834329376</v>
      </c>
    </row>
    <row r="43" spans="2:13" ht="15" thickBot="1" x14ac:dyDescent="0.35">
      <c r="H43" s="134" t="s">
        <v>291</v>
      </c>
      <c r="I43" s="134"/>
      <c r="J43" s="134"/>
      <c r="K43" s="134"/>
      <c r="L43" s="134"/>
      <c r="M43" s="135">
        <f>E33</f>
        <v>0.91447291631352123</v>
      </c>
    </row>
    <row r="44" spans="2:13" ht="15" thickTop="1" x14ac:dyDescent="0.3"/>
    <row r="45" spans="2:13" ht="15" thickBot="1" x14ac:dyDescent="0.35">
      <c r="H45" s="115" t="s">
        <v>345</v>
      </c>
      <c r="I45" s="115"/>
      <c r="J45" s="115"/>
      <c r="K45" s="115"/>
      <c r="L45" s="115"/>
      <c r="M45" s="128">
        <f>(M39*M40)+(M42*M43)</f>
        <v>0.13220353702756527</v>
      </c>
    </row>
    <row r="46" spans="2:13" ht="15" thickTop="1" x14ac:dyDescent="0.3"/>
  </sheetData>
  <mergeCells count="9">
    <mergeCell ref="B14:E14"/>
    <mergeCell ref="B8:E8"/>
    <mergeCell ref="B6:M6"/>
    <mergeCell ref="B4:M4"/>
    <mergeCell ref="B2:M2"/>
    <mergeCell ref="B10:E10"/>
    <mergeCell ref="B11:E11"/>
    <mergeCell ref="B12:E12"/>
    <mergeCell ref="B13:E13"/>
  </mergeCells>
  <pageMargins left="0.7" right="0.7" top="0.75" bottom="0.75" header="0.3" footer="0.3"/>
  <pageSetup scale="60"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E7F754-664F-448B-A214-8698D0549B85}">
  <sheetPr>
    <tabColor theme="5"/>
    <pageSetUpPr fitToPage="1"/>
  </sheetPr>
  <dimension ref="B2:Q108"/>
  <sheetViews>
    <sheetView showGridLines="0" zoomScale="117" zoomScaleNormal="52" workbookViewId="0">
      <selection activeCell="J7" sqref="J7"/>
    </sheetView>
  </sheetViews>
  <sheetFormatPr defaultRowHeight="14.4" x14ac:dyDescent="0.3"/>
  <cols>
    <col min="1" max="1" width="1.88671875" customWidth="1"/>
    <col min="2" max="2" width="11.21875" bestFit="1" customWidth="1"/>
    <col min="3" max="3" width="11.77734375" bestFit="1" customWidth="1"/>
    <col min="4" max="4" width="11" customWidth="1"/>
    <col min="5" max="5" width="3.88671875" customWidth="1"/>
    <col min="6" max="6" width="11.77734375" bestFit="1" customWidth="1"/>
    <col min="7" max="7" width="9.109375" bestFit="1" customWidth="1"/>
    <col min="8" max="8" width="2.6640625" customWidth="1"/>
    <col min="9" max="9" width="19.109375" customWidth="1"/>
    <col min="10" max="10" width="9.109375" bestFit="1" customWidth="1"/>
    <col min="11" max="11" width="3.21875" customWidth="1"/>
    <col min="12" max="12" width="9" bestFit="1" customWidth="1"/>
    <col min="13" max="14" width="14.21875" bestFit="1" customWidth="1"/>
    <col min="15" max="15" width="9.109375" bestFit="1" customWidth="1"/>
    <col min="16" max="17" width="13.77734375" bestFit="1" customWidth="1"/>
    <col min="18" max="20" width="9" bestFit="1" customWidth="1"/>
  </cols>
  <sheetData>
    <row r="2" spans="2:13" ht="14.4" customHeight="1" x14ac:dyDescent="0.3">
      <c r="B2" s="282" t="s">
        <v>228</v>
      </c>
      <c r="C2" s="282"/>
      <c r="D2" s="282"/>
      <c r="F2" s="281" t="s">
        <v>229</v>
      </c>
      <c r="G2" s="281"/>
      <c r="I2" s="269" t="s">
        <v>256</v>
      </c>
      <c r="J2" s="269"/>
      <c r="M2" s="190" t="s">
        <v>468</v>
      </c>
    </row>
    <row r="3" spans="2:13" ht="15" thickBot="1" x14ac:dyDescent="0.35">
      <c r="B3" s="66" t="s">
        <v>225</v>
      </c>
      <c r="C3" s="72" t="s">
        <v>226</v>
      </c>
      <c r="D3" s="61" t="s">
        <v>227</v>
      </c>
      <c r="F3" s="61" t="s">
        <v>226</v>
      </c>
      <c r="G3" s="61" t="s">
        <v>227</v>
      </c>
      <c r="H3" s="71"/>
      <c r="I3" s="71"/>
    </row>
    <row r="4" spans="2:13" x14ac:dyDescent="0.3">
      <c r="B4" s="62">
        <v>44249</v>
      </c>
      <c r="C4" s="63">
        <v>2994.2</v>
      </c>
      <c r="D4" s="64"/>
      <c r="F4" s="63">
        <v>14529.2</v>
      </c>
      <c r="G4" s="64"/>
      <c r="H4" s="64"/>
      <c r="I4" s="192" t="s">
        <v>257</v>
      </c>
      <c r="J4" s="195">
        <f>M4</f>
        <v>1.2414891157397494</v>
      </c>
      <c r="L4" s="192" t="s">
        <v>230</v>
      </c>
      <c r="M4" s="192">
        <f>SLOPE(D4:D108,G4:G108)</f>
        <v>1.2414891157397494</v>
      </c>
    </row>
    <row r="5" spans="2:13" x14ac:dyDescent="0.3">
      <c r="B5" s="62">
        <v>44256</v>
      </c>
      <c r="C5" s="63">
        <v>3286.1</v>
      </c>
      <c r="D5" s="65">
        <v>9.7500000000000003E-2</v>
      </c>
      <c r="F5" s="63">
        <v>14938.1</v>
      </c>
      <c r="G5" s="65">
        <v>2.81E-2</v>
      </c>
      <c r="H5" s="65"/>
      <c r="I5" s="196" t="s">
        <v>258</v>
      </c>
      <c r="J5" s="197">
        <v>0.75</v>
      </c>
      <c r="L5" s="192" t="s">
        <v>231</v>
      </c>
      <c r="M5" s="192">
        <f>_xlfn.COVARIANCE.S(D4:D108,G4:G108)/_xlfn.VAR.S(G4:G108)</f>
        <v>1.241489115739749</v>
      </c>
    </row>
    <row r="6" spans="2:13" x14ac:dyDescent="0.3">
      <c r="B6" s="62">
        <v>44263</v>
      </c>
      <c r="C6" s="63">
        <v>3129.4</v>
      </c>
      <c r="D6" s="65">
        <v>-4.7699999999999999E-2</v>
      </c>
      <c r="F6" s="63">
        <v>15031</v>
      </c>
      <c r="G6" s="65">
        <v>6.1999999999999998E-3</v>
      </c>
      <c r="H6" s="65"/>
      <c r="I6" s="65"/>
      <c r="L6" s="199"/>
      <c r="M6" s="199"/>
    </row>
    <row r="7" spans="2:13" x14ac:dyDescent="0.3">
      <c r="B7" s="62">
        <v>44270</v>
      </c>
      <c r="C7" s="63">
        <v>2960.3</v>
      </c>
      <c r="D7" s="65">
        <v>-5.3999999999999999E-2</v>
      </c>
      <c r="F7" s="63">
        <v>14744</v>
      </c>
      <c r="G7" s="65">
        <v>-1.9099999999999999E-2</v>
      </c>
      <c r="H7" s="65"/>
      <c r="I7" s="196" t="s">
        <v>259</v>
      </c>
      <c r="J7" s="195">
        <v>1</v>
      </c>
      <c r="L7" s="192" t="s">
        <v>232</v>
      </c>
      <c r="M7" s="198">
        <f>J29</f>
        <v>1.2414891157397492</v>
      </c>
    </row>
    <row r="8" spans="2:13" x14ac:dyDescent="0.3">
      <c r="B8" s="62">
        <v>44277</v>
      </c>
      <c r="C8" s="63">
        <v>2855.2</v>
      </c>
      <c r="D8" s="65">
        <v>-3.5499999999999997E-2</v>
      </c>
      <c r="F8" s="63">
        <v>14507.3</v>
      </c>
      <c r="G8" s="65">
        <v>-1.61E-2</v>
      </c>
      <c r="H8" s="65"/>
      <c r="I8" s="196" t="s">
        <v>260</v>
      </c>
      <c r="J8" s="197">
        <v>0.25</v>
      </c>
    </row>
    <row r="9" spans="2:13" x14ac:dyDescent="0.3">
      <c r="B9" s="62">
        <v>44284</v>
      </c>
      <c r="C9" s="63">
        <v>2912.7</v>
      </c>
      <c r="D9" s="65">
        <v>2.01E-2</v>
      </c>
      <c r="F9" s="63">
        <v>14867.3</v>
      </c>
      <c r="G9" s="65">
        <v>2.4799999999999999E-2</v>
      </c>
      <c r="H9" s="65"/>
      <c r="I9" s="65"/>
    </row>
    <row r="10" spans="2:13" x14ac:dyDescent="0.3">
      <c r="B10" s="62">
        <v>44291</v>
      </c>
      <c r="C10" s="63">
        <v>2947.8</v>
      </c>
      <c r="D10" s="65">
        <v>1.2E-2</v>
      </c>
      <c r="F10" s="63">
        <v>14834.8</v>
      </c>
      <c r="G10" s="65">
        <v>-2.2000000000000001E-3</v>
      </c>
      <c r="H10" s="65"/>
      <c r="I10" s="65"/>
    </row>
    <row r="11" spans="2:13" x14ac:dyDescent="0.3">
      <c r="B11" s="62">
        <v>44298</v>
      </c>
      <c r="C11" s="63">
        <v>2919.9</v>
      </c>
      <c r="D11" s="65">
        <v>-9.4000000000000004E-3</v>
      </c>
      <c r="F11" s="63">
        <v>14617.8</v>
      </c>
      <c r="G11" s="65">
        <v>-1.46E-2</v>
      </c>
      <c r="H11" s="65"/>
      <c r="I11" s="196" t="s">
        <v>261</v>
      </c>
      <c r="J11" s="195">
        <f>(J4*J5)+(J7*J8)</f>
        <v>1.1811168368048119</v>
      </c>
    </row>
    <row r="12" spans="2:13" x14ac:dyDescent="0.3">
      <c r="B12" s="62">
        <v>44305</v>
      </c>
      <c r="C12" s="63">
        <v>2713.7</v>
      </c>
      <c r="D12" s="65">
        <v>-7.0599999999999996E-2</v>
      </c>
      <c r="F12" s="63">
        <v>14341.3</v>
      </c>
      <c r="G12" s="65">
        <v>-1.89E-2</v>
      </c>
      <c r="H12" s="65"/>
      <c r="I12" s="65"/>
    </row>
    <row r="13" spans="2:13" ht="15" thickBot="1" x14ac:dyDescent="0.35">
      <c r="B13" s="62">
        <v>44312</v>
      </c>
      <c r="C13" s="63">
        <v>2852.9</v>
      </c>
      <c r="D13" s="65">
        <v>5.1299999999999998E-2</v>
      </c>
      <c r="F13" s="63">
        <v>14631.1</v>
      </c>
      <c r="G13" s="65">
        <v>2.0199999999999999E-2</v>
      </c>
      <c r="H13" s="65"/>
      <c r="I13" s="65"/>
    </row>
    <row r="14" spans="2:13" x14ac:dyDescent="0.3">
      <c r="B14" s="62">
        <v>44319</v>
      </c>
      <c r="C14" s="63">
        <v>2895.5</v>
      </c>
      <c r="D14" s="65">
        <v>1.49E-2</v>
      </c>
      <c r="F14" s="63">
        <v>14823.2</v>
      </c>
      <c r="G14" s="65">
        <v>1.3100000000000001E-2</v>
      </c>
      <c r="H14" s="65"/>
      <c r="I14" s="70" t="s">
        <v>233</v>
      </c>
      <c r="J14" s="70"/>
    </row>
    <row r="15" spans="2:13" x14ac:dyDescent="0.3">
      <c r="B15" s="62">
        <v>44326</v>
      </c>
      <c r="C15" s="63">
        <v>2844.6</v>
      </c>
      <c r="D15" s="65">
        <v>-1.7600000000000001E-2</v>
      </c>
      <c r="F15" s="63">
        <v>14677.8</v>
      </c>
      <c r="G15" s="65">
        <v>-9.7999999999999997E-3</v>
      </c>
      <c r="H15" s="65"/>
      <c r="I15" t="s">
        <v>234</v>
      </c>
      <c r="J15">
        <v>0.51083870975242507</v>
      </c>
    </row>
    <row r="16" spans="2:13" x14ac:dyDescent="0.3">
      <c r="B16" s="62">
        <v>44333</v>
      </c>
      <c r="C16" s="63">
        <v>3034.1</v>
      </c>
      <c r="D16" s="65">
        <v>6.6600000000000006E-2</v>
      </c>
      <c r="F16" s="63">
        <v>15175.3</v>
      </c>
      <c r="G16" s="65">
        <v>3.39E-2</v>
      </c>
      <c r="H16" s="65"/>
      <c r="I16" t="s">
        <v>235</v>
      </c>
      <c r="J16">
        <v>0.26095618738152243</v>
      </c>
    </row>
    <row r="17" spans="2:17" x14ac:dyDescent="0.3">
      <c r="B17" s="62">
        <v>44340</v>
      </c>
      <c r="C17" s="63">
        <v>3022.1</v>
      </c>
      <c r="D17" s="65">
        <v>-4.0000000000000001E-3</v>
      </c>
      <c r="F17" s="63">
        <v>15435.7</v>
      </c>
      <c r="G17" s="65">
        <v>1.72E-2</v>
      </c>
      <c r="H17" s="65"/>
      <c r="I17" t="s">
        <v>236</v>
      </c>
      <c r="J17">
        <v>0.2537106598068315</v>
      </c>
    </row>
    <row r="18" spans="2:17" x14ac:dyDescent="0.3">
      <c r="B18" s="62">
        <v>44347</v>
      </c>
      <c r="C18" s="63">
        <v>3197</v>
      </c>
      <c r="D18" s="65">
        <v>5.79E-2</v>
      </c>
      <c r="F18" s="63">
        <v>15670.3</v>
      </c>
      <c r="G18" s="65">
        <v>1.52E-2</v>
      </c>
      <c r="H18" s="65"/>
      <c r="I18" t="s">
        <v>237</v>
      </c>
      <c r="J18">
        <v>4.2295755227800644E-2</v>
      </c>
    </row>
    <row r="19" spans="2:17" ht="15" thickBot="1" x14ac:dyDescent="0.35">
      <c r="B19" s="62">
        <v>44354</v>
      </c>
      <c r="C19" s="63">
        <v>3175.6</v>
      </c>
      <c r="D19" s="65">
        <v>-6.7000000000000002E-3</v>
      </c>
      <c r="F19" s="63">
        <v>15799.3</v>
      </c>
      <c r="G19" s="65">
        <v>8.2000000000000007E-3</v>
      </c>
      <c r="H19" s="65"/>
      <c r="I19" s="68" t="s">
        <v>238</v>
      </c>
      <c r="J19" s="68">
        <v>104</v>
      </c>
    </row>
    <row r="20" spans="2:17" x14ac:dyDescent="0.3">
      <c r="B20" s="62">
        <v>44361</v>
      </c>
      <c r="C20" s="63">
        <v>3317.7</v>
      </c>
      <c r="D20" s="65">
        <v>4.48E-2</v>
      </c>
      <c r="F20" s="63">
        <v>15683.3</v>
      </c>
      <c r="G20" s="65">
        <v>-7.3000000000000001E-3</v>
      </c>
      <c r="H20" s="65"/>
    </row>
    <row r="21" spans="2:17" ht="15" thickBot="1" x14ac:dyDescent="0.35">
      <c r="B21" s="62">
        <v>44368</v>
      </c>
      <c r="C21" s="63">
        <v>3315.4</v>
      </c>
      <c r="D21" s="65">
        <v>-6.9999999999999999E-4</v>
      </c>
      <c r="F21" s="63">
        <v>15860.3</v>
      </c>
      <c r="G21" s="65">
        <v>1.1299999999999999E-2</v>
      </c>
      <c r="H21" s="65"/>
      <c r="I21" t="s">
        <v>239</v>
      </c>
    </row>
    <row r="22" spans="2:17" x14ac:dyDescent="0.3">
      <c r="B22" s="62">
        <v>44375</v>
      </c>
      <c r="C22" s="63">
        <v>3314.3</v>
      </c>
      <c r="D22" s="65">
        <v>-2.9999999999999997E-4</v>
      </c>
      <c r="F22" s="63">
        <v>15722.2</v>
      </c>
      <c r="G22" s="65">
        <v>-8.6999999999999994E-3</v>
      </c>
      <c r="H22" s="65"/>
      <c r="I22" s="69"/>
      <c r="J22" s="69" t="s">
        <v>243</v>
      </c>
      <c r="K22" s="69" t="s">
        <v>244</v>
      </c>
      <c r="L22" s="69" t="s">
        <v>245</v>
      </c>
      <c r="M22" s="69" t="s">
        <v>246</v>
      </c>
      <c r="N22" s="69" t="s">
        <v>247</v>
      </c>
    </row>
    <row r="23" spans="2:17" x14ac:dyDescent="0.3">
      <c r="B23" s="62">
        <v>44382</v>
      </c>
      <c r="C23" s="63">
        <v>3377.6</v>
      </c>
      <c r="D23" s="65">
        <v>1.9099999999999999E-2</v>
      </c>
      <c r="F23" s="63">
        <v>15689.8</v>
      </c>
      <c r="G23" s="65">
        <v>-2.0999999999999999E-3</v>
      </c>
      <c r="H23" s="65"/>
      <c r="I23" t="s">
        <v>240</v>
      </c>
      <c r="J23">
        <v>1</v>
      </c>
      <c r="K23">
        <v>6.4430448304263505E-2</v>
      </c>
      <c r="L23">
        <v>6.4430448304263505E-2</v>
      </c>
      <c r="M23">
        <v>36.016174763181823</v>
      </c>
      <c r="N23">
        <v>3.015403774024112E-8</v>
      </c>
    </row>
    <row r="24" spans="2:17" x14ac:dyDescent="0.3">
      <c r="B24" s="62">
        <v>44389</v>
      </c>
      <c r="C24" s="63">
        <v>3349.2</v>
      </c>
      <c r="D24" s="65">
        <v>-8.3999999999999995E-3</v>
      </c>
      <c r="F24" s="63">
        <v>15923.4</v>
      </c>
      <c r="G24" s="65">
        <v>1.49E-2</v>
      </c>
      <c r="H24" s="65"/>
      <c r="I24" t="s">
        <v>241</v>
      </c>
      <c r="J24">
        <v>102</v>
      </c>
      <c r="K24">
        <v>0.18247095284958259</v>
      </c>
      <c r="L24">
        <v>1.7889309102900254E-3</v>
      </c>
    </row>
    <row r="25" spans="2:17" ht="15" thickBot="1" x14ac:dyDescent="0.35">
      <c r="B25" s="62">
        <v>44396</v>
      </c>
      <c r="C25" s="63">
        <v>3413.2</v>
      </c>
      <c r="D25" s="65">
        <v>1.9099999999999999E-2</v>
      </c>
      <c r="F25" s="63">
        <v>15856</v>
      </c>
      <c r="G25" s="65">
        <v>-4.1999999999999997E-3</v>
      </c>
      <c r="H25" s="65"/>
      <c r="I25" s="68" t="s">
        <v>26</v>
      </c>
      <c r="J25" s="68">
        <v>103</v>
      </c>
      <c r="K25" s="68">
        <v>0.2469014011538461</v>
      </c>
      <c r="L25" s="68"/>
      <c r="M25" s="68"/>
      <c r="N25" s="68"/>
    </row>
    <row r="26" spans="2:17" ht="15" thickBot="1" x14ac:dyDescent="0.35">
      <c r="B26" s="62">
        <v>44403</v>
      </c>
      <c r="C26" s="63">
        <v>3500.8</v>
      </c>
      <c r="D26" s="65">
        <v>2.5700000000000001E-2</v>
      </c>
      <c r="F26" s="63">
        <v>15763</v>
      </c>
      <c r="G26" s="65">
        <v>-5.8999999999999999E-3</v>
      </c>
      <c r="H26" s="65"/>
    </row>
    <row r="27" spans="2:17" x14ac:dyDescent="0.3">
      <c r="B27" s="62">
        <v>44410</v>
      </c>
      <c r="C27" s="63">
        <v>3529.2</v>
      </c>
      <c r="D27" s="65">
        <v>8.0999999999999996E-3</v>
      </c>
      <c r="F27" s="63">
        <v>16238.2</v>
      </c>
      <c r="G27" s="65">
        <v>3.0099999999999998E-2</v>
      </c>
      <c r="H27" s="65"/>
      <c r="I27" s="69"/>
      <c r="J27" s="69" t="s">
        <v>248</v>
      </c>
      <c r="K27" s="69" t="s">
        <v>237</v>
      </c>
      <c r="L27" s="69" t="s">
        <v>249</v>
      </c>
      <c r="M27" s="69" t="s">
        <v>250</v>
      </c>
      <c r="N27" s="69" t="s">
        <v>251</v>
      </c>
      <c r="O27" s="69" t="s">
        <v>252</v>
      </c>
      <c r="P27" s="69" t="s">
        <v>253</v>
      </c>
      <c r="Q27" s="69" t="s">
        <v>254</v>
      </c>
    </row>
    <row r="28" spans="2:17" x14ac:dyDescent="0.3">
      <c r="B28" s="62">
        <v>44417</v>
      </c>
      <c r="C28" s="63">
        <v>3594.6</v>
      </c>
      <c r="D28" s="65">
        <v>1.8499999999999999E-2</v>
      </c>
      <c r="F28" s="63">
        <v>16529.099999999999</v>
      </c>
      <c r="G28" s="65">
        <v>1.7899999999999999E-2</v>
      </c>
      <c r="H28" s="65"/>
      <c r="I28" t="s">
        <v>242</v>
      </c>
      <c r="J28">
        <v>1.1322271172758318E-4</v>
      </c>
      <c r="K28">
        <v>4.1717746367836497E-3</v>
      </c>
      <c r="L28">
        <v>2.7140179320634516E-2</v>
      </c>
      <c r="M28">
        <v>0.97840095705079122</v>
      </c>
      <c r="N28">
        <v>-8.1614725001256713E-3</v>
      </c>
      <c r="O28">
        <v>8.3879179235808368E-3</v>
      </c>
      <c r="P28">
        <v>-8.1614725001256713E-3</v>
      </c>
      <c r="Q28">
        <v>8.3879179235808368E-3</v>
      </c>
    </row>
    <row r="29" spans="2:17" ht="15" thickBot="1" x14ac:dyDescent="0.35">
      <c r="B29" s="62">
        <v>44424</v>
      </c>
      <c r="C29" s="63">
        <v>3643.1</v>
      </c>
      <c r="D29" s="65">
        <v>1.35E-2</v>
      </c>
      <c r="F29" s="63">
        <v>16450.5</v>
      </c>
      <c r="G29" s="65">
        <v>-4.7999999999999996E-3</v>
      </c>
      <c r="H29" s="65"/>
      <c r="I29" s="68" t="s">
        <v>255</v>
      </c>
      <c r="J29" s="68">
        <v>1.2414891157397492</v>
      </c>
      <c r="K29" s="68">
        <v>0.20686838496527571</v>
      </c>
      <c r="L29" s="68">
        <v>6.0013477455636428</v>
      </c>
      <c r="M29" s="68">
        <v>3.015403774024112E-8</v>
      </c>
      <c r="N29" s="68">
        <v>0.83116665501456399</v>
      </c>
      <c r="O29" s="68">
        <v>1.6518115764649344</v>
      </c>
      <c r="P29" s="68">
        <v>0.83116665501456399</v>
      </c>
      <c r="Q29" s="68">
        <v>1.6518115764649344</v>
      </c>
    </row>
    <row r="30" spans="2:17" x14ac:dyDescent="0.3">
      <c r="B30" s="62">
        <v>44431</v>
      </c>
      <c r="C30" s="63">
        <v>3833.1</v>
      </c>
      <c r="D30" s="65">
        <v>5.21E-2</v>
      </c>
      <c r="F30" s="63">
        <v>16705.2</v>
      </c>
      <c r="G30" s="65">
        <v>1.55E-2</v>
      </c>
      <c r="H30" s="65"/>
      <c r="I30" s="65"/>
    </row>
    <row r="31" spans="2:17" x14ac:dyDescent="0.3">
      <c r="B31" s="62">
        <v>44438</v>
      </c>
      <c r="C31" s="63">
        <v>3938.9</v>
      </c>
      <c r="D31" s="65">
        <v>2.76E-2</v>
      </c>
      <c r="F31" s="63">
        <v>17323.599999999999</v>
      </c>
      <c r="G31" s="65">
        <v>3.6999999999999998E-2</v>
      </c>
      <c r="H31" s="65"/>
      <c r="I31" s="65"/>
    </row>
    <row r="32" spans="2:17" x14ac:dyDescent="0.3">
      <c r="B32" s="62">
        <v>44445</v>
      </c>
      <c r="C32" s="63">
        <v>3950.5</v>
      </c>
      <c r="D32" s="65">
        <v>2.8999999999999998E-3</v>
      </c>
      <c r="F32" s="63">
        <v>17369.3</v>
      </c>
      <c r="G32" s="65">
        <v>2.5999999999999999E-3</v>
      </c>
      <c r="H32" s="65"/>
      <c r="I32" s="65"/>
    </row>
    <row r="33" spans="2:9" x14ac:dyDescent="0.3">
      <c r="B33" s="62">
        <v>44452</v>
      </c>
      <c r="C33" s="63">
        <v>4239.6000000000004</v>
      </c>
      <c r="D33" s="65">
        <v>7.3200000000000001E-2</v>
      </c>
      <c r="F33" s="63">
        <v>17585.2</v>
      </c>
      <c r="G33" s="65">
        <v>1.24E-2</v>
      </c>
      <c r="H33" s="65"/>
      <c r="I33" s="65"/>
    </row>
    <row r="34" spans="2:9" x14ac:dyDescent="0.3">
      <c r="B34" s="62">
        <v>44459</v>
      </c>
      <c r="C34" s="63">
        <v>4422.3999999999996</v>
      </c>
      <c r="D34" s="65">
        <v>4.3099999999999999E-2</v>
      </c>
      <c r="F34" s="63">
        <v>17853.2</v>
      </c>
      <c r="G34" s="65">
        <v>1.52E-2</v>
      </c>
      <c r="H34" s="65"/>
      <c r="I34" s="65"/>
    </row>
    <row r="35" spans="2:9" x14ac:dyDescent="0.3">
      <c r="B35" s="62">
        <v>44466</v>
      </c>
      <c r="C35" s="63">
        <v>4235.6000000000004</v>
      </c>
      <c r="D35" s="65">
        <v>-4.2200000000000001E-2</v>
      </c>
      <c r="F35" s="63">
        <v>17532.099999999999</v>
      </c>
      <c r="G35" s="65">
        <v>-1.7999999999999999E-2</v>
      </c>
      <c r="H35" s="65"/>
      <c r="I35" s="65"/>
    </row>
    <row r="36" spans="2:9" x14ac:dyDescent="0.3">
      <c r="B36" s="62">
        <v>44473</v>
      </c>
      <c r="C36" s="63">
        <v>4408</v>
      </c>
      <c r="D36" s="65">
        <v>4.07E-2</v>
      </c>
      <c r="F36" s="63">
        <v>17895.2</v>
      </c>
      <c r="G36" s="65">
        <v>2.07E-2</v>
      </c>
      <c r="H36" s="65"/>
      <c r="I36" s="65"/>
    </row>
    <row r="37" spans="2:9" x14ac:dyDescent="0.3">
      <c r="B37" s="62">
        <v>44480</v>
      </c>
      <c r="C37" s="63">
        <v>5323.8</v>
      </c>
      <c r="D37" s="65">
        <v>0.20780000000000001</v>
      </c>
      <c r="F37" s="63">
        <v>18338.599999999999</v>
      </c>
      <c r="G37" s="65">
        <v>2.4799999999999999E-2</v>
      </c>
      <c r="H37" s="65"/>
      <c r="I37" s="65"/>
    </row>
    <row r="38" spans="2:9" x14ac:dyDescent="0.3">
      <c r="B38" s="62">
        <v>44487</v>
      </c>
      <c r="C38" s="63">
        <v>4521.5</v>
      </c>
      <c r="D38" s="65">
        <v>-0.1507</v>
      </c>
      <c r="F38" s="63">
        <v>18114.900000000001</v>
      </c>
      <c r="G38" s="65">
        <v>-1.2200000000000001E-2</v>
      </c>
      <c r="H38" s="65"/>
      <c r="I38" s="65"/>
    </row>
    <row r="39" spans="2:9" x14ac:dyDescent="0.3">
      <c r="B39" s="62">
        <v>44494</v>
      </c>
      <c r="C39" s="63">
        <v>4635.5</v>
      </c>
      <c r="D39" s="65">
        <v>2.52E-2</v>
      </c>
      <c r="F39" s="63">
        <v>17671.7</v>
      </c>
      <c r="G39" s="65">
        <v>-2.4500000000000001E-2</v>
      </c>
      <c r="H39" s="65"/>
      <c r="I39" s="65"/>
    </row>
    <row r="40" spans="2:9" x14ac:dyDescent="0.3">
      <c r="B40" s="62">
        <v>44501</v>
      </c>
      <c r="C40" s="63">
        <v>4783.7</v>
      </c>
      <c r="D40" s="65">
        <v>3.2000000000000001E-2</v>
      </c>
      <c r="F40" s="63">
        <v>17916.8</v>
      </c>
      <c r="G40" s="65">
        <v>1.3899999999999999E-2</v>
      </c>
      <c r="H40" s="65"/>
      <c r="I40" s="65"/>
    </row>
    <row r="41" spans="2:9" x14ac:dyDescent="0.3">
      <c r="B41" s="62">
        <v>44508</v>
      </c>
      <c r="C41" s="63">
        <v>5078.5</v>
      </c>
      <c r="D41" s="65">
        <v>6.1600000000000002E-2</v>
      </c>
      <c r="F41" s="63">
        <v>18102.8</v>
      </c>
      <c r="G41" s="65">
        <v>1.04E-2</v>
      </c>
      <c r="H41" s="65"/>
      <c r="I41" s="65"/>
    </row>
    <row r="42" spans="2:9" x14ac:dyDescent="0.3">
      <c r="B42" s="62">
        <v>44515</v>
      </c>
      <c r="C42" s="63">
        <v>5080.8999999999996</v>
      </c>
      <c r="D42" s="65">
        <v>5.0000000000000001E-4</v>
      </c>
      <c r="F42" s="63">
        <v>17764.8</v>
      </c>
      <c r="G42" s="65">
        <v>-1.8700000000000001E-2</v>
      </c>
      <c r="H42" s="65"/>
      <c r="I42" s="65"/>
    </row>
    <row r="43" spans="2:9" x14ac:dyDescent="0.3">
      <c r="B43" s="62">
        <v>44522</v>
      </c>
      <c r="C43" s="63">
        <v>4718.8</v>
      </c>
      <c r="D43" s="65">
        <v>-7.1300000000000002E-2</v>
      </c>
      <c r="F43" s="63">
        <v>17026.400000000001</v>
      </c>
      <c r="G43" s="65">
        <v>-4.1599999999999998E-2</v>
      </c>
      <c r="H43" s="65"/>
      <c r="I43" s="65"/>
    </row>
    <row r="44" spans="2:9" x14ac:dyDescent="0.3">
      <c r="B44" s="62">
        <v>44529</v>
      </c>
      <c r="C44" s="63">
        <v>4799</v>
      </c>
      <c r="D44" s="65">
        <v>1.7000000000000001E-2</v>
      </c>
      <c r="F44" s="63">
        <v>17196.7</v>
      </c>
      <c r="G44" s="65">
        <v>0.01</v>
      </c>
      <c r="H44" s="65"/>
      <c r="I44" s="65"/>
    </row>
    <row r="45" spans="2:9" x14ac:dyDescent="0.3">
      <c r="B45" s="62">
        <v>44536</v>
      </c>
      <c r="C45" s="63">
        <v>4796.6000000000004</v>
      </c>
      <c r="D45" s="65">
        <v>-5.0000000000000001E-4</v>
      </c>
      <c r="F45" s="63">
        <v>17511.3</v>
      </c>
      <c r="G45" s="65">
        <v>1.83E-2</v>
      </c>
      <c r="H45" s="65"/>
      <c r="I45" s="65"/>
    </row>
    <row r="46" spans="2:9" x14ac:dyDescent="0.3">
      <c r="B46" s="62">
        <v>44543</v>
      </c>
      <c r="C46" s="63">
        <v>4697.8</v>
      </c>
      <c r="D46" s="65">
        <v>-2.06E-2</v>
      </c>
      <c r="F46" s="63">
        <v>16985.2</v>
      </c>
      <c r="G46" s="65">
        <v>-0.03</v>
      </c>
      <c r="H46" s="65"/>
      <c r="I46" s="65"/>
    </row>
    <row r="47" spans="2:9" x14ac:dyDescent="0.3">
      <c r="B47" s="62">
        <v>44550</v>
      </c>
      <c r="C47" s="63">
        <v>4628.8999999999996</v>
      </c>
      <c r="D47" s="65">
        <v>-1.47E-2</v>
      </c>
      <c r="F47" s="63">
        <v>17003.8</v>
      </c>
      <c r="G47" s="65">
        <v>1.1000000000000001E-3</v>
      </c>
      <c r="H47" s="65"/>
      <c r="I47" s="65"/>
    </row>
    <row r="48" spans="2:9" x14ac:dyDescent="0.3">
      <c r="B48" s="62">
        <v>44557</v>
      </c>
      <c r="C48" s="63">
        <v>4671.5</v>
      </c>
      <c r="D48" s="65">
        <v>9.1999999999999998E-3</v>
      </c>
      <c r="F48" s="63">
        <v>17354.099999999999</v>
      </c>
      <c r="G48" s="65">
        <v>2.06E-2</v>
      </c>
      <c r="H48" s="65"/>
      <c r="I48" s="65"/>
    </row>
    <row r="49" spans="2:9" x14ac:dyDescent="0.3">
      <c r="B49" s="62">
        <v>44564</v>
      </c>
      <c r="C49" s="63">
        <v>4731.3999999999996</v>
      </c>
      <c r="D49" s="65">
        <v>1.2800000000000001E-2</v>
      </c>
      <c r="F49" s="63">
        <v>17812.7</v>
      </c>
      <c r="G49" s="65">
        <v>2.64E-2</v>
      </c>
      <c r="H49" s="65"/>
      <c r="I49" s="65"/>
    </row>
    <row r="50" spans="2:9" x14ac:dyDescent="0.3">
      <c r="B50" s="62">
        <v>44571</v>
      </c>
      <c r="C50" s="63">
        <v>4322.7</v>
      </c>
      <c r="D50" s="65">
        <v>-8.6400000000000005E-2</v>
      </c>
      <c r="F50" s="63">
        <v>18255.8</v>
      </c>
      <c r="G50" s="65">
        <v>2.4899999999999999E-2</v>
      </c>
      <c r="H50" s="65"/>
      <c r="I50" s="65"/>
    </row>
    <row r="51" spans="2:9" x14ac:dyDescent="0.3">
      <c r="B51" s="62">
        <v>44578</v>
      </c>
      <c r="C51" s="63">
        <v>4299.8</v>
      </c>
      <c r="D51" s="65">
        <v>-5.3E-3</v>
      </c>
      <c r="F51" s="63">
        <v>17617.2</v>
      </c>
      <c r="G51" s="65">
        <v>-3.5000000000000003E-2</v>
      </c>
      <c r="H51" s="65"/>
      <c r="I51" s="65"/>
    </row>
    <row r="52" spans="2:9" x14ac:dyDescent="0.3">
      <c r="B52" s="62">
        <v>44585</v>
      </c>
      <c r="C52" s="63">
        <v>4076</v>
      </c>
      <c r="D52" s="65">
        <v>-5.1999999999999998E-2</v>
      </c>
      <c r="F52" s="63">
        <v>17101.900000000001</v>
      </c>
      <c r="G52" s="65">
        <v>-2.92E-2</v>
      </c>
      <c r="H52" s="65"/>
      <c r="I52" s="65"/>
    </row>
    <row r="53" spans="2:9" x14ac:dyDescent="0.3">
      <c r="B53" s="62">
        <v>44592</v>
      </c>
      <c r="C53" s="63">
        <v>4081.9</v>
      </c>
      <c r="D53" s="65">
        <v>1.4E-3</v>
      </c>
      <c r="F53" s="63">
        <v>17516.3</v>
      </c>
      <c r="G53" s="65">
        <v>2.4199999999999999E-2</v>
      </c>
      <c r="H53" s="65"/>
      <c r="I53" s="65"/>
    </row>
    <row r="54" spans="2:9" x14ac:dyDescent="0.3">
      <c r="B54" s="62">
        <v>44599</v>
      </c>
      <c r="C54" s="63">
        <v>4142.3</v>
      </c>
      <c r="D54" s="65">
        <v>1.4800000000000001E-2</v>
      </c>
      <c r="F54" s="63">
        <v>17374.8</v>
      </c>
      <c r="G54" s="65">
        <v>-8.0999999999999996E-3</v>
      </c>
      <c r="H54" s="65"/>
      <c r="I54" s="65"/>
    </row>
    <row r="55" spans="2:9" x14ac:dyDescent="0.3">
      <c r="B55" s="62">
        <v>44606</v>
      </c>
      <c r="C55" s="63">
        <v>4073.1</v>
      </c>
      <c r="D55" s="65">
        <v>-1.67E-2</v>
      </c>
      <c r="F55" s="63">
        <v>17276.3</v>
      </c>
      <c r="G55" s="65">
        <v>-5.7000000000000002E-3</v>
      </c>
      <c r="H55" s="65"/>
      <c r="I55" s="65"/>
    </row>
    <row r="56" spans="2:9" x14ac:dyDescent="0.3">
      <c r="B56" s="62">
        <v>44613</v>
      </c>
      <c r="C56" s="63">
        <v>4190.8</v>
      </c>
      <c r="D56" s="65">
        <v>2.8899999999999999E-2</v>
      </c>
      <c r="F56" s="63">
        <v>16658.400000000001</v>
      </c>
      <c r="G56" s="65">
        <v>-3.5799999999999998E-2</v>
      </c>
      <c r="H56" s="65"/>
      <c r="I56" s="65"/>
    </row>
    <row r="57" spans="2:9" x14ac:dyDescent="0.3">
      <c r="B57" s="62">
        <v>44620</v>
      </c>
      <c r="C57" s="63">
        <v>4110.2</v>
      </c>
      <c r="D57" s="65">
        <v>-1.9199999999999998E-2</v>
      </c>
      <c r="F57" s="63">
        <v>16245.3</v>
      </c>
      <c r="G57" s="65">
        <v>-2.4799999999999999E-2</v>
      </c>
      <c r="H57" s="65"/>
      <c r="I57" s="65"/>
    </row>
    <row r="58" spans="2:9" x14ac:dyDescent="0.3">
      <c r="B58" s="62">
        <v>44627</v>
      </c>
      <c r="C58" s="63">
        <v>4199</v>
      </c>
      <c r="D58" s="65">
        <v>2.1600000000000001E-2</v>
      </c>
      <c r="F58" s="63">
        <v>16630.400000000001</v>
      </c>
      <c r="G58" s="65">
        <v>2.3699999999999999E-2</v>
      </c>
      <c r="H58" s="65"/>
      <c r="I58" s="65"/>
    </row>
    <row r="59" spans="2:9" x14ac:dyDescent="0.3">
      <c r="B59" s="62">
        <v>44634</v>
      </c>
      <c r="C59" s="63">
        <v>4192.8</v>
      </c>
      <c r="D59" s="65">
        <v>-1.5E-3</v>
      </c>
      <c r="F59" s="63">
        <v>17287.099999999999</v>
      </c>
      <c r="G59" s="65">
        <v>3.95E-2</v>
      </c>
      <c r="H59" s="65"/>
      <c r="I59" s="65"/>
    </row>
    <row r="60" spans="2:9" x14ac:dyDescent="0.3">
      <c r="B60" s="62">
        <v>44641</v>
      </c>
      <c r="C60" s="63">
        <v>4001.3</v>
      </c>
      <c r="D60" s="65">
        <v>-4.5699999999999998E-2</v>
      </c>
      <c r="F60" s="63">
        <v>17153</v>
      </c>
      <c r="G60" s="65">
        <v>-7.7999999999999996E-3</v>
      </c>
      <c r="H60" s="65"/>
      <c r="I60" s="65"/>
    </row>
    <row r="61" spans="2:9" x14ac:dyDescent="0.3">
      <c r="B61" s="62">
        <v>44648</v>
      </c>
      <c r="C61" s="63">
        <v>4082.2</v>
      </c>
      <c r="D61" s="65">
        <v>2.0199999999999999E-2</v>
      </c>
      <c r="F61" s="63">
        <v>17670.400000000001</v>
      </c>
      <c r="G61" s="65">
        <v>3.0200000000000001E-2</v>
      </c>
      <c r="H61" s="65"/>
      <c r="I61" s="65"/>
    </row>
    <row r="62" spans="2:9" x14ac:dyDescent="0.3">
      <c r="B62" s="62">
        <v>44655</v>
      </c>
      <c r="C62" s="63">
        <v>4146.3</v>
      </c>
      <c r="D62" s="65">
        <v>1.5699999999999999E-2</v>
      </c>
      <c r="F62" s="63">
        <v>17784.3</v>
      </c>
      <c r="G62" s="65">
        <v>6.4000000000000003E-3</v>
      </c>
      <c r="H62" s="65"/>
      <c r="I62" s="65"/>
    </row>
    <row r="63" spans="2:9" x14ac:dyDescent="0.3">
      <c r="B63" s="62">
        <v>44662</v>
      </c>
      <c r="C63" s="63">
        <v>4090.9</v>
      </c>
      <c r="D63" s="65">
        <v>-1.3299999999999999E-2</v>
      </c>
      <c r="F63" s="63">
        <v>17475.7</v>
      </c>
      <c r="G63" s="65">
        <v>-1.7399999999999999E-2</v>
      </c>
      <c r="H63" s="65"/>
      <c r="I63" s="65"/>
    </row>
    <row r="64" spans="2:9" x14ac:dyDescent="0.3">
      <c r="B64" s="62">
        <v>44669</v>
      </c>
      <c r="C64" s="63">
        <v>4028.9</v>
      </c>
      <c r="D64" s="65">
        <v>-1.52E-2</v>
      </c>
      <c r="F64" s="63">
        <v>17171.900000000001</v>
      </c>
      <c r="G64" s="65">
        <v>-1.7399999999999999E-2</v>
      </c>
      <c r="H64" s="65"/>
      <c r="I64" s="65"/>
    </row>
    <row r="65" spans="2:9" x14ac:dyDescent="0.3">
      <c r="B65" s="62">
        <v>44676</v>
      </c>
      <c r="C65" s="63">
        <v>3944.3</v>
      </c>
      <c r="D65" s="65">
        <v>-2.1000000000000001E-2</v>
      </c>
      <c r="F65" s="63">
        <v>17102.599999999999</v>
      </c>
      <c r="G65" s="65">
        <v>-4.0000000000000001E-3</v>
      </c>
      <c r="H65" s="65"/>
      <c r="I65" s="65"/>
    </row>
    <row r="66" spans="2:9" x14ac:dyDescent="0.3">
      <c r="B66" s="62">
        <v>44683</v>
      </c>
      <c r="C66" s="63">
        <v>3666.2</v>
      </c>
      <c r="D66" s="65">
        <v>-7.0499999999999993E-2</v>
      </c>
      <c r="F66" s="63">
        <v>16411.3</v>
      </c>
      <c r="G66" s="65">
        <v>-4.0399999999999998E-2</v>
      </c>
      <c r="H66" s="65"/>
      <c r="I66" s="65"/>
    </row>
    <row r="67" spans="2:9" x14ac:dyDescent="0.3">
      <c r="B67" s="62">
        <v>44690</v>
      </c>
      <c r="C67" s="63">
        <v>3230.6</v>
      </c>
      <c r="D67" s="65">
        <v>-0.1188</v>
      </c>
      <c r="F67" s="63">
        <v>15782.2</v>
      </c>
      <c r="G67" s="65">
        <v>-3.8300000000000001E-2</v>
      </c>
      <c r="H67" s="65"/>
      <c r="I67" s="65"/>
    </row>
    <row r="68" spans="2:9" x14ac:dyDescent="0.3">
      <c r="B68" s="62">
        <v>44697</v>
      </c>
      <c r="C68" s="63">
        <v>3630.4</v>
      </c>
      <c r="D68" s="65">
        <v>0.12379999999999999</v>
      </c>
      <c r="F68" s="63">
        <v>16266.2</v>
      </c>
      <c r="G68" s="65">
        <v>3.0700000000000002E-2</v>
      </c>
      <c r="H68" s="65"/>
      <c r="I68" s="65"/>
    </row>
    <row r="69" spans="2:9" x14ac:dyDescent="0.3">
      <c r="B69" s="62">
        <v>44704</v>
      </c>
      <c r="C69" s="63">
        <v>3613.9</v>
      </c>
      <c r="D69" s="65">
        <v>-4.5999999999999999E-3</v>
      </c>
      <c r="F69" s="63">
        <v>16352.5</v>
      </c>
      <c r="G69" s="65">
        <v>5.3E-3</v>
      </c>
      <c r="H69" s="65"/>
      <c r="I69" s="65"/>
    </row>
    <row r="70" spans="2:9" x14ac:dyDescent="0.3">
      <c r="B70" s="62">
        <v>44711</v>
      </c>
      <c r="C70" s="63">
        <v>3820.1</v>
      </c>
      <c r="D70" s="65">
        <v>5.7099999999999998E-2</v>
      </c>
      <c r="F70" s="63">
        <v>16584.3</v>
      </c>
      <c r="G70" s="65">
        <v>1.4200000000000001E-2</v>
      </c>
      <c r="H70" s="65"/>
      <c r="I70" s="65"/>
    </row>
    <row r="71" spans="2:9" x14ac:dyDescent="0.3">
      <c r="B71" s="62">
        <v>44718</v>
      </c>
      <c r="C71" s="63">
        <v>3755.6</v>
      </c>
      <c r="D71" s="65">
        <v>-1.6899999999999998E-2</v>
      </c>
      <c r="F71" s="63">
        <v>16201.8</v>
      </c>
      <c r="G71" s="65">
        <v>-2.3099999999999999E-2</v>
      </c>
      <c r="H71" s="65"/>
      <c r="I71" s="65"/>
    </row>
    <row r="72" spans="2:9" x14ac:dyDescent="0.3">
      <c r="B72" s="62">
        <v>44725</v>
      </c>
      <c r="C72" s="63">
        <v>3460.6</v>
      </c>
      <c r="D72" s="65">
        <v>-7.8600000000000003E-2</v>
      </c>
      <c r="F72" s="63">
        <v>15293.5</v>
      </c>
      <c r="G72" s="65">
        <v>-5.6099999999999997E-2</v>
      </c>
      <c r="H72" s="65"/>
      <c r="I72" s="65"/>
    </row>
    <row r="73" spans="2:9" x14ac:dyDescent="0.3">
      <c r="B73" s="62">
        <v>44732</v>
      </c>
      <c r="C73" s="63">
        <v>3412</v>
      </c>
      <c r="D73" s="65">
        <v>-1.4E-2</v>
      </c>
      <c r="F73" s="63">
        <v>15699.3</v>
      </c>
      <c r="G73" s="65">
        <v>2.6499999999999999E-2</v>
      </c>
      <c r="H73" s="65"/>
      <c r="I73" s="65"/>
    </row>
    <row r="74" spans="2:9" x14ac:dyDescent="0.3">
      <c r="B74" s="62">
        <v>44739</v>
      </c>
      <c r="C74" s="63">
        <v>3388.8</v>
      </c>
      <c r="D74" s="65">
        <v>-6.7999999999999996E-3</v>
      </c>
      <c r="F74" s="63">
        <v>15752</v>
      </c>
      <c r="G74" s="65">
        <v>3.3999999999999998E-3</v>
      </c>
      <c r="H74" s="65"/>
      <c r="I74" s="65"/>
    </row>
    <row r="75" spans="2:9" x14ac:dyDescent="0.3">
      <c r="B75" s="62">
        <v>44746</v>
      </c>
      <c r="C75" s="63">
        <v>3941.7</v>
      </c>
      <c r="D75" s="65">
        <v>0.16320000000000001</v>
      </c>
      <c r="F75" s="63">
        <v>16220.6</v>
      </c>
      <c r="G75" s="65">
        <v>2.9700000000000001E-2</v>
      </c>
      <c r="H75" s="65"/>
      <c r="I75" s="65"/>
    </row>
    <row r="76" spans="2:9" x14ac:dyDescent="0.3">
      <c r="B76" s="62">
        <v>44753</v>
      </c>
      <c r="C76" s="63">
        <v>3926.8</v>
      </c>
      <c r="D76" s="65">
        <v>-3.8E-3</v>
      </c>
      <c r="F76" s="63">
        <v>16049.2</v>
      </c>
      <c r="G76" s="65">
        <v>-1.06E-2</v>
      </c>
      <c r="H76" s="65"/>
      <c r="I76" s="65"/>
    </row>
    <row r="77" spans="2:9" x14ac:dyDescent="0.3">
      <c r="B77" s="62">
        <v>44760</v>
      </c>
      <c r="C77" s="63">
        <v>3963.4</v>
      </c>
      <c r="D77" s="65">
        <v>9.2999999999999992E-3</v>
      </c>
      <c r="F77" s="63">
        <v>16719.400000000001</v>
      </c>
      <c r="G77" s="65">
        <v>4.1799999999999997E-2</v>
      </c>
      <c r="H77" s="65"/>
      <c r="I77" s="65"/>
    </row>
    <row r="78" spans="2:9" x14ac:dyDescent="0.3">
      <c r="B78" s="62">
        <v>44767</v>
      </c>
      <c r="C78" s="63">
        <v>4243.8999999999996</v>
      </c>
      <c r="D78" s="65">
        <v>7.0800000000000002E-2</v>
      </c>
      <c r="F78" s="63">
        <v>17158.3</v>
      </c>
      <c r="G78" s="65">
        <v>2.6200000000000001E-2</v>
      </c>
      <c r="H78" s="65"/>
      <c r="I78" s="65"/>
    </row>
    <row r="79" spans="2:9" x14ac:dyDescent="0.3">
      <c r="B79" s="62">
        <v>44774</v>
      </c>
      <c r="C79" s="63">
        <v>4232.3</v>
      </c>
      <c r="D79" s="65">
        <v>-2.7000000000000001E-3</v>
      </c>
      <c r="F79" s="63">
        <v>17397.5</v>
      </c>
      <c r="G79" s="65">
        <v>1.3899999999999999E-2</v>
      </c>
      <c r="H79" s="65"/>
      <c r="I79" s="65"/>
    </row>
    <row r="80" spans="2:9" x14ac:dyDescent="0.3">
      <c r="B80" s="62">
        <v>44781</v>
      </c>
      <c r="C80" s="63">
        <v>4336.7</v>
      </c>
      <c r="D80" s="65">
        <v>2.47E-2</v>
      </c>
      <c r="F80" s="63">
        <v>17698.2</v>
      </c>
      <c r="G80" s="65">
        <v>1.7299999999999999E-2</v>
      </c>
      <c r="H80" s="65"/>
      <c r="I80" s="65"/>
    </row>
    <row r="81" spans="2:9" x14ac:dyDescent="0.3">
      <c r="B81" s="62">
        <v>44788</v>
      </c>
      <c r="C81" s="63">
        <v>4382</v>
      </c>
      <c r="D81" s="65">
        <v>1.04E-2</v>
      </c>
      <c r="F81" s="63">
        <v>17758.400000000001</v>
      </c>
      <c r="G81" s="65">
        <v>3.3999999999999998E-3</v>
      </c>
      <c r="H81" s="65"/>
      <c r="I81" s="65"/>
    </row>
    <row r="82" spans="2:9" x14ac:dyDescent="0.3">
      <c r="B82" s="62">
        <v>44795</v>
      </c>
      <c r="C82" s="63">
        <v>4409.6000000000004</v>
      </c>
      <c r="D82" s="65">
        <v>6.3E-3</v>
      </c>
      <c r="F82" s="63">
        <v>17558.900000000001</v>
      </c>
      <c r="G82" s="65">
        <v>-1.12E-2</v>
      </c>
      <c r="H82" s="65"/>
      <c r="I82" s="65"/>
    </row>
    <row r="83" spans="2:9" x14ac:dyDescent="0.3">
      <c r="B83" s="62">
        <v>44802</v>
      </c>
      <c r="C83" s="63">
        <v>4576.8</v>
      </c>
      <c r="D83" s="65">
        <v>3.7900000000000003E-2</v>
      </c>
      <c r="F83" s="63">
        <v>17539.400000000001</v>
      </c>
      <c r="G83" s="65">
        <v>-1.1000000000000001E-3</v>
      </c>
      <c r="H83" s="65"/>
      <c r="I83" s="65"/>
    </row>
    <row r="84" spans="2:9" x14ac:dyDescent="0.3">
      <c r="B84" s="62">
        <v>44809</v>
      </c>
      <c r="C84" s="63">
        <v>4386.1000000000004</v>
      </c>
      <c r="D84" s="65">
        <v>-4.1700000000000001E-2</v>
      </c>
      <c r="F84" s="63">
        <v>17833.3</v>
      </c>
      <c r="G84" s="65">
        <v>1.6799999999999999E-2</v>
      </c>
      <c r="H84" s="65"/>
      <c r="I84" s="65"/>
    </row>
    <row r="85" spans="2:9" x14ac:dyDescent="0.3">
      <c r="B85" s="62">
        <v>44816</v>
      </c>
      <c r="C85" s="63">
        <v>4327.5</v>
      </c>
      <c r="D85" s="65">
        <v>-1.3299999999999999E-2</v>
      </c>
      <c r="F85" s="63">
        <v>17530.8</v>
      </c>
      <c r="G85" s="65">
        <v>-1.7000000000000001E-2</v>
      </c>
      <c r="H85" s="65"/>
      <c r="I85" s="65"/>
    </row>
    <row r="86" spans="2:9" x14ac:dyDescent="0.3">
      <c r="B86" s="62">
        <v>44823</v>
      </c>
      <c r="C86" s="63">
        <v>4367</v>
      </c>
      <c r="D86" s="65">
        <v>9.1000000000000004E-3</v>
      </c>
      <c r="F86" s="63">
        <v>17327.3</v>
      </c>
      <c r="G86" s="65">
        <v>-1.1599999999999999E-2</v>
      </c>
      <c r="H86" s="65"/>
      <c r="I86" s="65"/>
    </row>
    <row r="87" spans="2:9" x14ac:dyDescent="0.3">
      <c r="B87" s="62">
        <v>44830</v>
      </c>
      <c r="C87" s="63">
        <v>4386.5</v>
      </c>
      <c r="D87" s="65">
        <v>4.4999999999999997E-3</v>
      </c>
      <c r="F87" s="63">
        <v>17094.3</v>
      </c>
      <c r="G87" s="65">
        <v>-1.34E-2</v>
      </c>
      <c r="H87" s="65"/>
      <c r="I87" s="65"/>
    </row>
    <row r="88" spans="2:9" x14ac:dyDescent="0.3">
      <c r="B88" s="62">
        <v>44837</v>
      </c>
      <c r="C88" s="63">
        <v>4471.5</v>
      </c>
      <c r="D88" s="65">
        <v>1.9400000000000001E-2</v>
      </c>
      <c r="F88" s="63">
        <v>17314.7</v>
      </c>
      <c r="G88" s="65">
        <v>1.29E-2</v>
      </c>
      <c r="H88" s="65"/>
      <c r="I88" s="65"/>
    </row>
    <row r="89" spans="2:9" x14ac:dyDescent="0.3">
      <c r="B89" s="62">
        <v>44844</v>
      </c>
      <c r="C89" s="63">
        <v>4306.1000000000004</v>
      </c>
      <c r="D89" s="65">
        <v>-3.6999999999999998E-2</v>
      </c>
      <c r="F89" s="63">
        <v>17185.7</v>
      </c>
      <c r="G89" s="65">
        <v>-7.4000000000000003E-3</v>
      </c>
      <c r="H89" s="65"/>
      <c r="I89" s="65"/>
    </row>
    <row r="90" spans="2:9" x14ac:dyDescent="0.3">
      <c r="B90" s="62">
        <v>44851</v>
      </c>
      <c r="C90" s="63">
        <v>4215.5</v>
      </c>
      <c r="D90" s="65">
        <v>-2.1000000000000001E-2</v>
      </c>
      <c r="F90" s="63">
        <v>17576.3</v>
      </c>
      <c r="G90" s="65">
        <v>2.2700000000000001E-2</v>
      </c>
      <c r="H90" s="65"/>
      <c r="I90" s="65"/>
    </row>
    <row r="91" spans="2:9" x14ac:dyDescent="0.3">
      <c r="B91" s="62">
        <v>44858</v>
      </c>
      <c r="C91" s="63">
        <v>4307.3999999999996</v>
      </c>
      <c r="D91" s="65">
        <v>2.18E-2</v>
      </c>
      <c r="F91" s="63">
        <v>17786.8</v>
      </c>
      <c r="G91" s="65">
        <v>1.2E-2</v>
      </c>
      <c r="H91" s="65"/>
      <c r="I91" s="65"/>
    </row>
    <row r="92" spans="2:9" x14ac:dyDescent="0.3">
      <c r="B92" s="62">
        <v>44865</v>
      </c>
      <c r="C92" s="63">
        <v>4167.3999999999996</v>
      </c>
      <c r="D92" s="65">
        <v>-3.2500000000000001E-2</v>
      </c>
      <c r="F92" s="63">
        <v>18117.2</v>
      </c>
      <c r="G92" s="65">
        <v>1.8599999999999998E-2</v>
      </c>
      <c r="H92" s="65"/>
      <c r="I92" s="65"/>
    </row>
    <row r="93" spans="2:9" x14ac:dyDescent="0.3">
      <c r="B93" s="62">
        <v>44872</v>
      </c>
      <c r="C93" s="63">
        <v>4128.3999999999996</v>
      </c>
      <c r="D93" s="65">
        <v>-9.4000000000000004E-3</v>
      </c>
      <c r="F93" s="63">
        <v>18349.7</v>
      </c>
      <c r="G93" s="65">
        <v>1.2800000000000001E-2</v>
      </c>
      <c r="H93" s="65"/>
      <c r="I93" s="65"/>
    </row>
    <row r="94" spans="2:9" x14ac:dyDescent="0.3">
      <c r="B94" s="62">
        <v>44879</v>
      </c>
      <c r="C94" s="63">
        <v>3910.6</v>
      </c>
      <c r="D94" s="65">
        <v>-5.2699999999999997E-2</v>
      </c>
      <c r="F94" s="63">
        <v>18307.7</v>
      </c>
      <c r="G94" s="65">
        <v>-2.3E-3</v>
      </c>
      <c r="H94" s="65"/>
      <c r="I94" s="65"/>
    </row>
    <row r="95" spans="2:9" x14ac:dyDescent="0.3">
      <c r="B95" s="62">
        <v>44886</v>
      </c>
      <c r="C95" s="63">
        <v>3904.4</v>
      </c>
      <c r="D95" s="65">
        <v>-1.6000000000000001E-3</v>
      </c>
      <c r="F95" s="63">
        <v>18512.8</v>
      </c>
      <c r="G95" s="65">
        <v>1.12E-2</v>
      </c>
      <c r="H95" s="65"/>
      <c r="I95" s="65"/>
    </row>
    <row r="96" spans="2:9" x14ac:dyDescent="0.3">
      <c r="B96" s="62">
        <v>44893</v>
      </c>
      <c r="C96" s="63">
        <v>4005.8</v>
      </c>
      <c r="D96" s="65">
        <v>2.5899999999999999E-2</v>
      </c>
      <c r="F96" s="63">
        <v>18696.099999999999</v>
      </c>
      <c r="G96" s="65">
        <v>9.9000000000000008E-3</v>
      </c>
      <c r="H96" s="65"/>
      <c r="I96" s="65"/>
    </row>
    <row r="97" spans="2:9" x14ac:dyDescent="0.3">
      <c r="B97" s="62">
        <v>44900</v>
      </c>
      <c r="C97" s="63">
        <v>4002.4</v>
      </c>
      <c r="D97" s="65">
        <v>-8.0000000000000004E-4</v>
      </c>
      <c r="F97" s="63">
        <v>18496.599999999999</v>
      </c>
      <c r="G97" s="65">
        <v>-1.0699999999999999E-2</v>
      </c>
      <c r="H97" s="65"/>
      <c r="I97" s="65"/>
    </row>
    <row r="98" spans="2:9" x14ac:dyDescent="0.3">
      <c r="B98" s="62">
        <v>44907</v>
      </c>
      <c r="C98" s="63">
        <v>3990</v>
      </c>
      <c r="D98" s="65">
        <v>-3.0999999999999999E-3</v>
      </c>
      <c r="F98" s="63">
        <v>18269</v>
      </c>
      <c r="G98" s="65">
        <v>-1.23E-2</v>
      </c>
      <c r="H98" s="65"/>
      <c r="I98" s="65"/>
    </row>
    <row r="99" spans="2:9" x14ac:dyDescent="0.3">
      <c r="B99" s="62">
        <v>44914</v>
      </c>
      <c r="C99" s="63">
        <v>3875.6</v>
      </c>
      <c r="D99" s="65">
        <v>-2.87E-2</v>
      </c>
      <c r="F99" s="63">
        <v>17806.8</v>
      </c>
      <c r="G99" s="65">
        <v>-2.53E-2</v>
      </c>
      <c r="H99" s="65"/>
      <c r="I99" s="65"/>
    </row>
    <row r="100" spans="2:9" x14ac:dyDescent="0.3">
      <c r="B100" s="62">
        <v>44921</v>
      </c>
      <c r="C100" s="63">
        <v>4068.8</v>
      </c>
      <c r="D100" s="65">
        <v>4.9799999999999997E-2</v>
      </c>
      <c r="F100" s="63">
        <v>18105.3</v>
      </c>
      <c r="G100" s="65">
        <v>1.6799999999999999E-2</v>
      </c>
      <c r="H100" s="65"/>
      <c r="I100" s="65"/>
    </row>
    <row r="101" spans="2:9" x14ac:dyDescent="0.3">
      <c r="B101" s="62">
        <v>44928</v>
      </c>
      <c r="C101" s="63">
        <v>3842.5</v>
      </c>
      <c r="D101" s="65">
        <v>-5.5599999999999997E-2</v>
      </c>
      <c r="F101" s="63">
        <v>17859.400000000001</v>
      </c>
      <c r="G101" s="65">
        <v>-1.3599999999999999E-2</v>
      </c>
      <c r="H101" s="65"/>
      <c r="I101" s="65"/>
    </row>
    <row r="102" spans="2:9" x14ac:dyDescent="0.3">
      <c r="B102" s="62">
        <v>44935</v>
      </c>
      <c r="C102" s="63">
        <v>3863.7</v>
      </c>
      <c r="D102" s="65">
        <v>5.4999999999999997E-3</v>
      </c>
      <c r="F102" s="63">
        <v>17956.599999999999</v>
      </c>
      <c r="G102" s="65">
        <v>5.4000000000000003E-3</v>
      </c>
      <c r="H102" s="65"/>
      <c r="I102" s="65"/>
    </row>
    <row r="103" spans="2:9" x14ac:dyDescent="0.3">
      <c r="B103" s="62">
        <v>44942</v>
      </c>
      <c r="C103" s="63">
        <v>3513.8</v>
      </c>
      <c r="D103" s="65">
        <v>-9.06E-2</v>
      </c>
      <c r="F103" s="63">
        <v>18027.7</v>
      </c>
      <c r="G103" s="65">
        <v>4.0000000000000001E-3</v>
      </c>
      <c r="H103" s="65"/>
      <c r="I103" s="65"/>
    </row>
    <row r="104" spans="2:9" x14ac:dyDescent="0.3">
      <c r="B104" s="62">
        <v>44949</v>
      </c>
      <c r="C104" s="63">
        <v>3562.4</v>
      </c>
      <c r="D104" s="65">
        <v>1.38E-2</v>
      </c>
      <c r="F104" s="63">
        <v>17604.3</v>
      </c>
      <c r="G104" s="65">
        <v>-2.35E-2</v>
      </c>
      <c r="H104" s="65"/>
      <c r="I104" s="65"/>
    </row>
    <row r="105" spans="2:9" x14ac:dyDescent="0.3">
      <c r="B105" s="62">
        <v>44956</v>
      </c>
      <c r="C105" s="63">
        <v>3470.4</v>
      </c>
      <c r="D105" s="65">
        <v>-2.58E-2</v>
      </c>
      <c r="F105" s="63">
        <v>17854.099999999999</v>
      </c>
      <c r="G105" s="65">
        <v>1.4200000000000001E-2</v>
      </c>
      <c r="H105" s="65"/>
      <c r="I105" s="65"/>
    </row>
    <row r="106" spans="2:9" x14ac:dyDescent="0.3">
      <c r="B106" s="62">
        <v>44963</v>
      </c>
      <c r="C106" s="63">
        <v>3498.9</v>
      </c>
      <c r="D106" s="65">
        <v>8.2000000000000007E-3</v>
      </c>
      <c r="F106" s="63">
        <v>17856.5</v>
      </c>
      <c r="G106" s="65">
        <v>1E-4</v>
      </c>
      <c r="H106" s="65"/>
      <c r="I106" s="65"/>
    </row>
    <row r="107" spans="2:9" x14ac:dyDescent="0.3">
      <c r="B107" s="62">
        <v>44970</v>
      </c>
      <c r="C107" s="63">
        <v>3545</v>
      </c>
      <c r="D107" s="65">
        <v>1.32E-2</v>
      </c>
      <c r="F107" s="63">
        <v>17944.2</v>
      </c>
      <c r="G107" s="65">
        <v>4.8999999999999998E-3</v>
      </c>
      <c r="H107" s="65"/>
      <c r="I107" s="65"/>
    </row>
    <row r="108" spans="2:9" x14ac:dyDescent="0.3">
      <c r="B108" s="62">
        <v>44977</v>
      </c>
      <c r="C108" s="63">
        <v>3552.9</v>
      </c>
      <c r="D108" s="65">
        <v>2.2000000000000001E-3</v>
      </c>
      <c r="F108" s="63">
        <v>17844.599999999999</v>
      </c>
      <c r="G108" s="65">
        <v>-5.5999999999999999E-3</v>
      </c>
      <c r="H108" s="65"/>
      <c r="I108" s="65"/>
    </row>
  </sheetData>
  <mergeCells count="3">
    <mergeCell ref="F2:G2"/>
    <mergeCell ref="B2:D2"/>
    <mergeCell ref="I2:J2"/>
  </mergeCells>
  <pageMargins left="0.7" right="0.7" top="0.75" bottom="0.75" header="0.3" footer="0.3"/>
  <pageSetup scale="43"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5DE617-80BB-4083-9C78-75C45DE158B7}">
  <sheetPr>
    <tabColor theme="5"/>
  </sheetPr>
  <dimension ref="B3:G17"/>
  <sheetViews>
    <sheetView workbookViewId="0">
      <selection activeCell="E25" sqref="E25"/>
    </sheetView>
  </sheetViews>
  <sheetFormatPr defaultRowHeight="14.4" x14ac:dyDescent="0.3"/>
  <cols>
    <col min="1" max="1" width="1.88671875" customWidth="1"/>
    <col min="3" max="3" width="15.33203125" bestFit="1" customWidth="1"/>
    <col min="4" max="4" width="7.6640625" bestFit="1" customWidth="1"/>
    <col min="5" max="5" width="13.21875" bestFit="1" customWidth="1"/>
    <col min="6" max="6" width="10.109375" bestFit="1" customWidth="1"/>
    <col min="7" max="7" width="8.5546875" bestFit="1" customWidth="1"/>
  </cols>
  <sheetData>
    <row r="3" spans="2:7" x14ac:dyDescent="0.3">
      <c r="B3" s="73" t="s">
        <v>264</v>
      </c>
      <c r="C3" s="73" t="s">
        <v>265</v>
      </c>
      <c r="D3" s="73" t="s">
        <v>266</v>
      </c>
      <c r="E3" s="73" t="s">
        <v>280</v>
      </c>
      <c r="F3" s="73" t="s">
        <v>267</v>
      </c>
      <c r="G3" s="73" t="s">
        <v>268</v>
      </c>
    </row>
    <row r="4" spans="2:7" x14ac:dyDescent="0.3">
      <c r="B4">
        <v>2</v>
      </c>
      <c r="C4" t="s">
        <v>262</v>
      </c>
      <c r="D4">
        <v>4021</v>
      </c>
      <c r="E4">
        <v>261737.44</v>
      </c>
      <c r="F4">
        <v>819.62</v>
      </c>
      <c r="G4">
        <v>0.04</v>
      </c>
    </row>
    <row r="5" spans="2:7" x14ac:dyDescent="0.3">
      <c r="B5">
        <v>3</v>
      </c>
      <c r="C5" t="s">
        <v>269</v>
      </c>
      <c r="D5">
        <v>5154</v>
      </c>
      <c r="E5">
        <v>183059.4</v>
      </c>
      <c r="F5">
        <v>2237.19</v>
      </c>
      <c r="G5">
        <v>0.41</v>
      </c>
    </row>
    <row r="6" spans="2:7" x14ac:dyDescent="0.3">
      <c r="B6">
        <v>5</v>
      </c>
      <c r="C6" t="s">
        <v>270</v>
      </c>
      <c r="D6">
        <v>1457.2</v>
      </c>
      <c r="E6">
        <v>94431</v>
      </c>
      <c r="F6">
        <v>267.33999999999997</v>
      </c>
      <c r="G6">
        <v>0.01</v>
      </c>
    </row>
    <row r="7" spans="2:7" x14ac:dyDescent="0.3">
      <c r="B7">
        <v>6</v>
      </c>
      <c r="C7" t="s">
        <v>263</v>
      </c>
      <c r="D7">
        <v>140.01</v>
      </c>
      <c r="E7">
        <v>65277.75</v>
      </c>
      <c r="F7">
        <v>1729.38</v>
      </c>
      <c r="G7">
        <v>0.27</v>
      </c>
    </row>
    <row r="8" spans="2:7" x14ac:dyDescent="0.3">
      <c r="B8">
        <v>7</v>
      </c>
      <c r="C8" t="s">
        <v>271</v>
      </c>
      <c r="D8">
        <v>215.62</v>
      </c>
      <c r="E8">
        <v>61731.33</v>
      </c>
      <c r="F8">
        <v>1320.59</v>
      </c>
      <c r="G8">
        <v>1.01</v>
      </c>
    </row>
    <row r="9" spans="2:7" x14ac:dyDescent="0.3">
      <c r="B9">
        <v>8</v>
      </c>
      <c r="C9" t="s">
        <v>272</v>
      </c>
      <c r="D9">
        <v>794.3</v>
      </c>
      <c r="E9">
        <v>19296.240000000002</v>
      </c>
      <c r="F9">
        <v>482.9</v>
      </c>
      <c r="G9">
        <v>0.27</v>
      </c>
    </row>
    <row r="10" spans="2:7" x14ac:dyDescent="0.3">
      <c r="B10">
        <v>9</v>
      </c>
      <c r="C10" t="s">
        <v>273</v>
      </c>
      <c r="D10">
        <v>358.25</v>
      </c>
      <c r="E10">
        <v>18650.669999999998</v>
      </c>
      <c r="F10">
        <v>1569.93</v>
      </c>
      <c r="G10">
        <v>0.33</v>
      </c>
    </row>
    <row r="11" spans="2:7" x14ac:dyDescent="0.3">
      <c r="B11">
        <v>10</v>
      </c>
      <c r="C11" t="s">
        <v>274</v>
      </c>
      <c r="D11">
        <v>149.77000000000001</v>
      </c>
      <c r="E11">
        <v>18270.330000000002</v>
      </c>
      <c r="F11">
        <v>2932.45</v>
      </c>
      <c r="G11">
        <v>2.2999999999999998</v>
      </c>
    </row>
    <row r="12" spans="2:7" x14ac:dyDescent="0.3">
      <c r="B12">
        <v>11</v>
      </c>
      <c r="C12" t="s">
        <v>275</v>
      </c>
      <c r="D12">
        <v>2621</v>
      </c>
      <c r="E12">
        <v>15794.78</v>
      </c>
      <c r="F12">
        <v>33.04</v>
      </c>
      <c r="G12">
        <v>0.02</v>
      </c>
    </row>
    <row r="13" spans="2:7" x14ac:dyDescent="0.3">
      <c r="B13">
        <v>12</v>
      </c>
      <c r="C13" t="s">
        <v>276</v>
      </c>
      <c r="D13">
        <v>887.2</v>
      </c>
      <c r="E13">
        <v>10615.24</v>
      </c>
      <c r="F13">
        <v>1119.8</v>
      </c>
      <c r="G13">
        <v>0.64</v>
      </c>
    </row>
    <row r="14" spans="2:7" x14ac:dyDescent="0.3">
      <c r="B14">
        <v>13</v>
      </c>
      <c r="C14" t="s">
        <v>277</v>
      </c>
      <c r="D14">
        <v>1965.6</v>
      </c>
      <c r="E14">
        <v>9322.1299999999992</v>
      </c>
      <c r="F14">
        <v>131.37</v>
      </c>
      <c r="G14">
        <v>0.06</v>
      </c>
    </row>
    <row r="15" spans="2:7" x14ac:dyDescent="0.3">
      <c r="B15">
        <v>14</v>
      </c>
      <c r="C15" t="s">
        <v>278</v>
      </c>
      <c r="D15">
        <v>75.67</v>
      </c>
      <c r="E15">
        <v>9234.98</v>
      </c>
      <c r="F15">
        <v>5016.78</v>
      </c>
      <c r="G15">
        <v>0.74</v>
      </c>
    </row>
    <row r="16" spans="2:7" x14ac:dyDescent="0.3">
      <c r="B16">
        <v>15</v>
      </c>
      <c r="C16" t="s">
        <v>279</v>
      </c>
      <c r="D16">
        <v>58.16</v>
      </c>
      <c r="E16">
        <v>8033.88</v>
      </c>
      <c r="F16">
        <v>923.46</v>
      </c>
      <c r="G16">
        <v>1</v>
      </c>
    </row>
    <row r="17" spans="2:7" x14ac:dyDescent="0.3">
      <c r="B17">
        <v>16</v>
      </c>
      <c r="C17" t="s">
        <v>282</v>
      </c>
      <c r="D17">
        <v>1205.7</v>
      </c>
      <c r="E17">
        <v>32844.94</v>
      </c>
      <c r="F17">
        <v>1227.08</v>
      </c>
      <c r="G17">
        <v>0.72</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FD87CC-F14E-4516-8AEB-B8F6D9304FC6}">
  <sheetPr>
    <tabColor rgb="FF92D050"/>
    <pageSetUpPr fitToPage="1"/>
  </sheetPr>
  <dimension ref="B2:L39"/>
  <sheetViews>
    <sheetView workbookViewId="0">
      <selection activeCell="N13" sqref="N13"/>
    </sheetView>
  </sheetViews>
  <sheetFormatPr defaultRowHeight="14.4" x14ac:dyDescent="0.3"/>
  <cols>
    <col min="1" max="1" width="1.88671875" customWidth="1"/>
    <col min="2" max="2" width="29.109375" bestFit="1" customWidth="1"/>
    <col min="3" max="3" width="10.5546875" bestFit="1" customWidth="1"/>
  </cols>
  <sheetData>
    <row r="2" spans="2:12" x14ac:dyDescent="0.3">
      <c r="B2" s="273" t="str">
        <f>"Common Size"&amp;" "&amp;"-"&amp;'Data Sheet'!B1</f>
        <v>Common Size -AVENUE SUPERMARTS LTD</v>
      </c>
      <c r="C2" s="273"/>
      <c r="D2" s="273"/>
      <c r="E2" s="273"/>
      <c r="F2" s="273"/>
      <c r="G2" s="273"/>
      <c r="H2" s="273"/>
      <c r="I2" s="273"/>
      <c r="J2" s="273"/>
      <c r="K2" s="273"/>
      <c r="L2" s="273"/>
    </row>
    <row r="4" spans="2:12" x14ac:dyDescent="0.3">
      <c r="B4" s="73" t="s">
        <v>292</v>
      </c>
      <c r="C4" s="160">
        <f>'Data Sheet'!B56</f>
        <v>42460</v>
      </c>
      <c r="D4" s="160">
        <f>'Data Sheet'!C56</f>
        <v>42825</v>
      </c>
      <c r="E4" s="160">
        <f>'Data Sheet'!D56</f>
        <v>43190</v>
      </c>
      <c r="F4" s="160">
        <f>'Data Sheet'!E56</f>
        <v>43555</v>
      </c>
      <c r="G4" s="160">
        <f>'Data Sheet'!F56</f>
        <v>43921</v>
      </c>
      <c r="H4" s="160">
        <f>'Data Sheet'!G56</f>
        <v>44286</v>
      </c>
      <c r="I4" s="160">
        <f>'Data Sheet'!H56</f>
        <v>44651</v>
      </c>
      <c r="J4" s="160">
        <f>'Data Sheet'!I56</f>
        <v>45016</v>
      </c>
      <c r="K4" s="160">
        <f>'Data Sheet'!J56</f>
        <v>45382</v>
      </c>
      <c r="L4" s="160">
        <f>'Data Sheet'!K56</f>
        <v>45747</v>
      </c>
    </row>
    <row r="5" spans="2:12" x14ac:dyDescent="0.3">
      <c r="B5" s="192" t="str">
        <f>'Data Sheet'!A17</f>
        <v>Sales</v>
      </c>
      <c r="C5" s="197">
        <f>'Data Sheet'!B17/'Data Sheet'!B$17</f>
        <v>1</v>
      </c>
      <c r="D5" s="197">
        <f>'Data Sheet'!C17/'Data Sheet'!C$17</f>
        <v>1</v>
      </c>
      <c r="E5" s="197">
        <f>'Data Sheet'!D17/'Data Sheet'!D$17</f>
        <v>1</v>
      </c>
      <c r="F5" s="197">
        <f>'Data Sheet'!E17/'Data Sheet'!E$17</f>
        <v>1</v>
      </c>
      <c r="G5" s="197">
        <f>'Data Sheet'!F17/'Data Sheet'!F$17</f>
        <v>1</v>
      </c>
      <c r="H5" s="197">
        <f>'Data Sheet'!G17/'Data Sheet'!G$17</f>
        <v>1</v>
      </c>
      <c r="I5" s="197">
        <f>'Data Sheet'!H17/'Data Sheet'!H$17</f>
        <v>1</v>
      </c>
      <c r="J5" s="197">
        <f>'Data Sheet'!I17/'Data Sheet'!I$17</f>
        <v>1</v>
      </c>
      <c r="K5" s="197">
        <f>'Data Sheet'!J17/'Data Sheet'!J$17</f>
        <v>1</v>
      </c>
      <c r="L5" s="197">
        <f>'Data Sheet'!K17/'Data Sheet'!K$17</f>
        <v>1</v>
      </c>
    </row>
    <row r="6" spans="2:12" x14ac:dyDescent="0.3">
      <c r="B6" s="192" t="str">
        <f>'Data Sheet'!A18</f>
        <v>Raw Material Cost</v>
      </c>
      <c r="C6" s="197">
        <f>'Data Sheet'!B18/'Data Sheet'!B$17</f>
        <v>0.86624276540816614</v>
      </c>
      <c r="D6" s="197">
        <f>'Data Sheet'!C18/'Data Sheet'!C$17</f>
        <v>0.87052539566470821</v>
      </c>
      <c r="E6" s="197">
        <f>'Data Sheet'!D18/'Data Sheet'!D$17</f>
        <v>0.85457188090360003</v>
      </c>
      <c r="F6" s="197">
        <f>'Data Sheet'!E18/'Data Sheet'!E$17</f>
        <v>0.87207741050522591</v>
      </c>
      <c r="G6" s="197">
        <f>'Data Sheet'!F18/'Data Sheet'!F$17</f>
        <v>0.86214344878609739</v>
      </c>
      <c r="H6" s="197">
        <f>'Data Sheet'!G18/'Data Sheet'!G$17</f>
        <v>0.86383250507599285</v>
      </c>
      <c r="I6" s="197">
        <f>'Data Sheet'!H18/'Data Sheet'!H$17</f>
        <v>0.86814099954578139</v>
      </c>
      <c r="J6" s="197">
        <f>'Data Sheet'!I18/'Data Sheet'!I$17</f>
        <v>0.86099787206031053</v>
      </c>
      <c r="K6" s="197">
        <f>'Data Sheet'!J18/'Data Sheet'!J$17</f>
        <v>0.86551137326849226</v>
      </c>
      <c r="L6" s="197">
        <f>'Data Sheet'!K18/'Data Sheet'!K$17</f>
        <v>0.87045918792817489</v>
      </c>
    </row>
    <row r="7" spans="2:12" x14ac:dyDescent="0.3">
      <c r="B7" s="192" t="str">
        <f>'Data Sheet'!A19</f>
        <v>Change in Inventory</v>
      </c>
      <c r="C7" s="197">
        <f>'Data Sheet'!B19/'Data Sheet'!B$17</f>
        <v>1.5387196286941855E-2</v>
      </c>
      <c r="D7" s="197">
        <f>'Data Sheet'!C19/'Data Sheet'!C$17</f>
        <v>2.3216251880615581E-2</v>
      </c>
      <c r="E7" s="197">
        <f>'Data Sheet'!D19/'Data Sheet'!D$17</f>
        <v>1.4056222228135061E-2</v>
      </c>
      <c r="F7" s="197">
        <f>'Data Sheet'!E19/'Data Sheet'!E$17</f>
        <v>2.2227476590290594E-2</v>
      </c>
      <c r="G7" s="197">
        <f>'Data Sheet'!F19/'Data Sheet'!F$17</f>
        <v>1.3620718771863514E-2</v>
      </c>
      <c r="H7" s="197">
        <f>'Data Sheet'!G19/'Data Sheet'!G$17</f>
        <v>1.2462380493607686E-2</v>
      </c>
      <c r="I7" s="197">
        <f>'Data Sheet'!H19/'Data Sheet'!H$17</f>
        <v>1.5959959026700117E-2</v>
      </c>
      <c r="J7" s="197">
        <f>'Data Sheet'!I19/'Data Sheet'!I$17</f>
        <v>1.169059626195974E-2</v>
      </c>
      <c r="K7" s="197">
        <f>'Data Sheet'!J19/'Data Sheet'!J$17</f>
        <v>1.3462999639881446E-2</v>
      </c>
      <c r="L7" s="197">
        <f>'Data Sheet'!K19/'Data Sheet'!K$17</f>
        <v>1.8819014438648168E-2</v>
      </c>
    </row>
    <row r="8" spans="2:12" x14ac:dyDescent="0.3">
      <c r="B8" s="192" t="str">
        <f>'Data Sheet'!A20</f>
        <v>Power and Fuel</v>
      </c>
      <c r="C8" s="197">
        <f>'Data Sheet'!B20/'Data Sheet'!B$17</f>
        <v>9.2313857796583309E-3</v>
      </c>
      <c r="D8" s="197">
        <f>'Data Sheet'!C20/'Data Sheet'!C$17</f>
        <v>8.3553964211570287E-3</v>
      </c>
      <c r="E8" s="197">
        <f>'Data Sheet'!D20/'Data Sheet'!D$17</f>
        <v>8.0661469281324005E-3</v>
      </c>
      <c r="F8" s="197">
        <f>'Data Sheet'!E20/'Data Sheet'!E$17</f>
        <v>7.6382737501324701E-3</v>
      </c>
      <c r="G8" s="197">
        <f>'Data Sheet'!F20/'Data Sheet'!F$17</f>
        <v>7.5688977169463857E-3</v>
      </c>
      <c r="H8" s="197">
        <f>'Data Sheet'!G20/'Data Sheet'!G$17</f>
        <v>7.2153239895854119E-3</v>
      </c>
      <c r="I8" s="197">
        <f>'Data Sheet'!H20/'Data Sheet'!H$17</f>
        <v>6.7102979151460141E-3</v>
      </c>
      <c r="J8" s="197">
        <f>'Data Sheet'!I20/'Data Sheet'!I$17</f>
        <v>7.3441463917930071E-3</v>
      </c>
      <c r="K8" s="197">
        <f>'Data Sheet'!J20/'Data Sheet'!J$17</f>
        <v>7.4148193608712777E-3</v>
      </c>
      <c r="L8" s="197">
        <f>'Data Sheet'!K20/'Data Sheet'!K$17</f>
        <v>7.5432060183917762E-3</v>
      </c>
    </row>
    <row r="9" spans="2:12" x14ac:dyDescent="0.3">
      <c r="B9" s="192" t="str">
        <f>'Data Sheet'!A21</f>
        <v>Other Mfr. Exp</v>
      </c>
      <c r="C9" s="197">
        <f>'Data Sheet'!B21/'Data Sheet'!B$17</f>
        <v>2.8118213929560008E-2</v>
      </c>
      <c r="D9" s="197">
        <f>'Data Sheet'!C21/'Data Sheet'!C$17</f>
        <v>2.7980197853366612E-2</v>
      </c>
      <c r="E9" s="197">
        <f>'Data Sheet'!D21/'Data Sheet'!D$17</f>
        <v>2.4859643987973287E-2</v>
      </c>
      <c r="F9" s="197">
        <f>'Data Sheet'!E21/'Data Sheet'!E$17</f>
        <v>2.4980354439896584E-2</v>
      </c>
      <c r="G9" s="197">
        <f>'Data Sheet'!F21/'Data Sheet'!F$17</f>
        <v>2.5973253130252269E-2</v>
      </c>
      <c r="H9" s="197">
        <f>'Data Sheet'!G21/'Data Sheet'!G$17</f>
        <v>3.0916959159278067E-2</v>
      </c>
      <c r="I9" s="197">
        <f>'Data Sheet'!H21/'Data Sheet'!H$17</f>
        <v>2.6015075410951674E-2</v>
      </c>
      <c r="J9" s="197">
        <f>'Data Sheet'!I21/'Data Sheet'!I$17</f>
        <v>2.6063759758503589E-2</v>
      </c>
      <c r="K9" s="197">
        <f>'Data Sheet'!J21/'Data Sheet'!J$17</f>
        <v>2.6057501226155435E-2</v>
      </c>
      <c r="L9" s="197">
        <f>'Data Sheet'!K21/'Data Sheet'!K$17</f>
        <v>2.9513267366431339E-2</v>
      </c>
    </row>
    <row r="10" spans="2:12" x14ac:dyDescent="0.3">
      <c r="B10" s="192" t="str">
        <f>'Data Sheet'!A22</f>
        <v>Employee Cost</v>
      </c>
      <c r="C10" s="197">
        <f>'Data Sheet'!B22/'Data Sheet'!B$17</f>
        <v>1.7363020401315973E-2</v>
      </c>
      <c r="D10" s="197">
        <f>'Data Sheet'!C22/'Data Sheet'!C$17</f>
        <v>1.6193886213301728E-2</v>
      </c>
      <c r="E10" s="197">
        <f>'Data Sheet'!D22/'Data Sheet'!D$17</f>
        <v>1.8834313386371496E-2</v>
      </c>
      <c r="F10" s="197">
        <f>'Data Sheet'!E22/'Data Sheet'!E$17</f>
        <v>1.7804476188381425E-2</v>
      </c>
      <c r="G10" s="197">
        <f>'Data Sheet'!F22/'Data Sheet'!F$17</f>
        <v>1.8381034330242619E-2</v>
      </c>
      <c r="H10" s="197">
        <f>'Data Sheet'!G22/'Data Sheet'!G$17</f>
        <v>2.2266440128136201E-2</v>
      </c>
      <c r="I10" s="197">
        <f>'Data Sheet'!H22/'Data Sheet'!H$17</f>
        <v>1.9930094875851741E-2</v>
      </c>
      <c r="J10" s="197">
        <f>'Data Sheet'!I22/'Data Sheet'!I$17</f>
        <v>1.7464231658775208E-2</v>
      </c>
      <c r="K10" s="197">
        <f>'Data Sheet'!J22/'Data Sheet'!J$17</f>
        <v>1.7874402698388601E-2</v>
      </c>
      <c r="L10" s="197">
        <f>'Data Sheet'!K22/'Data Sheet'!K$17</f>
        <v>1.96682674043369E-2</v>
      </c>
    </row>
    <row r="11" spans="2:12" x14ac:dyDescent="0.3">
      <c r="B11" s="192" t="str">
        <f>'Data Sheet'!A23</f>
        <v>Selling and admin</v>
      </c>
      <c r="C11" s="197">
        <f>'Data Sheet'!B23/'Data Sheet'!B$17</f>
        <v>7.541799863929094E-2</v>
      </c>
      <c r="D11" s="197">
        <f>'Data Sheet'!C23/'Data Sheet'!C$17</f>
        <v>5.9877119107054301E-3</v>
      </c>
      <c r="E11" s="197">
        <f>'Data Sheet'!D23/'Data Sheet'!D$17</f>
        <v>6.3858659500305986E-3</v>
      </c>
      <c r="F11" s="197">
        <f>'Data Sheet'!E23/'Data Sheet'!E$17</f>
        <v>6.7904653548298086E-3</v>
      </c>
      <c r="G11" s="197">
        <f>'Data Sheet'!F23/'Data Sheet'!F$17</f>
        <v>4.794090920056936E-3</v>
      </c>
      <c r="H11" s="197">
        <f>'Data Sheet'!G23/'Data Sheet'!G$17</f>
        <v>4.5019148359818515E-3</v>
      </c>
      <c r="I11" s="197">
        <f>'Data Sheet'!H23/'Data Sheet'!H$17</f>
        <v>4.6296729722461738E-3</v>
      </c>
      <c r="J11" s="197">
        <f>'Data Sheet'!I23/'Data Sheet'!I$17</f>
        <v>4.9496306684755865E-3</v>
      </c>
      <c r="K11" s="197">
        <f>'Data Sheet'!J23/'Data Sheet'!J$17</f>
        <v>5.4033534538992138E-3</v>
      </c>
      <c r="L11" s="197">
        <f>'Data Sheet'!K23/'Data Sheet'!K$17</f>
        <v>5.26432387856407E-3</v>
      </c>
    </row>
    <row r="12" spans="2:12" x14ac:dyDescent="0.3">
      <c r="B12" s="192" t="str">
        <f>'Data Sheet'!A24</f>
        <v>Other Expenses</v>
      </c>
      <c r="C12" s="197">
        <f>'Data Sheet'!B24/'Data Sheet'!B$17</f>
        <v>-5.8395155502949755E-2</v>
      </c>
      <c r="D12" s="197">
        <f>'Data Sheet'!C24/'Data Sheet'!C$17</f>
        <v>1.2714222076535801E-2</v>
      </c>
      <c r="E12" s="197">
        <f>'Data Sheet'!D24/'Data Sheet'!D$17</f>
        <v>1.1346885559960621E-2</v>
      </c>
      <c r="F12" s="197">
        <f>'Data Sheet'!E24/'Data Sheet'!E$17</f>
        <v>1.1289448584619876E-2</v>
      </c>
      <c r="G12" s="197">
        <f>'Data Sheet'!F24/'Data Sheet'!F$17</f>
        <v>9.1832795876189161E-3</v>
      </c>
      <c r="H12" s="197">
        <f>'Data Sheet'!G24/'Data Sheet'!G$17</f>
        <v>1.1458779458776144E-2</v>
      </c>
      <c r="I12" s="197">
        <f>'Data Sheet'!H24/'Data Sheet'!H$17</f>
        <v>9.7510126299906342E-3</v>
      </c>
      <c r="J12" s="197">
        <f>'Data Sheet'!I24/'Data Sheet'!I$17</f>
        <v>9.931474552959927E-3</v>
      </c>
      <c r="K12" s="197">
        <f>'Data Sheet'!J24/'Data Sheet'!J$17</f>
        <v>1.0364089899294786E-2</v>
      </c>
      <c r="L12" s="197">
        <f>'Data Sheet'!K24/'Data Sheet'!K$17</f>
        <v>1.0652135641248322E-2</v>
      </c>
    </row>
    <row r="13" spans="2:12" x14ac:dyDescent="0.3">
      <c r="B13" s="192" t="str">
        <f>'Data Sheet'!A25</f>
        <v>Other Income</v>
      </c>
      <c r="C13" s="197">
        <f>'Data Sheet'!B25/'Data Sheet'!B$17</f>
        <v>1.9828140581749721E-3</v>
      </c>
      <c r="D13" s="197">
        <f>'Data Sheet'!C25/'Data Sheet'!C$17</f>
        <v>2.3281810770148848E-3</v>
      </c>
      <c r="E13" s="197">
        <f>'Data Sheet'!D25/'Data Sheet'!D$17</f>
        <v>5.8370805949498443E-3</v>
      </c>
      <c r="F13" s="197">
        <f>'Data Sheet'!E25/'Data Sheet'!E$17</f>
        <v>2.4159539943972661E-3</v>
      </c>
      <c r="G13" s="197">
        <f>'Data Sheet'!F25/'Data Sheet'!F$17</f>
        <v>2.4121237464917854E-3</v>
      </c>
      <c r="H13" s="197">
        <f>'Data Sheet'!G25/'Data Sheet'!G$17</f>
        <v>8.0532459431405957E-3</v>
      </c>
      <c r="I13" s="197">
        <f>'Data Sheet'!H25/'Data Sheet'!H$17</f>
        <v>3.6686147170075672E-3</v>
      </c>
      <c r="J13" s="197">
        <f>'Data Sheet'!I25/'Data Sheet'!I$17</f>
        <v>2.9785553353022299E-3</v>
      </c>
      <c r="K13" s="197">
        <f>'Data Sheet'!J25/'Data Sheet'!J$17</f>
        <v>2.8466889274669253E-3</v>
      </c>
      <c r="L13" s="197">
        <f>'Data Sheet'!K25/'Data Sheet'!K$17</f>
        <v>1.9732791087308291E-3</v>
      </c>
    </row>
    <row r="14" spans="2:12" x14ac:dyDescent="0.3">
      <c r="B14" s="192" t="str">
        <f>'Data Sheet'!A26</f>
        <v>Depreciation</v>
      </c>
      <c r="C14" s="197">
        <f>'Data Sheet'!B26/'Data Sheet'!B$17</f>
        <v>1.1467002805297445E-2</v>
      </c>
      <c r="D14" s="197">
        <f>'Data Sheet'!C26/'Data Sheet'!C$17</f>
        <v>1.0743252897618866E-2</v>
      </c>
      <c r="E14" s="197">
        <f>'Data Sheet'!D26/'Data Sheet'!D$17</f>
        <v>1.0576590479738178E-2</v>
      </c>
      <c r="F14" s="197">
        <f>'Data Sheet'!E26/'Data Sheet'!E$17</f>
        <v>1.062209940553435E-2</v>
      </c>
      <c r="G14" s="197">
        <f>'Data Sheet'!F26/'Data Sheet'!F$17</f>
        <v>1.5054563292615258E-2</v>
      </c>
      <c r="H14" s="197">
        <f>'Data Sheet'!G26/'Data Sheet'!G$17</f>
        <v>1.7154412075354161E-2</v>
      </c>
      <c r="I14" s="197">
        <f>'Data Sheet'!H26/'Data Sheet'!H$17</f>
        <v>1.6079405299605148E-2</v>
      </c>
      <c r="J14" s="197">
        <f>'Data Sheet'!I26/'Data Sheet'!I$17</f>
        <v>1.4913085008342757E-2</v>
      </c>
      <c r="K14" s="197">
        <f>'Data Sheet'!J26/'Data Sheet'!J$17</f>
        <v>1.4388203075361254E-2</v>
      </c>
      <c r="L14" s="197">
        <f>'Data Sheet'!K26/'Data Sheet'!K$17</f>
        <v>1.4648729195113383E-2</v>
      </c>
    </row>
    <row r="15" spans="2:12" x14ac:dyDescent="0.3">
      <c r="B15" s="192" t="str">
        <f>'Data Sheet'!A27</f>
        <v>Interest</v>
      </c>
      <c r="C15" s="197">
        <f>'Data Sheet'!B27/'Data Sheet'!B$17</f>
        <v>1.0641024446163452E-2</v>
      </c>
      <c r="D15" s="197">
        <f>'Data Sheet'!C27/'Data Sheet'!C$17</f>
        <v>1.0252401724703094E-2</v>
      </c>
      <c r="E15" s="197">
        <f>'Data Sheet'!D27/'Data Sheet'!D$17</f>
        <v>3.9605672777585609E-3</v>
      </c>
      <c r="F15" s="197">
        <f>'Data Sheet'!E27/'Data Sheet'!E$17</f>
        <v>2.3599666475376565E-3</v>
      </c>
      <c r="G15" s="197">
        <f>'Data Sheet'!F27/'Data Sheet'!F$17</f>
        <v>2.7792297609186899E-3</v>
      </c>
      <c r="H15" s="197">
        <f>'Data Sheet'!G27/'Data Sheet'!G$17</f>
        <v>1.7251334337900829E-3</v>
      </c>
      <c r="I15" s="197">
        <f>'Data Sheet'!H27/'Data Sheet'!H$17</f>
        <v>1.7364905458274996E-3</v>
      </c>
      <c r="J15" s="197">
        <f>'Data Sheet'!I27/'Data Sheet'!I$17</f>
        <v>1.5735455732972048E-3</v>
      </c>
      <c r="K15" s="197">
        <f>'Data Sheet'!J27/'Data Sheet'!J$17</f>
        <v>1.1445430028610621E-3</v>
      </c>
      <c r="L15" s="197">
        <f>'Data Sheet'!K27/'Data Sheet'!K$17</f>
        <v>1.170018219938155E-3</v>
      </c>
    </row>
    <row r="16" spans="2:12" x14ac:dyDescent="0.3">
      <c r="B16" s="192" t="str">
        <f>'Data Sheet'!A28</f>
        <v>Profit before tax</v>
      </c>
      <c r="C16" s="197">
        <f>'Data Sheet'!B28/'Data Sheet'!B$17</f>
        <v>5.7283754438614311E-2</v>
      </c>
      <c r="D16" s="197">
        <f>'Data Sheet'!C28/'Data Sheet'!C$17</f>
        <v>6.2791968195533593E-2</v>
      </c>
      <c r="E16" s="197">
        <f>'Data Sheet'!D28/'Data Sheet'!D$17</f>
        <v>8.1291408349519728E-2</v>
      </c>
      <c r="F16" s="197">
        <f>'Data Sheet'!E28/'Data Sheet'!E$17</f>
        <v>7.1080935708529872E-2</v>
      </c>
      <c r="G16" s="197">
        <f>'Data Sheet'!F28/'Data Sheet'!F$17</f>
        <v>7.0155044993606808E-2</v>
      </c>
      <c r="H16" s="197">
        <f>'Data Sheet'!G28/'Data Sheet'!G$17</f>
        <v>6.1444158279853507E-2</v>
      </c>
      <c r="I16" s="197">
        <f>'Data Sheet'!H28/'Data Sheet'!H$17</f>
        <v>6.6635524548307457E-2</v>
      </c>
      <c r="J16" s="197">
        <f>'Data Sheet'!I28/'Data Sheet'!I$17</f>
        <v>7.1431405924804084E-2</v>
      </c>
      <c r="K16" s="197">
        <f>'Data Sheet'!J28/'Data Sheet'!J$17</f>
        <v>6.8151402582024428E-2</v>
      </c>
      <c r="L16" s="197">
        <f>'Data Sheet'!K28/'Data Sheet'!K$17</f>
        <v>6.1873157895180178E-2</v>
      </c>
    </row>
    <row r="17" spans="2:12" x14ac:dyDescent="0.3">
      <c r="B17" s="192" t="str">
        <f>'Data Sheet'!A29</f>
        <v>Tax</v>
      </c>
      <c r="C17" s="197">
        <f>'Data Sheet'!B29/'Data Sheet'!B$17</f>
        <v>1.9976094392201087E-2</v>
      </c>
      <c r="D17" s="197">
        <f>'Data Sheet'!C29/'Data Sheet'!C$17</f>
        <v>2.2548896005110227E-2</v>
      </c>
      <c r="E17" s="197">
        <f>'Data Sheet'!D29/'Data Sheet'!D$17</f>
        <v>2.7658116701700236E-2</v>
      </c>
      <c r="F17" s="197">
        <f>'Data Sheet'!E29/'Data Sheet'!E$17</f>
        <v>2.5968131202348269E-2</v>
      </c>
      <c r="G17" s="197">
        <f>'Data Sheet'!F29/'Data Sheet'!F$17</f>
        <v>1.7844247332148514E-2</v>
      </c>
      <c r="H17" s="197">
        <f>'Data Sheet'!G29/'Data Sheet'!G$17</f>
        <v>1.5906020197936795E-2</v>
      </c>
      <c r="I17" s="197">
        <f>'Data Sheet'!H29/'Data Sheet'!H$17</f>
        <v>1.8456708958179923E-2</v>
      </c>
      <c r="J17" s="197">
        <f>'Data Sheet'!I29/'Data Sheet'!I$17</f>
        <v>1.5914028995629274E-2</v>
      </c>
      <c r="K17" s="197">
        <f>'Data Sheet'!J29/'Data Sheet'!J$17</f>
        <v>1.8226842398220238E-2</v>
      </c>
      <c r="L17" s="197">
        <f>'Data Sheet'!K29/'Data Sheet'!K$17</f>
        <v>1.6260978923667471E-2</v>
      </c>
    </row>
    <row r="18" spans="2:12" x14ac:dyDescent="0.3">
      <c r="B18" s="192" t="str">
        <f>'Data Sheet'!A30</f>
        <v>Net profit</v>
      </c>
      <c r="C18" s="197">
        <f>'Data Sheet'!B30/'Data Sheet'!B$17</f>
        <v>3.7307660046413227E-2</v>
      </c>
      <c r="D18" s="197">
        <f>'Data Sheet'!C30/'Data Sheet'!C$17</f>
        <v>4.0238869697504558E-2</v>
      </c>
      <c r="E18" s="197">
        <f>'Data Sheet'!D30/'Data Sheet'!D$17</f>
        <v>5.3631961259079902E-2</v>
      </c>
      <c r="F18" s="197">
        <f>'Data Sheet'!E30/'Data Sheet'!E$17</f>
        <v>4.511680360238586E-2</v>
      </c>
      <c r="G18" s="197">
        <f>'Data Sheet'!F30/'Data Sheet'!F$17</f>
        <v>5.2314818537848508E-2</v>
      </c>
      <c r="H18" s="197">
        <f>'Data Sheet'!G30/'Data Sheet'!G$17</f>
        <v>4.5540623268135849E-2</v>
      </c>
      <c r="I18" s="197">
        <f>'Data Sheet'!H30/'Data Sheet'!H$17</f>
        <v>4.8183658006596658E-2</v>
      </c>
      <c r="J18" s="197">
        <f>'Data Sheet'!I30/'Data Sheet'!I$17</f>
        <v>5.5521345223900537E-2</v>
      </c>
      <c r="K18" s="197">
        <f>'Data Sheet'!J30/'Data Sheet'!J$17</f>
        <v>4.9935586230279376E-2</v>
      </c>
      <c r="L18" s="197">
        <f>'Data Sheet'!K30/'Data Sheet'!K$17</f>
        <v>4.5621781712842653E-2</v>
      </c>
    </row>
    <row r="19" spans="2:12" x14ac:dyDescent="0.3">
      <c r="B19" s="192" t="str">
        <f>'Data Sheet'!A31</f>
        <v>Dividend Amount</v>
      </c>
      <c r="C19" s="197">
        <f>'Data Sheet'!B31/'Data Sheet'!B$17</f>
        <v>0</v>
      </c>
      <c r="D19" s="197">
        <f>'Data Sheet'!C31/'Data Sheet'!C$17</f>
        <v>0</v>
      </c>
      <c r="E19" s="197">
        <f>'Data Sheet'!D31/'Data Sheet'!D$17</f>
        <v>0</v>
      </c>
      <c r="F19" s="197">
        <f>'Data Sheet'!E31/'Data Sheet'!E$17</f>
        <v>0</v>
      </c>
      <c r="G19" s="197">
        <f>'Data Sheet'!F31/'Data Sheet'!F$17</f>
        <v>0</v>
      </c>
      <c r="H19" s="197">
        <f>'Data Sheet'!G31/'Data Sheet'!G$17</f>
        <v>0</v>
      </c>
      <c r="I19" s="197">
        <f>'Data Sheet'!H31/'Data Sheet'!H$17</f>
        <v>0</v>
      </c>
      <c r="J19" s="197">
        <f>'Data Sheet'!I31/'Data Sheet'!I$17</f>
        <v>0</v>
      </c>
      <c r="K19" s="197">
        <f>'Data Sheet'!J31/'Data Sheet'!J$17</f>
        <v>0</v>
      </c>
      <c r="L19" s="197">
        <f>'Data Sheet'!K31/'Data Sheet'!K$17</f>
        <v>0</v>
      </c>
    </row>
    <row r="20" spans="2:12" x14ac:dyDescent="0.3">
      <c r="B20" s="192" t="str">
        <f>'Data Sheet'!A32</f>
        <v xml:space="preserve">EBITDA </v>
      </c>
      <c r="C20" s="197">
        <f>'Data Sheet'!B32/'Data Sheet'!B$17</f>
        <v>7.9391781690075214E-2</v>
      </c>
      <c r="D20" s="197">
        <f>'Data Sheet'!C32/'Data Sheet'!C$17</f>
        <v>8.3783420324936742E-2</v>
      </c>
      <c r="E20" s="197">
        <f>'Data Sheet'!D32/'Data Sheet'!D$17</f>
        <v>9.5827235718276865E-2</v>
      </c>
      <c r="F20" s="197">
        <f>'Data Sheet'!E32/'Data Sheet'!E$17</f>
        <v>8.4067000857806135E-2</v>
      </c>
      <c r="G20" s="197">
        <f>'Data Sheet'!F32/'Data Sheet'!F$17</f>
        <v>8.7992858923530953E-2</v>
      </c>
      <c r="H20" s="197">
        <f>'Data Sheet'!G32/'Data Sheet'!G$17</f>
        <v>8.03261889752169E-2</v>
      </c>
      <c r="I20" s="197">
        <f>'Data Sheet'!H32/'Data Sheet'!H$17</f>
        <v>8.4456262810209223E-2</v>
      </c>
      <c r="J20" s="197">
        <f>'Data Sheet'!I32/'Data Sheet'!I$17</f>
        <v>8.7922004801169767E-2</v>
      </c>
      <c r="K20" s="197">
        <f>'Data Sheet'!J32/'Data Sheet'!J$17</f>
        <v>8.3695174706721942E-2</v>
      </c>
      <c r="L20" s="197">
        <f>'Data Sheet'!K32/'Data Sheet'!K$17</f>
        <v>7.7701508051561646E-2</v>
      </c>
    </row>
    <row r="22" spans="2:12" x14ac:dyDescent="0.3">
      <c r="B22" s="273" t="str">
        <f>"Common Size Statement Balance Sheet"&amp;" "&amp;"-"&amp;'Data Sheet'!B1</f>
        <v>Common Size Statement Balance Sheet -AVENUE SUPERMARTS LTD</v>
      </c>
      <c r="C22" s="273"/>
      <c r="D22" s="273"/>
      <c r="E22" s="273"/>
      <c r="F22" s="273"/>
      <c r="G22" s="273"/>
      <c r="H22" s="273"/>
      <c r="I22" s="273"/>
      <c r="J22" s="273"/>
      <c r="K22" s="273"/>
      <c r="L22" s="273"/>
    </row>
    <row r="24" spans="2:12" x14ac:dyDescent="0.3">
      <c r="B24" s="200" t="s">
        <v>292</v>
      </c>
      <c r="C24" s="201">
        <f>'Data Sheet'!B56</f>
        <v>42460</v>
      </c>
      <c r="D24" s="201">
        <f>'Data Sheet'!C56</f>
        <v>42825</v>
      </c>
      <c r="E24" s="201">
        <f>'Data Sheet'!D56</f>
        <v>43190</v>
      </c>
      <c r="F24" s="201">
        <f>'Data Sheet'!E56</f>
        <v>43555</v>
      </c>
      <c r="G24" s="201">
        <f>'Data Sheet'!F56</f>
        <v>43921</v>
      </c>
      <c r="H24" s="201">
        <f>'Data Sheet'!G56</f>
        <v>44286</v>
      </c>
      <c r="I24" s="201">
        <f>'Data Sheet'!H56</f>
        <v>44651</v>
      </c>
      <c r="J24" s="201">
        <f>'Data Sheet'!I56</f>
        <v>45016</v>
      </c>
      <c r="K24" s="201">
        <f>'Data Sheet'!J56</f>
        <v>45382</v>
      </c>
      <c r="L24" s="201">
        <f>'Data Sheet'!K56</f>
        <v>45747</v>
      </c>
    </row>
    <row r="25" spans="2:12" x14ac:dyDescent="0.3">
      <c r="B25" s="192" t="str">
        <f>'Data Sheet'!A57</f>
        <v>Equity Share Capital</v>
      </c>
      <c r="C25" s="197">
        <f>'Data Sheet'!B57/'Data Sheet'!B$61</f>
        <v>0.18105082603593028</v>
      </c>
      <c r="D25" s="197">
        <f>'Data Sheet'!C57/'Data Sheet'!C$61</f>
        <v>0.10724350778790505</v>
      </c>
      <c r="E25" s="197">
        <f>'Data Sheet'!D57/'Data Sheet'!D$61</f>
        <v>0.11049144686290549</v>
      </c>
      <c r="F25" s="197">
        <f>'Data Sheet'!E57/'Data Sheet'!E$61</f>
        <v>8.9084290914281647E-2</v>
      </c>
      <c r="G25" s="197">
        <f>'Data Sheet'!F57/'Data Sheet'!F$61</f>
        <v>5.3640395622449523E-2</v>
      </c>
      <c r="H25" s="197">
        <f>'Data Sheet'!G57/'Data Sheet'!G$61</f>
        <v>4.7438127286242089E-2</v>
      </c>
      <c r="I25" s="197">
        <f>'Data Sheet'!H57/'Data Sheet'!H$61</f>
        <v>4.1870004356543672E-2</v>
      </c>
      <c r="J25" s="197">
        <f>'Data Sheet'!I57/'Data Sheet'!I$61</f>
        <v>3.5806527872597561E-2</v>
      </c>
      <c r="K25" s="197">
        <f>'Data Sheet'!J57/'Data Sheet'!J$61</f>
        <v>3.0734708451726017E-2</v>
      </c>
      <c r="L25" s="197">
        <f>'Data Sheet'!K57/'Data Sheet'!K$61</f>
        <v>2.6764935971945621E-2</v>
      </c>
    </row>
    <row r="26" spans="2:12" x14ac:dyDescent="0.3">
      <c r="B26" s="192" t="str">
        <f>'Data Sheet'!A58</f>
        <v>Reserves</v>
      </c>
      <c r="C26" s="197">
        <f>'Data Sheet'!B58/'Data Sheet'!B$61</f>
        <v>0.30916699983234242</v>
      </c>
      <c r="D26" s="197">
        <f>'Data Sheet'!C58/'Data Sheet'!C$61</f>
        <v>0.55293782048638318</v>
      </c>
      <c r="E26" s="197">
        <f>'Data Sheet'!D58/'Data Sheet'!D$61</f>
        <v>0.71614951258980697</v>
      </c>
      <c r="F26" s="197">
        <f>'Data Sheet'!E58/'Data Sheet'!E$61</f>
        <v>0.70849618157162231</v>
      </c>
      <c r="G26" s="197">
        <f>'Data Sheet'!F58/'Data Sheet'!F$61</f>
        <v>0.86384827627325234</v>
      </c>
      <c r="H26" s="197">
        <f>'Data Sheet'!G58/'Data Sheet'!G$61</f>
        <v>0.84481126030296494</v>
      </c>
      <c r="I26" s="197">
        <f>'Data Sheet'!H58/'Data Sheet'!H$61</f>
        <v>0.84221361542707707</v>
      </c>
      <c r="J26" s="197">
        <f>'Data Sheet'!I58/'Data Sheet'!I$61</f>
        <v>0.852297658264345</v>
      </c>
      <c r="K26" s="197">
        <f>'Data Sheet'!J58/'Data Sheet'!J$61</f>
        <v>0.85238432153436916</v>
      </c>
      <c r="L26" s="197">
        <f>'Data Sheet'!K58/'Data Sheet'!K$61</f>
        <v>0.85457195762886851</v>
      </c>
    </row>
    <row r="27" spans="2:12" x14ac:dyDescent="0.3">
      <c r="B27" s="192" t="str">
        <f>'Data Sheet'!A59</f>
        <v>Borrowings</v>
      </c>
      <c r="C27" s="197">
        <f>'Data Sheet'!B59/'Data Sheet'!B$61</f>
        <v>0.38443235017217142</v>
      </c>
      <c r="D27" s="197">
        <f>'Data Sheet'!C59/'Data Sheet'!C$61</f>
        <v>0.25730330900042619</v>
      </c>
      <c r="E27" s="197">
        <f>'Data Sheet'!D59/'Data Sheet'!D$61</f>
        <v>7.7767863149806479E-2</v>
      </c>
      <c r="F27" s="197">
        <f>'Data Sheet'!E59/'Data Sheet'!E$61</f>
        <v>9.9942902005567047E-2</v>
      </c>
      <c r="G27" s="197">
        <f>'Data Sheet'!F59/'Data Sheet'!F$61</f>
        <v>2.7590724203720388E-2</v>
      </c>
      <c r="H27" s="197">
        <f>'Data Sheet'!G59/'Data Sheet'!G$61</f>
        <v>2.875932347373316E-2</v>
      </c>
      <c r="I27" s="197">
        <f>'Data Sheet'!H59/'Data Sheet'!H$61</f>
        <v>4.1816355524989371E-2</v>
      </c>
      <c r="J27" s="197">
        <f>'Data Sheet'!I59/'Data Sheet'!I$61</f>
        <v>3.5514887994821186E-2</v>
      </c>
      <c r="K27" s="197">
        <f>'Data Sheet'!J59/'Data Sheet'!J$61</f>
        <v>2.7968381597243214E-2</v>
      </c>
      <c r="L27" s="197">
        <f>'Data Sheet'!K59/'Data Sheet'!K$61</f>
        <v>3.3711488361265148E-2</v>
      </c>
    </row>
    <row r="28" spans="2:12" x14ac:dyDescent="0.3">
      <c r="B28" s="192" t="str">
        <f>'Data Sheet'!A60</f>
        <v>Other Liabilities</v>
      </c>
      <c r="C28" s="197">
        <f>'Data Sheet'!B60/'Data Sheet'!B$61</f>
        <v>0.12534982395955582</v>
      </c>
      <c r="D28" s="197">
        <f>'Data Sheet'!C60/'Data Sheet'!C$61</f>
        <v>8.2515362725285604E-2</v>
      </c>
      <c r="E28" s="197">
        <f>'Data Sheet'!D60/'Data Sheet'!D$61</f>
        <v>9.5591177397480964E-2</v>
      </c>
      <c r="F28" s="197">
        <f>'Data Sheet'!E60/'Data Sheet'!E$61</f>
        <v>0.10247662550852901</v>
      </c>
      <c r="G28" s="197">
        <f>'Data Sheet'!F60/'Data Sheet'!F$61</f>
        <v>5.4920603900577666E-2</v>
      </c>
      <c r="H28" s="197">
        <f>'Data Sheet'!G60/'Data Sheet'!G$61</f>
        <v>7.8991288937059922E-2</v>
      </c>
      <c r="I28" s="197">
        <f>'Data Sheet'!H60/'Data Sheet'!H$61</f>
        <v>7.4100024691389946E-2</v>
      </c>
      <c r="J28" s="197">
        <f>'Data Sheet'!I60/'Data Sheet'!I$61</f>
        <v>7.6380925868236207E-2</v>
      </c>
      <c r="K28" s="197">
        <f>'Data Sheet'!J60/'Data Sheet'!J$61</f>
        <v>8.8912588416661636E-2</v>
      </c>
      <c r="L28" s="197">
        <f>'Data Sheet'!K60/'Data Sheet'!K$61</f>
        <v>8.4951618037920798E-2</v>
      </c>
    </row>
    <row r="29" spans="2:12" x14ac:dyDescent="0.3">
      <c r="B29" s="192" t="str">
        <f>'Data Sheet'!A61</f>
        <v>Total</v>
      </c>
      <c r="C29" s="197">
        <f>'Data Sheet'!B61/'Data Sheet'!B$61</f>
        <v>1</v>
      </c>
      <c r="D29" s="197">
        <f>'Data Sheet'!C61/'Data Sheet'!C$61</f>
        <v>1</v>
      </c>
      <c r="E29" s="197">
        <f>'Data Sheet'!D61/'Data Sheet'!D$61</f>
        <v>1</v>
      </c>
      <c r="F29" s="197">
        <f>'Data Sheet'!E61/'Data Sheet'!E$61</f>
        <v>1</v>
      </c>
      <c r="G29" s="197">
        <f>'Data Sheet'!F61/'Data Sheet'!F$61</f>
        <v>1</v>
      </c>
      <c r="H29" s="197">
        <f>'Data Sheet'!G61/'Data Sheet'!G$61</f>
        <v>1</v>
      </c>
      <c r="I29" s="197">
        <f>'Data Sheet'!H61/'Data Sheet'!H$61</f>
        <v>1</v>
      </c>
      <c r="J29" s="197">
        <f>'Data Sheet'!I61/'Data Sheet'!I$61</f>
        <v>1</v>
      </c>
      <c r="K29" s="197">
        <f>'Data Sheet'!J61/'Data Sheet'!J$61</f>
        <v>1</v>
      </c>
      <c r="L29" s="197">
        <f>'Data Sheet'!K61/'Data Sheet'!K$61</f>
        <v>1</v>
      </c>
    </row>
    <row r="30" spans="2:12" x14ac:dyDescent="0.3">
      <c r="C30" s="5"/>
      <c r="D30" s="5"/>
      <c r="E30" s="5"/>
      <c r="F30" s="5"/>
      <c r="G30" s="5"/>
      <c r="H30" s="5"/>
      <c r="I30" s="5"/>
      <c r="J30" s="5"/>
      <c r="K30" s="5"/>
      <c r="L30" s="5"/>
    </row>
    <row r="31" spans="2:12" x14ac:dyDescent="0.3">
      <c r="B31" s="192" t="str">
        <f>'Data Sheet'!A62</f>
        <v>Net Block</v>
      </c>
      <c r="C31" s="197">
        <f>'Data Sheet'!B62/'Data Sheet'!B$75</f>
        <v>0.67498936019293521</v>
      </c>
      <c r="D31" s="197">
        <f>'Data Sheet'!C62/'Data Sheet'!C$75</f>
        <v>0.44296717119643669</v>
      </c>
      <c r="E31" s="197">
        <f>'Data Sheet'!D62/'Data Sheet'!D$75</f>
        <v>0.60195424399191244</v>
      </c>
      <c r="F31" s="197">
        <f>'Data Sheet'!E62/'Data Sheet'!E$75</f>
        <v>0.62813075440725141</v>
      </c>
      <c r="G31" s="197">
        <f>'Data Sheet'!F62/'Data Sheet'!F$75</f>
        <v>0.49254315941491333</v>
      </c>
      <c r="H31" s="197">
        <f>'Data Sheet'!G62/'Data Sheet'!G$75</f>
        <v>0.513275308402386</v>
      </c>
      <c r="I31" s="197">
        <f>'Data Sheet'!H62/'Data Sheet'!H$75</f>
        <v>0.59854126887889458</v>
      </c>
      <c r="J31" s="197">
        <f>'Data Sheet'!I62/'Data Sheet'!I$75</f>
        <v>0.62638943203133801</v>
      </c>
      <c r="K31" s="197">
        <f>'Data Sheet'!J62/'Data Sheet'!J$75</f>
        <v>0.63360551054954362</v>
      </c>
      <c r="L31" s="197">
        <f>'Data Sheet'!K62/'Data Sheet'!K$75</f>
        <v>0.66658193756534634</v>
      </c>
    </row>
    <row r="32" spans="2:12" x14ac:dyDescent="0.3">
      <c r="B32" s="192" t="str">
        <f>'Data Sheet'!A63</f>
        <v>Capital Work in Progress</v>
      </c>
      <c r="C32" s="197">
        <f>'Data Sheet'!B63/'Data Sheet'!B$75</f>
        <v>2.6338358761397489E-2</v>
      </c>
      <c r="D32" s="197">
        <f>'Data Sheet'!C63/'Data Sheet'!C$75</f>
        <v>2.6273009719415458E-2</v>
      </c>
      <c r="E32" s="197">
        <f>'Data Sheet'!D63/'Data Sheet'!D$75</f>
        <v>2.6038291709600543E-2</v>
      </c>
      <c r="F32" s="197">
        <f>'Data Sheet'!E63/'Data Sheet'!E$75</f>
        <v>5.3792020555277993E-2</v>
      </c>
      <c r="G32" s="197">
        <f>'Data Sheet'!F63/'Data Sheet'!F$75</f>
        <v>3.0175155016164076E-2</v>
      </c>
      <c r="H32" s="197">
        <f>'Data Sheet'!G63/'Data Sheet'!G$75</f>
        <v>7.466761381320465E-2</v>
      </c>
      <c r="I32" s="197">
        <f>'Data Sheet'!H63/'Data Sheet'!H$75</f>
        <v>7.299731497293642E-2</v>
      </c>
      <c r="J32" s="197">
        <f>'Data Sheet'!I63/'Data Sheet'!I$75</f>
        <v>4.5798507775958709E-2</v>
      </c>
      <c r="K32" s="197">
        <f>'Data Sheet'!J63/'Data Sheet'!J$75</f>
        <v>4.4171490538661512E-2</v>
      </c>
      <c r="L32" s="197">
        <f>'Data Sheet'!K63/'Data Sheet'!K$75</f>
        <v>4.521695996920138E-2</v>
      </c>
    </row>
    <row r="33" spans="2:12" x14ac:dyDescent="0.3">
      <c r="B33" s="192" t="str">
        <f>'Data Sheet'!A64</f>
        <v>Investments</v>
      </c>
      <c r="C33" s="197">
        <f>'Data Sheet'!B64/'Data Sheet'!B$75</f>
        <v>9.4565315518642234E-3</v>
      </c>
      <c r="D33" s="197">
        <f>'Data Sheet'!C64/'Data Sheet'!C$75</f>
        <v>4.4146354875517248E-3</v>
      </c>
      <c r="E33" s="197">
        <f>'Data Sheet'!D64/'Data Sheet'!D$75</f>
        <v>1.2071059555045661E-2</v>
      </c>
      <c r="F33" s="197">
        <f>'Data Sheet'!E64/'Data Sheet'!E$75</f>
        <v>2.3595746199414746E-3</v>
      </c>
      <c r="G33" s="197">
        <f>'Data Sheet'!F64/'Data Sheet'!F$75</f>
        <v>1.2156182097620436E-3</v>
      </c>
      <c r="H33" s="197">
        <f>'Data Sheet'!G64/'Data Sheet'!G$75</f>
        <v>2.1603729023328367E-4</v>
      </c>
      <c r="I33" s="197">
        <f>'Data Sheet'!H64/'Data Sheet'!H$75</f>
        <v>3.8394464991875114E-4</v>
      </c>
      <c r="J33" s="197">
        <f>'Data Sheet'!I64/'Data Sheet'!I$75</f>
        <v>1.1168481683027221E-2</v>
      </c>
      <c r="K33" s="197">
        <f>'Data Sheet'!J64/'Data Sheet'!J$75</f>
        <v>5.0381438546641677E-3</v>
      </c>
      <c r="L33" s="197">
        <f>'Data Sheet'!K64/'Data Sheet'!K$75</f>
        <v>1.3408585937107974E-4</v>
      </c>
    </row>
    <row r="34" spans="2:12" x14ac:dyDescent="0.3">
      <c r="B34" s="192" t="str">
        <f>'Data Sheet'!A65</f>
        <v>Other Assets</v>
      </c>
      <c r="C34" s="197">
        <f>'Data Sheet'!B65/'Data Sheet'!B$75</f>
        <v>0.28921574949380313</v>
      </c>
      <c r="D34" s="197">
        <f>'Data Sheet'!C65/'Data Sheet'!C$75</f>
        <v>0.5263451835965961</v>
      </c>
      <c r="E34" s="197">
        <f>'Data Sheet'!D65/'Data Sheet'!D$75</f>
        <v>0.3599364047434413</v>
      </c>
      <c r="F34" s="197">
        <f>'Data Sheet'!E65/'Data Sheet'!E$75</f>
        <v>0.31571765041752914</v>
      </c>
      <c r="G34" s="197">
        <f>'Data Sheet'!F65/'Data Sheet'!F$75</f>
        <v>0.47606606735916057</v>
      </c>
      <c r="H34" s="197">
        <f>'Data Sheet'!G65/'Data Sheet'!G$75</f>
        <v>0.41184104049417619</v>
      </c>
      <c r="I34" s="197">
        <f>'Data Sheet'!H65/'Data Sheet'!H$75</f>
        <v>0.32807747149825028</v>
      </c>
      <c r="J34" s="197">
        <f>'Data Sheet'!I65/'Data Sheet'!I$75</f>
        <v>0.31664357850967606</v>
      </c>
      <c r="K34" s="197">
        <f>'Data Sheet'!J65/'Data Sheet'!J$75</f>
        <v>0.31718485505713079</v>
      </c>
      <c r="L34" s="197">
        <f>'Data Sheet'!K65/'Data Sheet'!K$75</f>
        <v>0.28806701660608125</v>
      </c>
    </row>
    <row r="35" spans="2:12" x14ac:dyDescent="0.3">
      <c r="B35" s="192" t="str">
        <f>'Data Sheet'!A67</f>
        <v>Receivables</v>
      </c>
      <c r="C35" s="197">
        <f>'Data Sheet'!B67/'Data Sheet'!B$75</f>
        <v>2.7147628935116522E-3</v>
      </c>
      <c r="D35" s="197">
        <f>'Data Sheet'!C67/'Data Sheet'!C$75</f>
        <v>3.6086938590341074E-3</v>
      </c>
      <c r="E35" s="197">
        <f>'Data Sheet'!D67/'Data Sheet'!D$75</f>
        <v>5.9346130285293421E-3</v>
      </c>
      <c r="F35" s="197">
        <f>'Data Sheet'!E67/'Data Sheet'!E$75</f>
        <v>9.1884947541217617E-3</v>
      </c>
      <c r="G35" s="197">
        <f>'Data Sheet'!F67/'Data Sheet'!F$75</f>
        <v>1.6188920981504056E-3</v>
      </c>
      <c r="H35" s="197">
        <f>'Data Sheet'!G67/'Data Sheet'!G$75</f>
        <v>3.1914932570733905E-3</v>
      </c>
      <c r="I35" s="197">
        <f>'Data Sheet'!H67/'Data Sheet'!H$75</f>
        <v>4.3235787261052634E-3</v>
      </c>
      <c r="J35" s="197">
        <f>'Data Sheet'!I67/'Data Sheet'!I$75</f>
        <v>3.4333967429128194E-3</v>
      </c>
      <c r="K35" s="197">
        <f>'Data Sheet'!J67/'Data Sheet'!J$75</f>
        <v>7.8578418777582974E-3</v>
      </c>
      <c r="L35" s="197">
        <f>'Data Sheet'!K67/'Data Sheet'!K$75</f>
        <v>6.3254798505148323E-3</v>
      </c>
    </row>
    <row r="36" spans="2:12" x14ac:dyDescent="0.3">
      <c r="B36" s="192" t="str">
        <f>'Data Sheet'!A68</f>
        <v>Inventory</v>
      </c>
      <c r="C36" s="197">
        <f>'Data Sheet'!B68/'Data Sheet'!B$75</f>
        <v>0.21656521234475556</v>
      </c>
      <c r="D36" s="197">
        <f>'Data Sheet'!C68/'Data Sheet'!C$75</f>
        <v>0.16288956709421096</v>
      </c>
      <c r="E36" s="197">
        <f>'Data Sheet'!D68/'Data Sheet'!D$75</f>
        <v>0.20598524844995414</v>
      </c>
      <c r="F36" s="197">
        <f>'Data Sheet'!E68/'Data Sheet'!E$75</f>
        <v>0.22962672186139463</v>
      </c>
      <c r="G36" s="197">
        <f>'Data Sheet'!F68/'Data Sheet'!F$75</f>
        <v>0.16125987068737083</v>
      </c>
      <c r="H36" s="197">
        <f>'Data Sheet'!G68/'Data Sheet'!G$75</f>
        <v>0.16464824369006339</v>
      </c>
      <c r="I36" s="197">
        <f>'Data Sheet'!H68/'Data Sheet'!H$75</f>
        <v>0.17727771608521245</v>
      </c>
      <c r="J36" s="197">
        <f>'Data Sheet'!I68/'Data Sheet'!I$75</f>
        <v>0.17915305128222123</v>
      </c>
      <c r="K36" s="197">
        <f>'Data Sheet'!J68/'Data Sheet'!J$75</f>
        <v>0.1854912603530621</v>
      </c>
      <c r="L36" s="197">
        <f>'Data Sheet'!K68/'Data Sheet'!K$75</f>
        <v>0.20747812467352561</v>
      </c>
    </row>
    <row r="37" spans="2:12" x14ac:dyDescent="0.3">
      <c r="B37" s="192" t="str">
        <f>'Data Sheet'!A69</f>
        <v>Cash &amp; Bank</v>
      </c>
      <c r="C37" s="197">
        <f>'Data Sheet'!B69/'Data Sheet'!B$75</f>
        <v>1.1316885696230284E-2</v>
      </c>
      <c r="D37" s="197">
        <f>'Data Sheet'!C69/'Data Sheet'!C$75</f>
        <v>0.3238012262685418</v>
      </c>
      <c r="E37" s="197">
        <f>'Data Sheet'!D69/'Data Sheet'!D$75</f>
        <v>9.9178148159951268E-2</v>
      </c>
      <c r="F37" s="197">
        <f>'Data Sheet'!E69/'Data Sheet'!E$75</f>
        <v>3.127114410106345E-2</v>
      </c>
      <c r="G37" s="197">
        <f>'Data Sheet'!F69/'Data Sheet'!F$75</f>
        <v>8.9333033017118015E-3</v>
      </c>
      <c r="H37" s="197">
        <f>'Data Sheet'!G69/'Data Sheet'!G$75</f>
        <v>0.1058641308526882</v>
      </c>
      <c r="I37" s="197">
        <f>'Data Sheet'!H69/'Data Sheet'!H$75</f>
        <v>1.9299359187330084E-2</v>
      </c>
      <c r="J37" s="197">
        <f>'Data Sheet'!I69/'Data Sheet'!I$75</f>
        <v>7.7788861566061948E-2</v>
      </c>
      <c r="K37" s="197">
        <f>'Data Sheet'!J69/'Data Sheet'!J$75</f>
        <v>3.0141957862281601E-2</v>
      </c>
      <c r="L37" s="197">
        <f>'Data Sheet'!K69/'Data Sheet'!K$75</f>
        <v>1.4732992278135203E-2</v>
      </c>
    </row>
    <row r="39" spans="2:12" x14ac:dyDescent="0.3">
      <c r="B39" s="192" t="s">
        <v>294</v>
      </c>
      <c r="C39" s="197">
        <f>'Data Sheet'!B75/'Data Sheet'!B$75</f>
        <v>1</v>
      </c>
      <c r="D39" s="197">
        <f>'Data Sheet'!C75/'Data Sheet'!C$75</f>
        <v>1</v>
      </c>
      <c r="E39" s="197">
        <f>'Data Sheet'!D75/'Data Sheet'!D$75</f>
        <v>1</v>
      </c>
      <c r="F39" s="197">
        <f>'Data Sheet'!E75/'Data Sheet'!E$75</f>
        <v>1</v>
      </c>
      <c r="G39" s="197">
        <f>'Data Sheet'!F75/'Data Sheet'!F$75</f>
        <v>1</v>
      </c>
      <c r="H39" s="197">
        <f>'Data Sheet'!G75/'Data Sheet'!G$75</f>
        <v>1</v>
      </c>
      <c r="I39" s="197">
        <f>'Data Sheet'!H75/'Data Sheet'!H$75</f>
        <v>1</v>
      </c>
      <c r="J39" s="197">
        <f>'Data Sheet'!I75/'Data Sheet'!I$75</f>
        <v>1</v>
      </c>
      <c r="K39" s="197">
        <f>'Data Sheet'!J75/'Data Sheet'!J$75</f>
        <v>1</v>
      </c>
      <c r="L39" s="197">
        <f>'Data Sheet'!K75/'Data Sheet'!K$75</f>
        <v>1</v>
      </c>
    </row>
  </sheetData>
  <mergeCells count="2">
    <mergeCell ref="B2:L2"/>
    <mergeCell ref="B22:L22"/>
  </mergeCells>
  <pageMargins left="0.7" right="0.7" top="0.75" bottom="0.75" header="0.3" footer="0.3"/>
  <pageSetup scale="74"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558881-C7DC-47F0-B5FE-7A8B69352D9E}">
  <sheetPr>
    <tabColor rgb="FF7030A0"/>
    <pageSetUpPr fitToPage="1"/>
  </sheetPr>
  <dimension ref="B2:J40"/>
  <sheetViews>
    <sheetView topLeftCell="B1" workbookViewId="0">
      <selection activeCell="K15" sqref="K15"/>
    </sheetView>
  </sheetViews>
  <sheetFormatPr defaultRowHeight="14.4" x14ac:dyDescent="0.3"/>
  <cols>
    <col min="1" max="1" width="1.88671875" customWidth="1"/>
    <col min="2" max="2" width="25.77734375" bestFit="1" customWidth="1"/>
    <col min="3" max="3" width="12.6640625" bestFit="1" customWidth="1"/>
    <col min="4" max="4" width="2.77734375" customWidth="1"/>
    <col min="6" max="6" width="9.21875" bestFit="1" customWidth="1"/>
    <col min="7" max="7" width="8.21875" bestFit="1" customWidth="1"/>
  </cols>
  <sheetData>
    <row r="2" spans="2:10" x14ac:dyDescent="0.3">
      <c r="B2" s="73" t="s">
        <v>356</v>
      </c>
      <c r="C2" s="73"/>
      <c r="D2" s="73"/>
      <c r="E2" s="160">
        <f>'Intresnsic Growth'!I2</f>
        <v>45717</v>
      </c>
      <c r="F2" s="160">
        <f>E2+365</f>
        <v>46082</v>
      </c>
      <c r="G2" s="160">
        <f>F2+366</f>
        <v>46448</v>
      </c>
      <c r="H2" s="160">
        <f>G2+365</f>
        <v>46813</v>
      </c>
      <c r="I2" s="160">
        <f>H2+365</f>
        <v>47178</v>
      </c>
      <c r="J2" s="160">
        <f t="shared" ref="J2" si="0">I2+366</f>
        <v>47544</v>
      </c>
    </row>
    <row r="4" spans="2:10" x14ac:dyDescent="0.3">
      <c r="B4" s="192" t="s">
        <v>357</v>
      </c>
      <c r="C4" s="192"/>
      <c r="D4" s="192"/>
      <c r="E4" s="192">
        <f>'Data Sheet'!K32-'Data Sheet'!K26</f>
        <v>3742.6899999999991</v>
      </c>
      <c r="F4" s="192">
        <f>E4*(1+$C$13)</f>
        <v>4461.2864799999988</v>
      </c>
      <c r="G4" s="195">
        <f>F4*(1+$C$13)</f>
        <v>5317.8534841599985</v>
      </c>
      <c r="H4" s="192">
        <f>G4*(1+$C$13)</f>
        <v>6338.8813531187179</v>
      </c>
      <c r="I4" s="192">
        <f>H4*(1+$C$13)</f>
        <v>7555.9465729175117</v>
      </c>
      <c r="J4" s="192">
        <f>I4*(1+$C$13)</f>
        <v>9006.6883149176738</v>
      </c>
    </row>
    <row r="5" spans="2:10" x14ac:dyDescent="0.3">
      <c r="B5" s="192" t="s">
        <v>358</v>
      </c>
      <c r="C5" s="192"/>
      <c r="D5" s="192"/>
      <c r="E5" s="202">
        <f>25%</f>
        <v>0.25</v>
      </c>
      <c r="F5" s="202">
        <f>25%</f>
        <v>0.25</v>
      </c>
      <c r="G5" s="202">
        <f>25%</f>
        <v>0.25</v>
      </c>
      <c r="H5" s="202">
        <f>25%</f>
        <v>0.25</v>
      </c>
      <c r="I5" s="202">
        <f>25%</f>
        <v>0.25</v>
      </c>
      <c r="J5" s="202">
        <f>25%</f>
        <v>0.25</v>
      </c>
    </row>
    <row r="6" spans="2:10" x14ac:dyDescent="0.3">
      <c r="B6" s="192" t="s">
        <v>337</v>
      </c>
      <c r="C6" s="192"/>
      <c r="D6" s="192"/>
      <c r="E6" s="195">
        <f t="shared" ref="E6:J6" si="1">E4*(1-E5)</f>
        <v>2807.0174999999995</v>
      </c>
      <c r="F6" s="195">
        <f t="shared" si="1"/>
        <v>3345.9648599999991</v>
      </c>
      <c r="G6" s="195">
        <f t="shared" si="1"/>
        <v>3988.3901131199991</v>
      </c>
      <c r="H6" s="195">
        <f t="shared" si="1"/>
        <v>4754.1610148390382</v>
      </c>
      <c r="I6" s="195">
        <f t="shared" si="1"/>
        <v>5666.9599296881333</v>
      </c>
      <c r="J6" s="195">
        <f t="shared" si="1"/>
        <v>6755.0162361882558</v>
      </c>
    </row>
    <row r="7" spans="2:10" x14ac:dyDescent="0.3">
      <c r="B7" s="192" t="s">
        <v>359</v>
      </c>
      <c r="C7" s="192"/>
      <c r="D7" s="192"/>
      <c r="E7" s="197">
        <f>'Intresnsic Growth'!I48</f>
        <v>1.8810147084250191</v>
      </c>
      <c r="F7" s="197">
        <f>E7+((J7-E7)/4)</f>
        <v>1.7304860313187642</v>
      </c>
      <c r="G7" s="197">
        <f t="shared" ref="G7:I7" si="2">F7+((K7-F7)/4)</f>
        <v>1.2978645234890731</v>
      </c>
      <c r="H7" s="197">
        <f t="shared" si="2"/>
        <v>0.97339839261680483</v>
      </c>
      <c r="I7" s="197">
        <f t="shared" si="2"/>
        <v>0.73004879446260362</v>
      </c>
      <c r="J7" s="197">
        <v>1.2788999999999999</v>
      </c>
    </row>
    <row r="8" spans="2:10" x14ac:dyDescent="0.3">
      <c r="B8" s="192" t="s">
        <v>360</v>
      </c>
      <c r="C8" s="192"/>
      <c r="D8" s="192"/>
      <c r="E8" s="192">
        <f t="shared" ref="E8:J8" si="3">E6*(1-E7)</f>
        <v>-2473.0237043064253</v>
      </c>
      <c r="F8" s="192">
        <f t="shared" si="3"/>
        <v>-2444.1805915134437</v>
      </c>
      <c r="G8" s="195">
        <f t="shared" si="3"/>
        <v>-1187.9999205330189</v>
      </c>
      <c r="H8" s="192">
        <f t="shared" si="3"/>
        <v>126.46832475324079</v>
      </c>
      <c r="I8" s="192">
        <f t="shared" si="3"/>
        <v>1529.8026647514307</v>
      </c>
      <c r="J8" s="192">
        <f t="shared" si="3"/>
        <v>-1883.974028272904</v>
      </c>
    </row>
    <row r="9" spans="2:10" x14ac:dyDescent="0.3">
      <c r="B9" s="192" t="s">
        <v>364</v>
      </c>
      <c r="C9" s="192"/>
      <c r="D9" s="192"/>
      <c r="E9" s="192"/>
      <c r="F9" s="192">
        <v>0.5</v>
      </c>
      <c r="G9" s="203">
        <f>F9+1</f>
        <v>1.5</v>
      </c>
      <c r="H9" s="203">
        <f t="shared" ref="H9:J9" si="4">G9+1</f>
        <v>2.5</v>
      </c>
      <c r="I9" s="203">
        <f t="shared" si="4"/>
        <v>3.5</v>
      </c>
      <c r="J9" s="203">
        <f t="shared" si="4"/>
        <v>4.5</v>
      </c>
    </row>
    <row r="10" spans="2:10" x14ac:dyDescent="0.3">
      <c r="B10" s="192" t="s">
        <v>365</v>
      </c>
      <c r="C10" s="192"/>
      <c r="D10" s="192"/>
      <c r="E10" s="192"/>
      <c r="F10" s="192">
        <f>1/(1+$C$15)^F9</f>
        <v>0.93980498940232582</v>
      </c>
      <c r="G10" s="192">
        <f t="shared" ref="G10:J10" si="5">1/(1+$C$15)^G9</f>
        <v>0.83006717314242506</v>
      </c>
      <c r="H10" s="192">
        <f t="shared" si="5"/>
        <v>0.73314306659175865</v>
      </c>
      <c r="I10" s="192">
        <f t="shared" si="5"/>
        <v>0.64753645666619153</v>
      </c>
      <c r="J10" s="192">
        <f t="shared" si="5"/>
        <v>0.57192583796920804</v>
      </c>
    </row>
    <row r="11" spans="2:10" ht="15" thickBot="1" x14ac:dyDescent="0.35">
      <c r="B11" s="204" t="s">
        <v>363</v>
      </c>
      <c r="C11" s="204"/>
      <c r="D11" s="204"/>
      <c r="E11" s="204"/>
      <c r="F11" s="204">
        <f>F8*F10</f>
        <v>-2297.0531149046624</v>
      </c>
      <c r="G11" s="204">
        <f>G8*G10</f>
        <v>-986.11973573026864</v>
      </c>
      <c r="H11" s="205">
        <f>H8*H10</f>
        <v>92.719375436313371</v>
      </c>
      <c r="I11" s="204">
        <f>I8*I10</f>
        <v>990.60299693163915</v>
      </c>
      <c r="J11" s="204">
        <f>J8*J10</f>
        <v>-1077.4934248322049</v>
      </c>
    </row>
    <row r="12" spans="2:10" ht="15" thickTop="1" x14ac:dyDescent="0.3"/>
    <row r="13" spans="2:10" x14ac:dyDescent="0.3">
      <c r="B13" s="206" t="s">
        <v>361</v>
      </c>
      <c r="C13" s="207">
        <v>0.192</v>
      </c>
    </row>
    <row r="14" spans="2:10" x14ac:dyDescent="0.3">
      <c r="B14" s="206" t="s">
        <v>362</v>
      </c>
      <c r="C14" s="207">
        <v>5.5E-2</v>
      </c>
    </row>
    <row r="15" spans="2:10" ht="15" thickBot="1" x14ac:dyDescent="0.35">
      <c r="B15" s="208" t="s">
        <v>345</v>
      </c>
      <c r="C15" s="209">
        <f>WACC!M45</f>
        <v>0.13220353702756527</v>
      </c>
    </row>
    <row r="16" spans="2:10" ht="15" thickTop="1" x14ac:dyDescent="0.3"/>
    <row r="17" spans="2:10" x14ac:dyDescent="0.3">
      <c r="B17" s="73" t="s">
        <v>366</v>
      </c>
      <c r="C17" s="73"/>
      <c r="E17" s="73" t="s">
        <v>418</v>
      </c>
      <c r="F17" s="73"/>
      <c r="G17" s="73"/>
      <c r="H17" s="73"/>
      <c r="I17" s="73"/>
      <c r="J17" s="73"/>
    </row>
    <row r="19" spans="2:10" x14ac:dyDescent="0.3">
      <c r="B19" s="192" t="s">
        <v>367</v>
      </c>
      <c r="C19" s="195">
        <f>J8*(1+C13)</f>
        <v>-2245.6970417013013</v>
      </c>
      <c r="E19" s="212">
        <f>C29</f>
        <v>-19913.526801577103</v>
      </c>
      <c r="F19" s="213">
        <v>0.11</v>
      </c>
      <c r="G19" s="213">
        <v>0.12</v>
      </c>
      <c r="H19" s="213">
        <f>C20</f>
        <v>0.13220353702756527</v>
      </c>
      <c r="I19" s="213">
        <v>0.14000000000000001</v>
      </c>
      <c r="J19" s="213">
        <v>0.15</v>
      </c>
    </row>
    <row r="20" spans="2:10" x14ac:dyDescent="0.3">
      <c r="B20" s="192" t="s">
        <v>345</v>
      </c>
      <c r="C20" s="197">
        <f>C15</f>
        <v>0.13220353702756527</v>
      </c>
      <c r="E20" s="214">
        <v>0.03</v>
      </c>
      <c r="F20" s="192">
        <f t="dataTable" ref="F20:J24" dt2D="1" dtr="1" r1="C20" r2="C21"/>
        <v>-19331.995933099039</v>
      </c>
      <c r="G20" s="192">
        <v>-17548.145707543496</v>
      </c>
      <c r="H20" s="192">
        <v>-17548.145707543496</v>
      </c>
      <c r="I20" s="192">
        <v>-14953.454470371802</v>
      </c>
      <c r="J20" s="192">
        <v>-13980.44525643242</v>
      </c>
    </row>
    <row r="21" spans="2:10" x14ac:dyDescent="0.3">
      <c r="B21" s="192" t="s">
        <v>368</v>
      </c>
      <c r="C21" s="197">
        <f>C14</f>
        <v>5.5E-2</v>
      </c>
      <c r="E21" s="214">
        <v>0.04</v>
      </c>
      <c r="F21" s="192">
        <v>-21625.517651670441</v>
      </c>
      <c r="G21" s="192">
        <v>-19331.995933099039</v>
      </c>
      <c r="H21" s="192">
        <v>-19331.995933099039</v>
      </c>
      <c r="I21" s="192">
        <v>-16121.065527099065</v>
      </c>
      <c r="J21" s="192">
        <v>-14953.454470371806</v>
      </c>
    </row>
    <row r="22" spans="2:10" x14ac:dyDescent="0.3">
      <c r="B22" s="192"/>
      <c r="C22" s="192"/>
      <c r="E22" s="214">
        <f>C21</f>
        <v>5.5E-2</v>
      </c>
      <c r="F22" s="192">
        <v>-21625.517651670441</v>
      </c>
      <c r="G22" s="192">
        <v>-19331.995933099039</v>
      </c>
      <c r="H22" s="192">
        <v>-19331.995933099039</v>
      </c>
      <c r="I22" s="192">
        <v>-16121.065527099065</v>
      </c>
      <c r="J22" s="192">
        <v>-14953.454470371806</v>
      </c>
    </row>
    <row r="23" spans="2:10" ht="15" thickBot="1" x14ac:dyDescent="0.35">
      <c r="B23" s="210" t="s">
        <v>369</v>
      </c>
      <c r="C23" s="211">
        <f>C19/(C20-C21)</f>
        <v>-29088.007210077467</v>
      </c>
      <c r="E23" s="214">
        <v>0.06</v>
      </c>
      <c r="F23" s="192">
        <v>-28964.787151098946</v>
      </c>
      <c r="G23" s="192">
        <v>-24683.546609765657</v>
      </c>
      <c r="H23" s="192">
        <v>-24683.546609765657</v>
      </c>
      <c r="I23" s="192">
        <v>-19331.995933099031</v>
      </c>
      <c r="J23" s="192">
        <v>-17548.145707543496</v>
      </c>
    </row>
    <row r="24" spans="2:10" ht="15.6" thickTop="1" thickBot="1" x14ac:dyDescent="0.35">
      <c r="E24" s="215">
        <v>7.0000000000000007E-2</v>
      </c>
      <c r="F24" s="204">
        <v>-35386.647963098891</v>
      </c>
      <c r="G24" s="204">
        <v>-28964.787151098953</v>
      </c>
      <c r="H24" s="204">
        <v>-28964.787151098953</v>
      </c>
      <c r="I24" s="204">
        <v>-21625.517651670441</v>
      </c>
      <c r="J24" s="204">
        <v>-19331.995933099039</v>
      </c>
    </row>
    <row r="25" spans="2:10" ht="15" thickTop="1" x14ac:dyDescent="0.3">
      <c r="B25" s="73" t="s">
        <v>370</v>
      </c>
      <c r="C25" s="73"/>
    </row>
    <row r="27" spans="2:10" x14ac:dyDescent="0.3">
      <c r="B27" s="192" t="s">
        <v>371</v>
      </c>
      <c r="C27" s="195">
        <f>SUM(F11:J11)</f>
        <v>-3277.3439030991831</v>
      </c>
      <c r="F27" s="58"/>
    </row>
    <row r="28" spans="2:10" x14ac:dyDescent="0.3">
      <c r="B28" s="192" t="s">
        <v>372</v>
      </c>
      <c r="C28" s="195">
        <f>C23*J10</f>
        <v>-16636.18289847792</v>
      </c>
    </row>
    <row r="29" spans="2:10" ht="15" thickBot="1" x14ac:dyDescent="0.35">
      <c r="B29" s="210" t="s">
        <v>373</v>
      </c>
      <c r="C29" s="211">
        <f>SUM(C27:C28)</f>
        <v>-19913.526801577103</v>
      </c>
    </row>
    <row r="30" spans="2:10" ht="15" thickTop="1" x14ac:dyDescent="0.3">
      <c r="C30" s="58"/>
      <c r="D30" s="58"/>
    </row>
    <row r="31" spans="2:10" x14ac:dyDescent="0.3">
      <c r="B31" s="192" t="s">
        <v>374</v>
      </c>
      <c r="C31" s="195">
        <f>'Data Sheet'!K69</f>
        <v>358.2</v>
      </c>
      <c r="D31" s="58"/>
    </row>
    <row r="32" spans="2:10" x14ac:dyDescent="0.3">
      <c r="B32" s="192" t="s">
        <v>375</v>
      </c>
      <c r="C32" s="195">
        <f>'Data Sheet'!K59</f>
        <v>819.62</v>
      </c>
      <c r="D32" s="58"/>
    </row>
    <row r="33" spans="2:4" x14ac:dyDescent="0.3">
      <c r="B33" s="216" t="s">
        <v>376</v>
      </c>
      <c r="C33" s="217">
        <f>C29+C31-C32</f>
        <v>-20374.946801577102</v>
      </c>
      <c r="D33" s="253"/>
    </row>
    <row r="34" spans="2:4" ht="15" thickBot="1" x14ac:dyDescent="0.35">
      <c r="B34" s="204" t="s">
        <v>377</v>
      </c>
      <c r="C34" s="205">
        <f>'Data Sheet'!B6</f>
        <v>65.073307787618745</v>
      </c>
      <c r="D34" s="58"/>
    </row>
    <row r="35" spans="2:4" ht="15" thickTop="1" x14ac:dyDescent="0.3">
      <c r="C35" s="58"/>
      <c r="D35" s="58"/>
    </row>
    <row r="36" spans="2:4" ht="15" thickBot="1" x14ac:dyDescent="0.35">
      <c r="B36" s="204" t="s">
        <v>378</v>
      </c>
      <c r="C36" s="205">
        <f>C33/C34</f>
        <v>-313.10759348633832</v>
      </c>
      <c r="D36" s="58"/>
    </row>
    <row r="37" spans="2:4" ht="15" thickTop="1" x14ac:dyDescent="0.3">
      <c r="C37" s="58"/>
      <c r="D37" s="58"/>
    </row>
    <row r="38" spans="2:4" x14ac:dyDescent="0.3">
      <c r="B38" s="192" t="s">
        <v>379</v>
      </c>
      <c r="C38" s="195">
        <v>4358</v>
      </c>
      <c r="D38" s="58"/>
    </row>
    <row r="39" spans="2:4" ht="15" thickBot="1" x14ac:dyDescent="0.35">
      <c r="B39" s="210" t="s">
        <v>380</v>
      </c>
      <c r="C39" s="218">
        <f>C38/C36</f>
        <v>-13.918538197925088</v>
      </c>
      <c r="D39" s="254"/>
    </row>
    <row r="40" spans="2:4" ht="15" thickTop="1" x14ac:dyDescent="0.3"/>
  </sheetData>
  <pageMargins left="0.7" right="0.7" top="0.75" bottom="0.75" header="0.3" footer="0.3"/>
  <pageSetup scale="94" orientation="portrait" r:id="rId1"/>
  <ignoredErrors>
    <ignoredError sqref="G2 E7 F7:J7" formula="1"/>
  </ignoredError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70D696-1F9D-4AE7-BE84-31E71E81B1F7}">
  <sheetPr>
    <tabColor rgb="FF00B050"/>
  </sheetPr>
  <dimension ref="B2:O40"/>
  <sheetViews>
    <sheetView showGridLines="0" zoomScale="79" zoomScaleNormal="79" workbookViewId="0">
      <pane ySplit="3" topLeftCell="A4" activePane="bottomLeft" state="frozen"/>
      <selection activeCell="B1" sqref="B1"/>
      <selection pane="bottomLeft" activeCell="D7" sqref="D7"/>
    </sheetView>
  </sheetViews>
  <sheetFormatPr defaultRowHeight="14.4" x14ac:dyDescent="0.3"/>
  <cols>
    <col min="1" max="1" width="1.88671875" customWidth="1"/>
    <col min="2" max="2" width="25.21875" customWidth="1"/>
    <col min="3" max="3" width="11.77734375" bestFit="1" customWidth="1"/>
    <col min="4" max="6" width="11.6640625" bestFit="1" customWidth="1"/>
    <col min="7" max="7" width="12" bestFit="1" customWidth="1"/>
    <col min="8" max="9" width="12.6640625" bestFit="1" customWidth="1"/>
    <col min="10" max="11" width="12" bestFit="1" customWidth="1"/>
    <col min="12" max="12" width="11" bestFit="1" customWidth="1"/>
    <col min="14" max="14" width="11" bestFit="1" customWidth="1"/>
  </cols>
  <sheetData>
    <row r="2" spans="2:15" x14ac:dyDescent="0.3">
      <c r="B2" s="269" t="str">
        <f>"Ratio Analysis - "&amp;'Data Sheet'!B1</f>
        <v>Ratio Analysis - AVENUE SUPERMARTS LTD</v>
      </c>
      <c r="C2" s="269"/>
      <c r="D2" s="269"/>
      <c r="E2" s="269"/>
      <c r="F2" s="269"/>
      <c r="G2" s="269"/>
      <c r="H2" s="269"/>
      <c r="I2" s="269"/>
      <c r="J2" s="269"/>
      <c r="K2" s="269"/>
      <c r="L2" s="269"/>
      <c r="M2" s="269"/>
      <c r="N2" s="269"/>
      <c r="O2" s="269"/>
    </row>
    <row r="3" spans="2:15" x14ac:dyDescent="0.3">
      <c r="B3" s="24" t="s">
        <v>81</v>
      </c>
      <c r="C3" s="25">
        <f>'Data Sheet'!B16</f>
        <v>42460</v>
      </c>
      <c r="D3" s="25">
        <f>'Data Sheet'!C16</f>
        <v>42825</v>
      </c>
      <c r="E3" s="25">
        <f>'Data Sheet'!D16</f>
        <v>43190</v>
      </c>
      <c r="F3" s="25">
        <f>'Data Sheet'!E16</f>
        <v>43555</v>
      </c>
      <c r="G3" s="25">
        <f>'Data Sheet'!F16</f>
        <v>43921</v>
      </c>
      <c r="H3" s="25">
        <f>'Data Sheet'!G16</f>
        <v>44286</v>
      </c>
      <c r="I3" s="25">
        <f>'Data Sheet'!H16</f>
        <v>44651</v>
      </c>
      <c r="J3" s="25">
        <f>'Data Sheet'!I16</f>
        <v>45016</v>
      </c>
      <c r="K3" s="25">
        <f>'Data Sheet'!J16</f>
        <v>45382</v>
      </c>
      <c r="L3" s="25">
        <f>'Data Sheet'!K16</f>
        <v>45747</v>
      </c>
      <c r="M3" s="25" t="s">
        <v>176</v>
      </c>
      <c r="N3" s="49" t="s">
        <v>174</v>
      </c>
      <c r="O3" s="49" t="s">
        <v>175</v>
      </c>
    </row>
    <row r="5" spans="2:15" x14ac:dyDescent="0.3">
      <c r="B5" s="36" t="s">
        <v>22</v>
      </c>
      <c r="C5" s="36"/>
      <c r="D5" s="37">
        <f>HistoricaIFS!D6</f>
        <v>0.38607090598991589</v>
      </c>
      <c r="E5" s="37">
        <f>HistoricaIFS!E6</f>
        <v>0.26353833093791246</v>
      </c>
      <c r="F5" s="37">
        <f>HistoricaIFS!F6</f>
        <v>0.33068940744485542</v>
      </c>
      <c r="G5" s="37">
        <f>HistoricaIFS!G6</f>
        <v>0.24322903023916598</v>
      </c>
      <c r="H5" s="37">
        <f>HistoricaIFS!H6</f>
        <v>-2.9237400583831175E-2</v>
      </c>
      <c r="I5" s="37">
        <f>HistoricaIFS!I6</f>
        <v>0.28302998874210639</v>
      </c>
      <c r="J5" s="37">
        <f>HistoricaIFS!J6</f>
        <v>0.38297993915987938</v>
      </c>
      <c r="K5" s="37">
        <f>HistoricaIFS!K6</f>
        <v>0.18555909537819737</v>
      </c>
      <c r="L5" s="37">
        <f>HistoricaIFS!L6</f>
        <v>0.16872253210007004</v>
      </c>
      <c r="N5">
        <f>IFERROR(AVERAGE(D5:L5),0)</f>
        <v>0.24606464771203018</v>
      </c>
      <c r="O5">
        <f>IFERROR(MEDIAN(D5:L5),0)</f>
        <v>0.26353833093791246</v>
      </c>
    </row>
    <row r="6" spans="2:15" x14ac:dyDescent="0.3">
      <c r="B6" t="s">
        <v>147</v>
      </c>
      <c r="D6" s="38">
        <f>HistoricaIFS!D17/HistoricaIFS!C17-1</f>
        <v>0.45859795924510016</v>
      </c>
      <c r="E6" s="38">
        <f>HistoricaIFS!E17/HistoricaIFS!D17-1</f>
        <v>0.39588105408695995</v>
      </c>
      <c r="F6" s="38">
        <f>HistoricaIFS!F17/HistoricaIFS!E17-1</f>
        <v>0.20730156852889503</v>
      </c>
      <c r="G6" s="38">
        <f>HistoricaIFS!G17/HistoricaIFS!F17-1</f>
        <v>0.30306555399770918</v>
      </c>
      <c r="H6" s="38">
        <f>HistoricaIFS!H17/HistoricaIFS!G17-1</f>
        <v>-0.18018051881539909</v>
      </c>
      <c r="I6" s="38">
        <f>HistoricaIFS!I17/HistoricaIFS!H17-1</f>
        <v>0.43415117805173198</v>
      </c>
      <c r="J6" s="38">
        <f>HistoricaIFS!J17/HistoricaIFS!I17-1</f>
        <v>0.45414110735908042</v>
      </c>
      <c r="K6" s="38">
        <f>HistoricaIFS!K17/HistoricaIFS!J17-1</f>
        <v>0.1283043445999632</v>
      </c>
      <c r="L6" s="38">
        <f>HistoricaIFS!L17/HistoricaIFS!K17-1</f>
        <v>9.4716049142153924E-2</v>
      </c>
      <c r="N6">
        <f t="shared" ref="N6:N40" si="0">IFERROR(AVERAGE(D6:L6),0)</f>
        <v>0.25510869957735494</v>
      </c>
      <c r="O6">
        <f t="shared" ref="O6:O40" si="1">IFERROR(MEDIAN(D6:L6),0)</f>
        <v>0.30306555399770918</v>
      </c>
    </row>
    <row r="7" spans="2:15" x14ac:dyDescent="0.3">
      <c r="B7" t="s">
        <v>148</v>
      </c>
      <c r="D7" s="38">
        <f>IFERROR(HistoricaIFS!D26-HistoricaIFS!C26-1,0)</f>
        <v>243.68999999999971</v>
      </c>
      <c r="E7" s="38">
        <f>IFERROR(HistoricaIFS!E26-HistoricaIFS!D26-1,0)</f>
        <v>413.94000000000005</v>
      </c>
      <c r="F7" s="38">
        <f>IFERROR(HistoricaIFS!F26-HistoricaIFS!E26-1,0)</f>
        <v>238.29000000000087</v>
      </c>
      <c r="G7" s="38">
        <f>IFERROR(HistoricaIFS!G26-HistoricaIFS!F26-1,0)</f>
        <v>310.16999999999894</v>
      </c>
      <c r="H7" s="38">
        <f>IFERROR(HistoricaIFS!H26-HistoricaIFS!G26-1,0)</f>
        <v>-396.76000000000204</v>
      </c>
      <c r="I7" s="38">
        <f>IFERROR(HistoricaIFS!I26-HistoricaIFS!H26-1,0)</f>
        <v>660.46000000000299</v>
      </c>
      <c r="J7" s="38">
        <f>IFERROR(HistoricaIFS!J26-HistoricaIFS!I26-1,0)</f>
        <v>981.00999999999567</v>
      </c>
      <c r="K7" s="38">
        <f>IFERROR(HistoricaIFS!K26-HistoricaIFS!J26-1,0)</f>
        <v>383.26000000000795</v>
      </c>
      <c r="L7" s="38">
        <f>IFERROR(HistoricaIFS!L26-HistoricaIFS!K26-1,0)</f>
        <v>237.78999999999314</v>
      </c>
      <c r="N7">
        <f t="shared" si="0"/>
        <v>341.31666666666638</v>
      </c>
      <c r="O7">
        <f t="shared" si="1"/>
        <v>310.16999999999894</v>
      </c>
    </row>
    <row r="8" spans="2:15" x14ac:dyDescent="0.3">
      <c r="B8" t="s">
        <v>149</v>
      </c>
      <c r="D8" s="38">
        <f>IFERROR((HistoricaIFS!D32/HistoricaIFS!C32-1),0)</f>
        <v>0.49497252060954278</v>
      </c>
      <c r="E8" s="38">
        <f>IFERROR((HistoricaIFS!E32/HistoricaIFS!D32-1),0)</f>
        <v>0.68409399477806776</v>
      </c>
      <c r="F8" s="38">
        <f>IFERROR((HistoricaIFS!F32/HistoricaIFS!E32-1),0)</f>
        <v>0.11941557314017803</v>
      </c>
      <c r="G8" s="38">
        <f>IFERROR((HistoricaIFS!G32/HistoricaIFS!F32-1),0)</f>
        <v>0.44157599663172831</v>
      </c>
      <c r="H8" s="38">
        <f>IFERROR((HistoricaIFS!H32/HistoricaIFS!G32-1),0)</f>
        <v>-0.1549405109601254</v>
      </c>
      <c r="I8" s="38">
        <f>IFERROR((HistoricaIFS!I32/HistoricaIFS!H32-1),0)</f>
        <v>0.35749301949085477</v>
      </c>
      <c r="J8" s="38">
        <f>IFERROR((HistoricaIFS!J32/HistoricaIFS!I32-1),0)</f>
        <v>0.59358815450068692</v>
      </c>
      <c r="K8" s="38">
        <f>IFERROR((HistoricaIFS!K32/HistoricaIFS!J32-1),0)</f>
        <v>6.6285195353393389E-2</v>
      </c>
      <c r="L8" s="38">
        <f>IFERROR((HistoricaIFS!L32/HistoricaIFS!K32-1),0)</f>
        <v>6.7759653335541348E-2</v>
      </c>
      <c r="N8">
        <f t="shared" si="0"/>
        <v>0.29669373298665197</v>
      </c>
      <c r="O8">
        <f t="shared" si="1"/>
        <v>0.35749301949085477</v>
      </c>
    </row>
    <row r="9" spans="2:15" x14ac:dyDescent="0.3">
      <c r="B9" s="39" t="s">
        <v>150</v>
      </c>
      <c r="C9" s="39"/>
      <c r="D9" s="40">
        <f>IFERROR(HistoricaIFS!D40/HistoricaIFS!C40-1,0)</f>
        <v>0</v>
      </c>
      <c r="E9" s="40">
        <f>IFERROR(HistoricaIFS!E40/HistoricaIFS!D40-1,0)</f>
        <v>0</v>
      </c>
      <c r="F9" s="40">
        <f>IFERROR(HistoricaIFS!F40/HistoricaIFS!E40-1,0)</f>
        <v>0</v>
      </c>
      <c r="G9" s="40">
        <f>IFERROR(HistoricaIFS!G40/HistoricaIFS!F40-1,0)</f>
        <v>0</v>
      </c>
      <c r="H9" s="40">
        <f>IFERROR(HistoricaIFS!H40/HistoricaIFS!G40-1,0)</f>
        <v>0</v>
      </c>
      <c r="I9" s="40">
        <f>IFERROR(HistoricaIFS!I40/HistoricaIFS!H40-1,0)</f>
        <v>0</v>
      </c>
      <c r="J9" s="40">
        <f>IFERROR(HistoricaIFS!J40/HistoricaIFS!I40-1,0)</f>
        <v>0</v>
      </c>
      <c r="K9" s="40">
        <f>IFERROR(HistoricaIFS!K40/HistoricaIFS!J40-1,0)</f>
        <v>0</v>
      </c>
      <c r="L9" s="40">
        <f>IFERROR(HistoricaIFS!L40/HistoricaIFS!K40-1,0)</f>
        <v>0</v>
      </c>
      <c r="N9">
        <f t="shared" si="0"/>
        <v>0</v>
      </c>
      <c r="O9">
        <f t="shared" si="1"/>
        <v>0</v>
      </c>
    </row>
    <row r="10" spans="2:15" x14ac:dyDescent="0.3">
      <c r="C10" s="5"/>
      <c r="D10" s="5"/>
      <c r="E10" s="5"/>
      <c r="F10" s="5"/>
      <c r="G10" s="5"/>
      <c r="H10" s="5"/>
      <c r="I10" s="5"/>
      <c r="J10" s="5"/>
      <c r="K10" s="5"/>
      <c r="L10" s="5"/>
    </row>
    <row r="11" spans="2:15" x14ac:dyDescent="0.3">
      <c r="B11" s="36" t="s">
        <v>151</v>
      </c>
      <c r="C11" s="37">
        <f>IFERROR(HistoricaIFS!C9,0)</f>
        <v>0.90556818923175852</v>
      </c>
      <c r="D11" s="37">
        <f>IFERROR(HistoricaIFS!D9,0)</f>
        <v>0.89983862427191807</v>
      </c>
      <c r="E11" s="37">
        <f>IFERROR(HistoricaIFS!E9,0)</f>
        <v>0.89227576297794209</v>
      </c>
      <c r="F11" s="37">
        <f>IFERROR(HistoricaIFS!F9,0)</f>
        <v>0.9002730382933456</v>
      </c>
      <c r="G11" s="37">
        <f>IFERROR(HistoricaIFS!G9,0)</f>
        <v>0.90044591519167516</v>
      </c>
      <c r="H11" s="37">
        <f>IFERROR(HistoricaIFS!H9,0)</f>
        <v>0.91176884785938495</v>
      </c>
      <c r="I11" s="37">
        <f>IFERROR(HistoricaIFS!I9,0)</f>
        <v>0.90483650872103061</v>
      </c>
      <c r="J11" s="37">
        <f>IFERROR(HistoricaIFS!J9,0)</f>
        <v>0.90017941360742271</v>
      </c>
      <c r="K11" s="37">
        <f>IFERROR(HistoricaIFS!K9,0)</f>
        <v>0.90339509691402609</v>
      </c>
      <c r="L11" s="37">
        <f>IFERROR(HistoricaIFS!L9,0)</f>
        <v>0.90836491427868671</v>
      </c>
      <c r="N11">
        <f t="shared" si="0"/>
        <v>0.90237534690171473</v>
      </c>
      <c r="O11">
        <f t="shared" si="1"/>
        <v>0.90044591519167516</v>
      </c>
    </row>
    <row r="12" spans="2:15" x14ac:dyDescent="0.3">
      <c r="B12" t="s">
        <v>152</v>
      </c>
      <c r="C12" s="38">
        <f>IFERROR(HistoricaIFS!C18,0)</f>
        <v>7.7408967631900333E-2</v>
      </c>
      <c r="D12" s="38">
        <f>IFERROR(HistoricaIFS!D18,0)</f>
        <v>8.1459441740840702E-2</v>
      </c>
      <c r="E12" s="38">
        <f>IFERROR(HistoricaIFS!E18,0)</f>
        <v>8.9991485512066663E-2</v>
      </c>
      <c r="F12" s="38">
        <f>IFERROR(HistoricaIFS!F18,0)</f>
        <v>8.1647047767204689E-2</v>
      </c>
      <c r="G12" s="38">
        <f>IFERROR(HistoricaIFS!G18,0)</f>
        <v>8.5576714300648976E-2</v>
      </c>
      <c r="H12" s="38">
        <f>IFERROR(HistoricaIFS!H18,0)</f>
        <v>7.2270457845857075E-2</v>
      </c>
      <c r="I12" s="38">
        <f>IFERROR(HistoricaIFS!I18,0)</f>
        <v>8.0782805676732586E-2</v>
      </c>
      <c r="J12" s="38">
        <f>IFERROR(HistoricaIFS!J18,0)</f>
        <v>8.4939481171141737E-2</v>
      </c>
      <c r="K12" s="38">
        <f>IFERROR(HistoricaIFS!K18,0)</f>
        <v>8.083745973277992E-2</v>
      </c>
      <c r="L12" s="38">
        <f>IFERROR(HistoricaIFS!L18,0)</f>
        <v>7.5718626201500855E-2</v>
      </c>
      <c r="N12">
        <f t="shared" si="0"/>
        <v>8.1469279994308128E-2</v>
      </c>
      <c r="O12">
        <f t="shared" si="1"/>
        <v>8.1459441740840702E-2</v>
      </c>
    </row>
    <row r="13" spans="2:15" x14ac:dyDescent="0.3">
      <c r="B13" t="s">
        <v>153</v>
      </c>
      <c r="C13" s="38">
        <f>IFERROR(HistoricaIFS!C27,0)</f>
        <v>5.5300940380439437E-2</v>
      </c>
      <c r="D13" s="38">
        <f>IFERROR(HistoricaIFS!D27,0)</f>
        <v>6.0463787118518748E-2</v>
      </c>
      <c r="E13" s="38">
        <f>IFERROR(HistoricaIFS!E27,0)</f>
        <v>7.5454327754569922E-2</v>
      </c>
      <c r="F13" s="38">
        <f>IFERROR(HistoricaIFS!F27,0)</f>
        <v>6.8664981714132683E-2</v>
      </c>
      <c r="G13" s="38">
        <f>IFERROR(HistoricaIFS!G27,0)</f>
        <v>6.7742921247115034E-2</v>
      </c>
      <c r="H13" s="38">
        <f>IFERROR(HistoricaIFS!H27,0)</f>
        <v>5.3390912336712844E-2</v>
      </c>
      <c r="I13" s="38">
        <f>IFERROR(HistoricaIFS!I27,0)</f>
        <v>6.2966909831299933E-2</v>
      </c>
      <c r="J13" s="38">
        <f>IFERROR(HistoricaIFS!J27,0)</f>
        <v>6.845285058950179E-2</v>
      </c>
      <c r="K13" s="38">
        <f>IFERROR(HistoricaIFS!K27,0)</f>
        <v>6.5304713654557603E-2</v>
      </c>
      <c r="L13" s="38">
        <f>IFERROR(HistoricaIFS!L27,0)</f>
        <v>5.9899878786449319E-2</v>
      </c>
      <c r="N13">
        <f t="shared" si="0"/>
        <v>6.4704587003650879E-2</v>
      </c>
      <c r="O13">
        <f t="shared" si="1"/>
        <v>6.5304713654557603E-2</v>
      </c>
    </row>
    <row r="14" spans="2:15" x14ac:dyDescent="0.3">
      <c r="B14" t="s">
        <v>153</v>
      </c>
      <c r="C14" s="38">
        <f>(HistoricaIFS!C17-HistoricaIFS!C23)/HistoricaIFS!C5</f>
        <v>6.5941964826602889E-2</v>
      </c>
      <c r="D14" s="38">
        <f>(HistoricaIFS!D17-HistoricaIFS!D23)/HistoricaIFS!D5</f>
        <v>7.0716188843221839E-2</v>
      </c>
      <c r="E14" s="38">
        <f>(HistoricaIFS!E17-HistoricaIFS!E23)/HistoricaIFS!E5</f>
        <v>7.9414895032328486E-2</v>
      </c>
      <c r="F14" s="38">
        <f>(HistoricaIFS!F17-HistoricaIFS!F23)/HistoricaIFS!F5</f>
        <v>7.1024948361670337E-2</v>
      </c>
      <c r="G14" s="38">
        <f>(HistoricaIFS!G17-HistoricaIFS!G23)/HistoricaIFS!G5</f>
        <v>7.0522151008033718E-2</v>
      </c>
      <c r="H14" s="38">
        <f>(HistoricaIFS!H17-HistoricaIFS!H23)/HistoricaIFS!H5</f>
        <v>5.5116045770502921E-2</v>
      </c>
      <c r="I14" s="38">
        <f>(HistoricaIFS!I17-HistoricaIFS!I23)/HistoricaIFS!I5</f>
        <v>6.4703400377127435E-2</v>
      </c>
      <c r="J14" s="38">
        <f>(HistoricaIFS!J17-HistoricaIFS!J23)/HistoricaIFS!J5</f>
        <v>7.0026396162798987E-2</v>
      </c>
      <c r="K14" s="38">
        <f>(HistoricaIFS!K17-HistoricaIFS!K23)/HistoricaIFS!K5</f>
        <v>6.6449256657418659E-2</v>
      </c>
      <c r="L14" s="38">
        <f>(HistoricaIFS!L17-HistoricaIFS!L23)/HistoricaIFS!L5</f>
        <v>6.1069897006387479E-2</v>
      </c>
      <c r="N14">
        <f t="shared" si="0"/>
        <v>6.7671464357721103E-2</v>
      </c>
      <c r="O14">
        <f t="shared" si="1"/>
        <v>7.0026396162798987E-2</v>
      </c>
    </row>
    <row r="15" spans="2:15" x14ac:dyDescent="0.3">
      <c r="B15" s="39" t="s">
        <v>154</v>
      </c>
      <c r="C15" s="40">
        <f>IFERROR(HistoricaIFS!C33,0)</f>
        <v>3.7307660046413227E-2</v>
      </c>
      <c r="D15" s="40">
        <f>IFERROR(HistoricaIFS!D33,0)</f>
        <v>4.0238869697504558E-2</v>
      </c>
      <c r="E15" s="40">
        <f>IFERROR(HistoricaIFS!E33,0)</f>
        <v>5.3631961259079902E-2</v>
      </c>
      <c r="F15" s="40">
        <f>IFERROR(HistoricaIFS!F33,0)</f>
        <v>4.511680360238586E-2</v>
      </c>
      <c r="G15" s="40">
        <f>IFERROR(HistoricaIFS!G33,0)</f>
        <v>5.2314818537848508E-2</v>
      </c>
      <c r="H15" s="40">
        <f>IFERROR(HistoricaIFS!H33,0)</f>
        <v>4.5540623268135849E-2</v>
      </c>
      <c r="I15" s="40">
        <f>IFERROR(HistoricaIFS!I33,0)</f>
        <v>4.8183658006596658E-2</v>
      </c>
      <c r="J15" s="40">
        <f>IFERROR(HistoricaIFS!J33,0)</f>
        <v>5.5521345223900537E-2</v>
      </c>
      <c r="K15" s="40">
        <f>IFERROR(HistoricaIFS!K33,0)</f>
        <v>4.9935586230279376E-2</v>
      </c>
      <c r="L15" s="40">
        <f>IFERROR(HistoricaIFS!L33,0)</f>
        <v>4.5621781712842653E-2</v>
      </c>
      <c r="N15">
        <f t="shared" si="0"/>
        <v>4.8456160837619319E-2</v>
      </c>
      <c r="O15">
        <f t="shared" si="1"/>
        <v>4.8183658006596658E-2</v>
      </c>
    </row>
    <row r="16" spans="2:15" x14ac:dyDescent="0.3">
      <c r="C16" s="5"/>
      <c r="D16" s="5"/>
      <c r="E16" s="5"/>
      <c r="F16" s="5"/>
      <c r="G16" s="5"/>
      <c r="H16" s="5"/>
      <c r="I16" s="5"/>
      <c r="J16" s="5"/>
      <c r="K16" s="5"/>
      <c r="L16" s="5"/>
    </row>
    <row r="17" spans="2:15" x14ac:dyDescent="0.3">
      <c r="B17" s="36" t="s">
        <v>155</v>
      </c>
      <c r="C17" s="41">
        <f>IFERROR(HistoricaIFS!C15,0)</f>
        <v>1.7022843136341184E-2</v>
      </c>
      <c r="D17" s="41">
        <f>IFERROR(HistoricaIFS!D15,0)</f>
        <v>1.870193398724123E-2</v>
      </c>
      <c r="E17" s="41">
        <f>IFERROR(HistoricaIFS!E15,0)</f>
        <v>1.7732751509991221E-2</v>
      </c>
      <c r="F17" s="41">
        <f>IFERROR(HistoricaIFS!F15,0)</f>
        <v>1.8079913939449684E-2</v>
      </c>
      <c r="G17" s="41">
        <f>IFERROR(HistoricaIFS!G15,0)</f>
        <v>1.3977370507675852E-2</v>
      </c>
      <c r="H17" s="41">
        <f>IFERROR(HistoricaIFS!H15,0)</f>
        <v>1.5960694294757993E-2</v>
      </c>
      <c r="I17" s="41">
        <f>IFERROR(HistoricaIFS!I15,0)</f>
        <v>1.438068560223681E-2</v>
      </c>
      <c r="J17" s="41">
        <f>IFERROR(HistoricaIFS!J15,0)</f>
        <v>1.4881105221435514E-2</v>
      </c>
      <c r="K17" s="41">
        <f>IFERROR(HistoricaIFS!K15,0)</f>
        <v>1.5767443353193997E-2</v>
      </c>
      <c r="L17" s="41">
        <f>IFERROR(HistoricaIFS!L15,0)</f>
        <v>1.5916459519812392E-2</v>
      </c>
      <c r="N17">
        <f t="shared" si="0"/>
        <v>1.6155373103977185E-2</v>
      </c>
      <c r="O17">
        <f t="shared" si="1"/>
        <v>1.5916459519812392E-2</v>
      </c>
    </row>
    <row r="18" spans="2:15" x14ac:dyDescent="0.3">
      <c r="B18" t="s">
        <v>156</v>
      </c>
      <c r="C18" s="5">
        <f>IFERROR(HistoricaIFS!C24,0)</f>
        <v>1.1467002805297445E-2</v>
      </c>
      <c r="D18" s="5">
        <f>IFERROR(HistoricaIFS!D24,0)</f>
        <v>1.0743252897618866E-2</v>
      </c>
      <c r="E18" s="5">
        <f>IFERROR(HistoricaIFS!E24,0)</f>
        <v>1.0576590479738178E-2</v>
      </c>
      <c r="F18" s="5">
        <f>IFERROR(HistoricaIFS!F24,0)</f>
        <v>1.062209940553435E-2</v>
      </c>
      <c r="G18" s="5">
        <f>IFERROR(HistoricaIFS!G24,0)</f>
        <v>1.5054563292615258E-2</v>
      </c>
      <c r="H18" s="5">
        <f>IFERROR(HistoricaIFS!H24,0)</f>
        <v>1.7154412075354161E-2</v>
      </c>
      <c r="I18" s="5">
        <f>IFERROR(HistoricaIFS!I24,0)</f>
        <v>1.6079405299605148E-2</v>
      </c>
      <c r="J18" s="5">
        <f>IFERROR(HistoricaIFS!J24,0)</f>
        <v>1.4913085008342757E-2</v>
      </c>
      <c r="K18" s="5">
        <f>IFERROR(HistoricaIFS!K24,0)</f>
        <v>1.4388203075361254E-2</v>
      </c>
      <c r="L18" s="5">
        <f>IFERROR(HistoricaIFS!L24,0)</f>
        <v>1.4648729195113383E-2</v>
      </c>
      <c r="N18">
        <f t="shared" si="0"/>
        <v>1.3797815636587041E-2</v>
      </c>
      <c r="O18">
        <f t="shared" si="1"/>
        <v>1.4648729195113383E-2</v>
      </c>
    </row>
    <row r="19" spans="2:15" x14ac:dyDescent="0.3">
      <c r="B19" s="39" t="s">
        <v>157</v>
      </c>
      <c r="C19" s="42">
        <f>C13</f>
        <v>5.5300940380439437E-2</v>
      </c>
      <c r="D19" s="42">
        <f t="shared" ref="D19:L19" si="2">D13</f>
        <v>6.0463787118518748E-2</v>
      </c>
      <c r="E19" s="42">
        <f t="shared" si="2"/>
        <v>7.5454327754569922E-2</v>
      </c>
      <c r="F19" s="42">
        <f t="shared" si="2"/>
        <v>6.8664981714132683E-2</v>
      </c>
      <c r="G19" s="42">
        <f t="shared" si="2"/>
        <v>6.7742921247115034E-2</v>
      </c>
      <c r="H19" s="42">
        <f t="shared" si="2"/>
        <v>5.3390912336712844E-2</v>
      </c>
      <c r="I19" s="42">
        <f t="shared" si="2"/>
        <v>6.2966909831299933E-2</v>
      </c>
      <c r="J19" s="42">
        <f t="shared" si="2"/>
        <v>6.845285058950179E-2</v>
      </c>
      <c r="K19" s="42">
        <f t="shared" si="2"/>
        <v>6.5304713654557603E-2</v>
      </c>
      <c r="L19" s="42">
        <f t="shared" si="2"/>
        <v>5.9899878786449319E-2</v>
      </c>
      <c r="N19">
        <f t="shared" si="0"/>
        <v>6.4704587003650879E-2</v>
      </c>
      <c r="O19">
        <f t="shared" si="1"/>
        <v>6.5304713654557603E-2</v>
      </c>
    </row>
    <row r="21" spans="2:15" x14ac:dyDescent="0.3">
      <c r="B21" s="36" t="s">
        <v>158</v>
      </c>
      <c r="C21" s="37">
        <f>IFERROR((HistoricaIFS!C17-HistoricaIFS!C23)/SUM(HistoricaIFS!C47:C49),0)</f>
        <v>0.20865311599171366</v>
      </c>
      <c r="D21" s="37">
        <f>IFERROR((HistoricaIFS!D17-HistoricaIFS!D23)/SUM(HistoricaIFS!D47:D49),0)</f>
        <v>0.15758461163866583</v>
      </c>
      <c r="E21" s="37">
        <f>IFERROR((HistoricaIFS!E17-HistoricaIFS!E23)/SUM(HistoricaIFS!E47:E49),0)</f>
        <v>0.23370984476244555</v>
      </c>
      <c r="F21" s="37">
        <f>IFERROR((HistoricaIFS!F17-HistoricaIFS!F23)/SUM(HistoricaIFS!F47:F49),0)</f>
        <v>0.22597175392836721</v>
      </c>
      <c r="G21" s="37">
        <f>IFERROR((HistoricaIFS!G17-HistoricaIFS!G23)/SUM(HistoricaIFS!G47:G49),0)</f>
        <v>0.15367657560328507</v>
      </c>
      <c r="H21" s="37">
        <f>IFERROR((HistoricaIFS!H17-HistoricaIFS!H23)/SUM(HistoricaIFS!H47:H49),0)</f>
        <v>0.1058067399148564</v>
      </c>
      <c r="I21" s="37">
        <f>IFERROR((HistoricaIFS!I17-HistoricaIFS!I23)/SUM(HistoricaIFS!I47:I49),0)</f>
        <v>0.13991823844049886</v>
      </c>
      <c r="J21" s="37">
        <f>IFERROR((HistoricaIFS!J17-HistoricaIFS!J23)/SUM(HistoricaIFS!J47:J49),0)</f>
        <v>0.17940183043808977</v>
      </c>
      <c r="K21" s="37">
        <f>IFERROR((HistoricaIFS!K17-HistoricaIFS!K23)/SUM(HistoricaIFS!K47:K49),0)</f>
        <v>0.17495508030594145</v>
      </c>
      <c r="L21" s="37">
        <f>IFERROR((HistoricaIFS!L17-HistoricaIFS!L23)/SUM(HistoricaIFS!L47:L49),0)</f>
        <v>0.16294015876932863</v>
      </c>
      <c r="N21">
        <f t="shared" si="0"/>
        <v>0.17044053708905321</v>
      </c>
      <c r="O21">
        <f t="shared" si="1"/>
        <v>0.16294015876932863</v>
      </c>
    </row>
    <row r="22" spans="2:15" x14ac:dyDescent="0.3">
      <c r="B22" t="s">
        <v>107</v>
      </c>
      <c r="C22" s="5">
        <f>HistoricaIFS!C43</f>
        <v>1</v>
      </c>
      <c r="D22" s="5">
        <f>HistoricaIFS!D43</f>
        <v>1</v>
      </c>
      <c r="E22" s="5">
        <f>HistoricaIFS!E43</f>
        <v>1</v>
      </c>
      <c r="F22" s="5">
        <f>HistoricaIFS!F43</f>
        <v>1</v>
      </c>
      <c r="G22" s="5">
        <f>HistoricaIFS!G43</f>
        <v>1</v>
      </c>
      <c r="H22" s="5">
        <f>HistoricaIFS!H43</f>
        <v>1</v>
      </c>
      <c r="I22" s="5">
        <f>HistoricaIFS!I43</f>
        <v>1</v>
      </c>
      <c r="J22" s="5">
        <f>HistoricaIFS!J43</f>
        <v>1</v>
      </c>
      <c r="K22" s="5">
        <f>HistoricaIFS!K43</f>
        <v>1</v>
      </c>
      <c r="L22" s="5">
        <f>HistoricaIFS!L43</f>
        <v>1</v>
      </c>
      <c r="N22">
        <f t="shared" si="0"/>
        <v>1</v>
      </c>
      <c r="O22">
        <f t="shared" si="1"/>
        <v>1</v>
      </c>
    </row>
    <row r="23" spans="2:15" x14ac:dyDescent="0.3">
      <c r="B23" t="s">
        <v>159</v>
      </c>
      <c r="C23" s="38">
        <f>HistoricaIFS!C32/SUM(HistoricaIFS!C47:C48)</f>
        <v>0.21062324064086713</v>
      </c>
      <c r="D23" s="38">
        <f>HistoricaIFS!D32/SUM(HistoricaIFS!D47:D48)</f>
        <v>0.12461671412730559</v>
      </c>
      <c r="E23" s="38">
        <f>HistoricaIFS!E32/SUM(HistoricaIFS!E47:E48)</f>
        <v>0.17268180893329477</v>
      </c>
      <c r="F23" s="38">
        <f>HistoricaIFS!F32/SUM(HistoricaIFS!F47:F48)</f>
        <v>0.16152985709044376</v>
      </c>
      <c r="G23" s="38">
        <f>HistoricaIFS!G32/SUM(HistoricaIFS!G47:G48)</f>
        <v>0.11742874832802935</v>
      </c>
      <c r="H23" s="38">
        <f>HistoricaIFS!H32/SUM(HistoricaIFS!H47:H48)</f>
        <v>9.0242627245724003E-2</v>
      </c>
      <c r="I23" s="38">
        <f>HistoricaIFS!I32/SUM(HistoricaIFS!I47:I48)</f>
        <v>0.10912335753828875</v>
      </c>
      <c r="J23" s="38">
        <f>HistoricaIFS!J32/SUM(HistoricaIFS!J47:J48)</f>
        <v>0.14792924801134422</v>
      </c>
      <c r="K23" s="38">
        <f>HistoricaIFS!K32/SUM(HistoricaIFS!K47:K48)</f>
        <v>0.13563987673429309</v>
      </c>
      <c r="L23" s="38">
        <f>HistoricaIFS!L32/SUM(HistoricaIFS!L47:L48)</f>
        <v>0.12637911119926265</v>
      </c>
      <c r="N23">
        <f t="shared" si="0"/>
        <v>0.13173014991199844</v>
      </c>
      <c r="O23">
        <f t="shared" si="1"/>
        <v>0.12637911119926265</v>
      </c>
    </row>
    <row r="24" spans="2:15" x14ac:dyDescent="0.3">
      <c r="B24" t="s">
        <v>160</v>
      </c>
      <c r="C24" s="38">
        <f>IFERROR(C22*C23,0)</f>
        <v>0.21062324064086713</v>
      </c>
      <c r="D24" s="38">
        <f t="shared" ref="D24:L24" si="3">IFERROR(D22*D23,0)</f>
        <v>0.12461671412730559</v>
      </c>
      <c r="E24" s="38">
        <f t="shared" si="3"/>
        <v>0.17268180893329477</v>
      </c>
      <c r="F24" s="38">
        <f t="shared" si="3"/>
        <v>0.16152985709044376</v>
      </c>
      <c r="G24" s="38">
        <f t="shared" si="3"/>
        <v>0.11742874832802935</v>
      </c>
      <c r="H24" s="38">
        <f t="shared" si="3"/>
        <v>9.0242627245724003E-2</v>
      </c>
      <c r="I24" s="38">
        <f t="shared" si="3"/>
        <v>0.10912335753828875</v>
      </c>
      <c r="J24" s="38">
        <f t="shared" si="3"/>
        <v>0.14792924801134422</v>
      </c>
      <c r="K24" s="38">
        <f t="shared" si="3"/>
        <v>0.13563987673429309</v>
      </c>
      <c r="L24" s="38">
        <f t="shared" si="3"/>
        <v>0.12637911119926265</v>
      </c>
      <c r="N24">
        <f t="shared" si="0"/>
        <v>0.13173014991199844</v>
      </c>
      <c r="O24">
        <f t="shared" si="1"/>
        <v>0.12637911119926265</v>
      </c>
    </row>
    <row r="25" spans="2:15" x14ac:dyDescent="0.3">
      <c r="B25" s="39" t="s">
        <v>161</v>
      </c>
      <c r="C25" s="43">
        <f>IFERROR((HistoricaIFS!C17-HistoricaIFS!C23)/HistoricaIFS!C20,0)</f>
        <v>6.1969564265382182</v>
      </c>
      <c r="D25" s="43">
        <f>IFERROR((HistoricaIFS!D17-HistoricaIFS!D23)/HistoricaIFS!D20,0)</f>
        <v>6.8975241842925117</v>
      </c>
      <c r="E25" s="43">
        <f>IFERROR((HistoricaIFS!E17-HistoricaIFS!E23)/HistoricaIFS!E20,0)</f>
        <v>20.051394020826347</v>
      </c>
      <c r="F25" s="43">
        <f>IFERROR((HistoricaIFS!F17-HistoricaIFS!F23)/HistoricaIFS!F20,0)</f>
        <v>30.095742427451842</v>
      </c>
      <c r="G25" s="43">
        <f>IFERROR((HistoricaIFS!G17-HistoricaIFS!G23)/HistoricaIFS!G20,0)</f>
        <v>25.374710648148152</v>
      </c>
      <c r="H25" s="43">
        <f>IFERROR((HistoricaIFS!H17-HistoricaIFS!H23)/HistoricaIFS!H20,0)</f>
        <v>31.948859543817488</v>
      </c>
      <c r="I25" s="43">
        <f>IFERROR((HistoricaIFS!I17-HistoricaIFS!I23)/HistoricaIFS!I20,0)</f>
        <v>37.2610150585611</v>
      </c>
      <c r="J25" s="43">
        <f>IFERROR((HistoricaIFS!J17-HistoricaIFS!J23)/HistoricaIFS!J20,0)</f>
        <v>44.502299362112403</v>
      </c>
      <c r="K25" s="43">
        <f>IFERROR((HistoricaIFS!K17-HistoricaIFS!K23)/HistoricaIFS!K20,0)</f>
        <v>58.057457423017453</v>
      </c>
      <c r="L25" s="43">
        <f>IFERROR((HistoricaIFS!L17-HistoricaIFS!L23)/HistoricaIFS!L20,0)</f>
        <v>52.195680345572327</v>
      </c>
      <c r="N25">
        <f t="shared" si="0"/>
        <v>34.04274255708885</v>
      </c>
      <c r="O25">
        <f t="shared" si="1"/>
        <v>31.948859543817488</v>
      </c>
    </row>
    <row r="27" spans="2:15" x14ac:dyDescent="0.3">
      <c r="B27" s="36" t="s">
        <v>166</v>
      </c>
      <c r="C27" s="44">
        <f>IFERROR(HistoricaIFS!C5/HistoricaIFS!C61,0)</f>
        <v>1019.4489311163895</v>
      </c>
      <c r="D27" s="44">
        <f>IFERROR(HistoricaIFS!D5/HistoricaIFS!D61,0)</f>
        <v>566.55714285714294</v>
      </c>
      <c r="E27" s="44">
        <f>IFERROR(HistoricaIFS!E5/HistoricaIFS!E61,0)</f>
        <v>448.48448687350833</v>
      </c>
      <c r="F27" s="44">
        <f>IFERROR(HistoricaIFS!F5/HistoricaIFS!F61,0)</f>
        <v>310.77396302625448</v>
      </c>
      <c r="G27" s="44">
        <f>IFERROR(HistoricaIFS!G5/HistoricaIFS!G61,0)</f>
        <v>1272.1329923273656</v>
      </c>
      <c r="H27" s="44">
        <f>IFERROR(HistoricaIFS!H5/HistoricaIFS!H61,0)</f>
        <v>553.99403396053242</v>
      </c>
      <c r="I27" s="44">
        <f>IFERROR(HistoricaIFS!I5/HistoricaIFS!I61,0)</f>
        <v>463.09268949020782</v>
      </c>
      <c r="J27" s="44">
        <f>IFERROR(HistoricaIFS!J5/HistoricaIFS!J61,0)</f>
        <v>689.18211068211065</v>
      </c>
      <c r="K27" s="44">
        <f>IFERROR(HistoricaIFS!K5/HistoricaIFS!K61,0)</f>
        <v>305.27637194205687</v>
      </c>
      <c r="L27" s="44">
        <f>IFERROR(HistoricaIFS!L5/HistoricaIFS!L61,0)</f>
        <v>385.96820339423891</v>
      </c>
      <c r="N27">
        <f t="shared" si="0"/>
        <v>555.05133272815749</v>
      </c>
      <c r="O27">
        <f t="shared" si="1"/>
        <v>463.09268949020782</v>
      </c>
    </row>
    <row r="28" spans="2:15" x14ac:dyDescent="0.3">
      <c r="B28" t="s">
        <v>162</v>
      </c>
      <c r="C28" s="45">
        <f>IFERROR(HistoricaIFS!C5/HistoricaIFS!C50,0)</f>
        <v>22.078707752456403</v>
      </c>
      <c r="D28" s="45">
        <f>IFERROR(HistoricaIFS!D5/HistoricaIFS!D50,0)</f>
        <v>24.777583406222668</v>
      </c>
      <c r="E28" s="45">
        <f>IFERROR(HistoricaIFS!E5/HistoricaIFS!E50,0)</f>
        <v>27.843384205067419</v>
      </c>
      <c r="F28" s="45">
        <f>IFERROR(HistoricaIFS!F5/HistoricaIFS!F50,0)</f>
        <v>27.865329433068673</v>
      </c>
      <c r="G28" s="45">
        <f>IFERROR(HistoricaIFS!G5/HistoricaIFS!G50,0)</f>
        <v>37.498605310374984</v>
      </c>
      <c r="H28" s="45">
        <f>IFERROR(HistoricaIFS!H5/HistoricaIFS!H50,0)</f>
        <v>22.383078534808043</v>
      </c>
      <c r="I28" s="45">
        <f>IFERROR(HistoricaIFS!I5/HistoricaIFS!I50,0)</f>
        <v>27.020472784368454</v>
      </c>
      <c r="J28" s="45">
        <f>IFERROR(HistoricaIFS!J5/HistoricaIFS!J50,0)</f>
        <v>30.979404703364093</v>
      </c>
      <c r="K28" s="45">
        <f>IFERROR(HistoricaIFS!K5/HistoricaIFS!K50,0)</f>
        <v>26.979458167330677</v>
      </c>
      <c r="L28" s="45">
        <f>IFERROR(HistoricaIFS!L5/HistoricaIFS!L50,0)</f>
        <v>28.739112331207849</v>
      </c>
      <c r="N28">
        <f t="shared" si="0"/>
        <v>28.231825430645873</v>
      </c>
      <c r="O28">
        <f t="shared" si="1"/>
        <v>27.843384205067419</v>
      </c>
    </row>
    <row r="29" spans="2:15" x14ac:dyDescent="0.3">
      <c r="B29" t="s">
        <v>163</v>
      </c>
      <c r="C29" s="45">
        <f>IFERROR(HistoricaIFS!C5/HistoricaIFS!C62,0)</f>
        <v>12.779347615715583</v>
      </c>
      <c r="D29" s="45">
        <f>IFERROR(HistoricaIFS!D5/HistoricaIFS!D62,0)</f>
        <v>12.551640468403841</v>
      </c>
      <c r="E29" s="45">
        <f>IFERROR(HistoricaIFS!E5/HistoricaIFS!E62,0)</f>
        <v>12.921225665047919</v>
      </c>
      <c r="F29" s="45">
        <f>IFERROR(HistoricaIFS!F5/HistoricaIFS!F62,0)</f>
        <v>12.435595064184254</v>
      </c>
      <c r="G29" s="45">
        <f>IFERROR(HistoricaIFS!G5/HistoricaIFS!G62,0)</f>
        <v>12.770976686864538</v>
      </c>
      <c r="H29" s="45">
        <f>IFERROR(HistoricaIFS!H5/HistoricaIFS!H62,0)</f>
        <v>10.738457843329122</v>
      </c>
      <c r="I29" s="45">
        <f>IFERROR(HistoricaIFS!I5/HistoricaIFS!I62,0)</f>
        <v>11.294243544588101</v>
      </c>
      <c r="J29" s="45">
        <f>IFERROR(HistoricaIFS!J5/HistoricaIFS!J62,0)</f>
        <v>13.2079001566219</v>
      </c>
      <c r="K29" s="45">
        <f>IFERROR(HistoricaIFS!K5/HistoricaIFS!K62,0)</f>
        <v>12.932218235891744</v>
      </c>
      <c r="L29" s="45">
        <f>IFERROR(HistoricaIFS!L5/HistoricaIFS!L62,0)</f>
        <v>11.767187973919439</v>
      </c>
      <c r="N29">
        <f t="shared" si="0"/>
        <v>12.291049515427872</v>
      </c>
      <c r="O29">
        <f t="shared" si="1"/>
        <v>12.551640468403841</v>
      </c>
    </row>
    <row r="30" spans="2:15" x14ac:dyDescent="0.3">
      <c r="B30" t="s">
        <v>164</v>
      </c>
      <c r="C30" s="45">
        <f>IFERROR(HistoricaIFS!C5/HistoricaIFS!C54,0)</f>
        <v>4.1001566739271658</v>
      </c>
      <c r="D30" s="45">
        <f>IFERROR(HistoricaIFS!D5/HistoricaIFS!D54,0)</f>
        <v>4.6155368053535062</v>
      </c>
      <c r="E30" s="45">
        <f>IFERROR(HistoricaIFS!E5/HistoricaIFS!E54,0)</f>
        <v>4.4215684256037555</v>
      </c>
      <c r="F30" s="45">
        <f>IFERROR(HistoricaIFS!F5/HistoricaIFS!F54,0)</f>
        <v>4.5460995325393094</v>
      </c>
      <c r="G30" s="45">
        <f>IFERROR(HistoricaIFS!G5/HistoricaIFS!G54,0)</f>
        <v>4.1812499264462355</v>
      </c>
      <c r="H30" s="45">
        <f>IFERROR(HistoricaIFS!H5/HistoricaIFS!H54,0)</f>
        <v>3.4446781189361948</v>
      </c>
      <c r="I30" s="45">
        <f>IFERROR(HistoricaIFS!I5/HistoricaIFS!I54,0)</f>
        <v>3.3451623214636683</v>
      </c>
      <c r="J30" s="45">
        <f>IFERROR(HistoricaIFS!J5/HistoricaIFS!J54,0)</f>
        <v>3.7775790795451338</v>
      </c>
      <c r="K30" s="45">
        <f>IFERROR(HistoricaIFS!K5/HistoricaIFS!K54,0)</f>
        <v>3.7859731643682446</v>
      </c>
      <c r="L30" s="45">
        <f>IFERROR(HistoricaIFS!L5/HistoricaIFS!L54,0)</f>
        <v>3.6626166355885248</v>
      </c>
      <c r="N30">
        <f t="shared" si="0"/>
        <v>3.975607112204953</v>
      </c>
      <c r="O30">
        <f t="shared" si="1"/>
        <v>3.7859731643682446</v>
      </c>
    </row>
    <row r="31" spans="2:15" x14ac:dyDescent="0.3">
      <c r="B31" s="39" t="s">
        <v>165</v>
      </c>
      <c r="C31" s="43">
        <f>IFERROR(HistoricaIFS!C5/SUM(HistoricaIFS!C47:C48),0)</f>
        <v>5.6455762805503671</v>
      </c>
      <c r="D31" s="43">
        <f>IFERROR(HistoricaIFS!D5/SUM(HistoricaIFS!D47:D48),0)</f>
        <v>3.0969238217701172</v>
      </c>
      <c r="E31" s="43">
        <f>IFERROR(HistoricaIFS!E5/SUM(HistoricaIFS!E47:E48),0)</f>
        <v>3.2197556248059027</v>
      </c>
      <c r="F31" s="43">
        <f>IFERROR(HistoricaIFS!F5/SUM(HistoricaIFS!F47:F48),0)</f>
        <v>3.5802593311796977</v>
      </c>
      <c r="G31" s="43">
        <f>IFERROR(HistoricaIFS!G5/SUM(HistoricaIFS!G47:G48),0)</f>
        <v>2.2446555605095426</v>
      </c>
      <c r="H31" s="43">
        <f>IFERROR(HistoricaIFS!H5/SUM(HistoricaIFS!H47:H48),0)</f>
        <v>1.9815852478432268</v>
      </c>
      <c r="I31" s="43">
        <f>IFERROR(HistoricaIFS!I5/SUM(HistoricaIFS!I47:I48),0)</f>
        <v>2.2647379226240782</v>
      </c>
      <c r="J31" s="43">
        <f>IFERROR(HistoricaIFS!J5/SUM(HistoricaIFS!J47:J48),0)</f>
        <v>2.6643671441099093</v>
      </c>
      <c r="K31" s="43">
        <f>IFERROR(HistoricaIFS!K5/SUM(HistoricaIFS!K47:K48),0)</f>
        <v>2.716296873111411</v>
      </c>
      <c r="L31" s="43">
        <f>IFERROR(HistoricaIFS!L5/SUM(HistoricaIFS!L47:L48),0)</f>
        <v>2.770148522360024</v>
      </c>
      <c r="N31">
        <f t="shared" si="0"/>
        <v>2.726525560923768</v>
      </c>
      <c r="O31">
        <f t="shared" si="1"/>
        <v>2.716296873111411</v>
      </c>
    </row>
    <row r="33" spans="2:15" x14ac:dyDescent="0.3">
      <c r="B33" s="36" t="s">
        <v>167</v>
      </c>
      <c r="C33" s="46">
        <f>IFERROR(365/C27,0)</f>
        <v>0.35803657138596606</v>
      </c>
      <c r="D33" s="46">
        <f t="shared" ref="D33:L33" si="4">IFERROR(365/D27,0)</f>
        <v>0.64424216445195281</v>
      </c>
      <c r="E33" s="46">
        <f t="shared" si="4"/>
        <v>0.81385200755660803</v>
      </c>
      <c r="F33" s="46">
        <f t="shared" si="4"/>
        <v>1.1744870659231013</v>
      </c>
      <c r="G33" s="46">
        <f t="shared" si="4"/>
        <v>0.28691968701498183</v>
      </c>
      <c r="H33" s="46">
        <f t="shared" si="4"/>
        <v>0.65885186053466294</v>
      </c>
      <c r="I33" s="46">
        <f t="shared" si="4"/>
        <v>0.7881791448744474</v>
      </c>
      <c r="J33" s="46">
        <f t="shared" si="4"/>
        <v>0.52961328267610597</v>
      </c>
      <c r="K33" s="46">
        <f t="shared" si="4"/>
        <v>1.1956378991207319</v>
      </c>
      <c r="L33" s="46">
        <f t="shared" si="4"/>
        <v>0.94567375444442658</v>
      </c>
      <c r="N33">
        <f t="shared" si="0"/>
        <v>0.78193965184411318</v>
      </c>
      <c r="O33">
        <f t="shared" si="1"/>
        <v>0.7881791448744474</v>
      </c>
    </row>
    <row r="34" spans="2:15" x14ac:dyDescent="0.3">
      <c r="B34" t="s">
        <v>168</v>
      </c>
      <c r="C34" s="47">
        <f>IFERROR(365/C28,0)</f>
        <v>16.531764634612337</v>
      </c>
      <c r="D34" s="47">
        <f t="shared" ref="D34:L34" si="5">IFERROR(365/D28,0)</f>
        <v>14.731057263168511</v>
      </c>
      <c r="E34" s="47">
        <f t="shared" si="5"/>
        <v>13.109038661096772</v>
      </c>
      <c r="F34" s="47">
        <f t="shared" si="5"/>
        <v>13.098714690479952</v>
      </c>
      <c r="G34" s="47">
        <f t="shared" si="5"/>
        <v>9.7336953462376652</v>
      </c>
      <c r="H34" s="47">
        <f t="shared" si="5"/>
        <v>16.306961503637069</v>
      </c>
      <c r="I34" s="47">
        <f t="shared" si="5"/>
        <v>13.508275851159615</v>
      </c>
      <c r="J34" s="47">
        <f t="shared" si="5"/>
        <v>11.782021103858209</v>
      </c>
      <c r="K34" s="47">
        <f t="shared" si="5"/>
        <v>13.528811354780176</v>
      </c>
      <c r="L34" s="47">
        <f t="shared" si="5"/>
        <v>12.70046185816414</v>
      </c>
      <c r="N34">
        <f t="shared" si="0"/>
        <v>13.166559736953568</v>
      </c>
      <c r="O34">
        <f t="shared" si="1"/>
        <v>13.109038661096772</v>
      </c>
    </row>
    <row r="35" spans="2:15" x14ac:dyDescent="0.3">
      <c r="B35" t="s">
        <v>169</v>
      </c>
      <c r="C35" s="47">
        <f>IFERROR(365/C29,0)</f>
        <v>28.561708388864552</v>
      </c>
      <c r="D35" s="47">
        <f t="shared" ref="D35:L35" si="6">IFERROR(365/D29,0)</f>
        <v>29.079864175428863</v>
      </c>
      <c r="E35" s="47">
        <f t="shared" si="6"/>
        <v>28.248094218130536</v>
      </c>
      <c r="F35" s="47">
        <f t="shared" si="6"/>
        <v>29.351229122218378</v>
      </c>
      <c r="G35" s="47">
        <f t="shared" si="6"/>
        <v>28.580429590433528</v>
      </c>
      <c r="H35" s="47">
        <f t="shared" si="6"/>
        <v>33.989983042746033</v>
      </c>
      <c r="I35" s="47">
        <f t="shared" si="6"/>
        <v>32.317348086131737</v>
      </c>
      <c r="J35" s="47">
        <f t="shared" si="6"/>
        <v>27.634975709367698</v>
      </c>
      <c r="K35" s="47">
        <f t="shared" si="6"/>
        <v>28.224082933196133</v>
      </c>
      <c r="L35" s="47">
        <f t="shared" si="6"/>
        <v>31.018455794959571</v>
      </c>
      <c r="N35">
        <f t="shared" si="0"/>
        <v>29.827162519179165</v>
      </c>
      <c r="O35">
        <f t="shared" si="1"/>
        <v>29.079864175428863</v>
      </c>
    </row>
    <row r="36" spans="2:15" x14ac:dyDescent="0.3">
      <c r="B36" s="39" t="s">
        <v>170</v>
      </c>
      <c r="C36" s="48">
        <f>C34-SUM(C33,C35)</f>
        <v>-12.387980325638182</v>
      </c>
      <c r="D36" s="48">
        <f t="shared" ref="D36:L36" si="7">D34-SUM(D33,D35)</f>
        <v>-14.993049076712305</v>
      </c>
      <c r="E36" s="48">
        <f t="shared" si="7"/>
        <v>-15.952907564590372</v>
      </c>
      <c r="F36" s="48">
        <f t="shared" si="7"/>
        <v>-17.427001497661529</v>
      </c>
      <c r="G36" s="48">
        <f t="shared" si="7"/>
        <v>-19.133653931210844</v>
      </c>
      <c r="H36" s="48">
        <f t="shared" si="7"/>
        <v>-18.341873399643625</v>
      </c>
      <c r="I36" s="48">
        <f t="shared" si="7"/>
        <v>-19.597251379846568</v>
      </c>
      <c r="J36" s="48">
        <f t="shared" si="7"/>
        <v>-16.382567888185594</v>
      </c>
      <c r="K36" s="48">
        <f t="shared" si="7"/>
        <v>-15.89090947753669</v>
      </c>
      <c r="L36" s="48">
        <f t="shared" si="7"/>
        <v>-19.26366769123986</v>
      </c>
      <c r="N36">
        <f t="shared" si="0"/>
        <v>-17.442542434069708</v>
      </c>
      <c r="O36">
        <f t="shared" si="1"/>
        <v>-17.427001497661529</v>
      </c>
    </row>
    <row r="38" spans="2:15" x14ac:dyDescent="0.3">
      <c r="B38" s="36" t="s">
        <v>171</v>
      </c>
      <c r="C38" s="37">
        <f>IFERROR(HistoricaIFS!C81/HistoricaIFS!C5,0)</f>
        <v>3.2503238673961057E-2</v>
      </c>
      <c r="D38" s="37">
        <f>IFERROR(HistoricaIFS!D81/HistoricaIFS!D5,0)</f>
        <v>2.8408852131084156E-2</v>
      </c>
      <c r="E38" s="37">
        <f>IFERROR(HistoricaIFS!E81/HistoricaIFS!E5,0)</f>
        <v>3.924646781789639E-2</v>
      </c>
      <c r="F38" s="37">
        <f>IFERROR(HistoricaIFS!F81/HistoricaIFS!F5,0)</f>
        <v>3.3392453305552947E-2</v>
      </c>
      <c r="G38" s="37">
        <f>IFERROR(HistoricaIFS!G81/HistoricaIFS!G5,0)</f>
        <v>4.5074024334343911E-2</v>
      </c>
      <c r="H38" s="37">
        <f>IFERROR(HistoricaIFS!H81/HistoricaIFS!H5,0)</f>
        <v>5.1194836114394779E-2</v>
      </c>
      <c r="I38" s="37">
        <f>IFERROR(HistoricaIFS!I81/HistoricaIFS!I5,0)</f>
        <v>5.5494092736149317E-2</v>
      </c>
      <c r="J38" s="37">
        <f>IFERROR(HistoricaIFS!J81/HistoricaIFS!J5,0)</f>
        <v>3.9169403233833403E-2</v>
      </c>
      <c r="K38" s="37">
        <f>IFERROR(HistoricaIFS!K81/HistoricaIFS!K5,0)</f>
        <v>3.6622225792561081E-2</v>
      </c>
      <c r="L38" s="37">
        <f>IFERROR(HistoricaIFS!L81/HistoricaIFS!L5,0)</f>
        <v>5.6454010871313999E-2</v>
      </c>
      <c r="N38">
        <f t="shared" si="0"/>
        <v>4.2784040704125552E-2</v>
      </c>
      <c r="O38">
        <f t="shared" si="1"/>
        <v>3.924646781789639E-2</v>
      </c>
    </row>
    <row r="39" spans="2:15" x14ac:dyDescent="0.3">
      <c r="B39" t="s">
        <v>172</v>
      </c>
      <c r="C39" s="38">
        <f>IFERROR(HistoricaIFS!C81/HistoricaIFS!C66,0)</f>
        <v>8.9954732457215081E-2</v>
      </c>
      <c r="D39" s="38">
        <f>IFERROR(HistoricaIFS!D81/HistoricaIFS!D66,0)</f>
        <v>5.808278687397754E-2</v>
      </c>
      <c r="E39" s="38">
        <f>IFERROR(HistoricaIFS!E81/HistoricaIFS!E66,0)</f>
        <v>0.10445768755466325</v>
      </c>
      <c r="F39" s="38">
        <f>IFERROR(HistoricaIFS!F81/HistoricaIFS!F66,0)</f>
        <v>9.5353650703019058E-2</v>
      </c>
      <c r="G39" s="38">
        <f>IFERROR(HistoricaIFS!G81/HistoricaIFS!G66,0)</f>
        <v>9.2827521331284121E-2</v>
      </c>
      <c r="H39" s="38">
        <f>IFERROR(HistoricaIFS!H81/HistoricaIFS!H66,0)</f>
        <v>9.0515962958758842E-2</v>
      </c>
      <c r="I39" s="38">
        <f>IFERROR(HistoricaIFS!I81/HistoricaIFS!I66,0)</f>
        <v>0.11111125474921432</v>
      </c>
      <c r="J39" s="38">
        <f>IFERROR(HistoricaIFS!J81/HistoricaIFS!J66,0)</f>
        <v>9.268403691453847E-2</v>
      </c>
      <c r="K39" s="38">
        <f>IFERROR(HistoricaIFS!K81/HistoricaIFS!K66,0)</f>
        <v>8.7849888156701528E-2</v>
      </c>
      <c r="L39" s="38">
        <f>IFERROR(HistoricaIFS!L81/HistoricaIFS!L66,0)</f>
        <v>0.13782874685659147</v>
      </c>
      <c r="N39">
        <f t="shared" si="0"/>
        <v>9.6745726233194301E-2</v>
      </c>
      <c r="O39">
        <f t="shared" si="1"/>
        <v>9.2827521331284121E-2</v>
      </c>
    </row>
    <row r="40" spans="2:15" x14ac:dyDescent="0.3">
      <c r="B40" s="39" t="s">
        <v>173</v>
      </c>
      <c r="C40" s="40">
        <f>IFERROR(HistoricaIFS!C81/HistoricaIFS!C49,0)</f>
        <v>0.23399365952664511</v>
      </c>
      <c r="D40" s="40">
        <f>IFERROR(HistoricaIFS!D81/HistoricaIFS!D49,0)</f>
        <v>0.225736649480405</v>
      </c>
      <c r="E40" s="40">
        <f>IFERROR(HistoricaIFS!E81/HistoricaIFS!E49,0)</f>
        <v>1.3431986340352875</v>
      </c>
      <c r="F40" s="40">
        <f>IFERROR(HistoricaIFS!F81/HistoricaIFS!F49,0)</f>
        <v>0.95408126829965012</v>
      </c>
      <c r="G40" s="40">
        <f>IFERROR(HistoricaIFS!G81/HistoricaIFS!G49,0)</f>
        <v>3.3644467120861972</v>
      </c>
      <c r="H40" s="40">
        <f>IFERROR(HistoricaIFS!H81/HistoricaIFS!H49,0)</f>
        <v>3.1473606478062695</v>
      </c>
      <c r="I40" s="40">
        <f>IFERROR(HistoricaIFS!I81/HistoricaIFS!I49,0)</f>
        <v>2.6571243082820661</v>
      </c>
      <c r="J40" s="40">
        <f>IFERROR(HistoricaIFS!J81/HistoricaIFS!J49,0)</f>
        <v>2.6097234750692091</v>
      </c>
      <c r="K40" s="40">
        <f>IFERROR(HistoricaIFS!K81/HistoricaIFS!K49,0)</f>
        <v>3.1410429613617943</v>
      </c>
      <c r="L40" s="40">
        <f>IFERROR(HistoricaIFS!L81/HistoricaIFS!L49,0)</f>
        <v>4.0884800273297381</v>
      </c>
      <c r="N40">
        <f t="shared" si="0"/>
        <v>2.3923549648611795</v>
      </c>
      <c r="O40">
        <f t="shared" si="1"/>
        <v>2.6571243082820661</v>
      </c>
    </row>
  </sheetData>
  <mergeCells count="1">
    <mergeCell ref="B2:O2"/>
  </mergeCells>
  <pageMargins left="0.7" right="0.7" top="0.75" bottom="0.75" header="0.3" footer="0.3"/>
  <pageSetup orientation="portrait" r:id="rId1"/>
  <extLst>
    <ext xmlns:x14="http://schemas.microsoft.com/office/spreadsheetml/2009/9/main" uri="{05C60535-1F16-4fd2-B633-F4F36F0B64E0}">
      <x14:sparklineGroups xmlns:xm="http://schemas.microsoft.com/office/excel/2006/main">
        <x14:sparklineGroup displayEmptyCellsAs="gap" xr2:uid="{E4CD4BE1-D613-4E5E-94F4-FF45650E1313}">
          <x14:colorSeries rgb="FF376092"/>
          <x14:colorNegative rgb="FFD00000"/>
          <x14:colorAxis rgb="FF000000"/>
          <x14:colorMarkers rgb="FFD00000"/>
          <x14:colorFirst rgb="FFD00000"/>
          <x14:colorLast rgb="FFD00000"/>
          <x14:colorHigh rgb="FFD00000"/>
          <x14:colorLow rgb="FFD00000"/>
          <x14:sparklines>
            <x14:sparkline>
              <xm:f>'Ratio Analysis'!D6:L6</xm:f>
              <xm:sqref>M6</xm:sqref>
            </x14:sparkline>
            <x14:sparkline>
              <xm:f>'Ratio Analysis'!D7:L7</xm:f>
              <xm:sqref>M7</xm:sqref>
            </x14:sparkline>
            <x14:sparkline>
              <xm:f>'Ratio Analysis'!D8:L8</xm:f>
              <xm:sqref>M8</xm:sqref>
            </x14:sparkline>
            <x14:sparkline>
              <xm:f>'Ratio Analysis'!D9:L9</xm:f>
              <xm:sqref>M9</xm:sqref>
            </x14:sparkline>
            <x14:sparkline>
              <xm:f>'Ratio Analysis'!D10:L10</xm:f>
              <xm:sqref>M10</xm:sqref>
            </x14:sparkline>
            <x14:sparkline>
              <xm:f>'Ratio Analysis'!D11:L11</xm:f>
              <xm:sqref>M11</xm:sqref>
            </x14:sparkline>
            <x14:sparkline>
              <xm:f>'Ratio Analysis'!D12:L12</xm:f>
              <xm:sqref>M12</xm:sqref>
            </x14:sparkline>
            <x14:sparkline>
              <xm:f>'Ratio Analysis'!D13:L13</xm:f>
              <xm:sqref>M13</xm:sqref>
            </x14:sparkline>
            <x14:sparkline>
              <xm:f>'Ratio Analysis'!D14:L14</xm:f>
              <xm:sqref>M14</xm:sqref>
            </x14:sparkline>
            <x14:sparkline>
              <xm:f>'Ratio Analysis'!D15:L15</xm:f>
              <xm:sqref>M15</xm:sqref>
            </x14:sparkline>
            <x14:sparkline>
              <xm:f>'Ratio Analysis'!D16:L16</xm:f>
              <xm:sqref>M16</xm:sqref>
            </x14:sparkline>
            <x14:sparkline>
              <xm:f>'Ratio Analysis'!D17:L17</xm:f>
              <xm:sqref>M17</xm:sqref>
            </x14:sparkline>
            <x14:sparkline>
              <xm:f>'Ratio Analysis'!D18:L18</xm:f>
              <xm:sqref>M18</xm:sqref>
            </x14:sparkline>
            <x14:sparkline>
              <xm:f>'Ratio Analysis'!D19:L19</xm:f>
              <xm:sqref>M19</xm:sqref>
            </x14:sparkline>
            <x14:sparkline>
              <xm:f>'Ratio Analysis'!D20:L20</xm:f>
              <xm:sqref>M20</xm:sqref>
            </x14:sparkline>
            <x14:sparkline>
              <xm:f>'Ratio Analysis'!D21:L21</xm:f>
              <xm:sqref>M21</xm:sqref>
            </x14:sparkline>
            <x14:sparkline>
              <xm:f>'Ratio Analysis'!D22:L22</xm:f>
              <xm:sqref>M22</xm:sqref>
            </x14:sparkline>
            <x14:sparkline>
              <xm:f>'Ratio Analysis'!D23:L23</xm:f>
              <xm:sqref>M23</xm:sqref>
            </x14:sparkline>
            <x14:sparkline>
              <xm:f>'Ratio Analysis'!D24:L24</xm:f>
              <xm:sqref>M24</xm:sqref>
            </x14:sparkline>
            <x14:sparkline>
              <xm:f>'Ratio Analysis'!D25:L25</xm:f>
              <xm:sqref>M25</xm:sqref>
            </x14:sparkline>
            <x14:sparkline>
              <xm:f>'Ratio Analysis'!D26:L26</xm:f>
              <xm:sqref>M26</xm:sqref>
            </x14:sparkline>
            <x14:sparkline>
              <xm:f>'Ratio Analysis'!D27:L27</xm:f>
              <xm:sqref>M27</xm:sqref>
            </x14:sparkline>
            <x14:sparkline>
              <xm:f>'Ratio Analysis'!D28:L28</xm:f>
              <xm:sqref>M28</xm:sqref>
            </x14:sparkline>
            <x14:sparkline>
              <xm:f>'Ratio Analysis'!D29:L29</xm:f>
              <xm:sqref>M29</xm:sqref>
            </x14:sparkline>
            <x14:sparkline>
              <xm:f>'Ratio Analysis'!D30:L30</xm:f>
              <xm:sqref>M30</xm:sqref>
            </x14:sparkline>
            <x14:sparkline>
              <xm:f>'Ratio Analysis'!D31:L31</xm:f>
              <xm:sqref>M31</xm:sqref>
            </x14:sparkline>
            <x14:sparkline>
              <xm:f>'Ratio Analysis'!D32:L32</xm:f>
              <xm:sqref>M32</xm:sqref>
            </x14:sparkline>
            <x14:sparkline>
              <xm:f>'Ratio Analysis'!D33:L33</xm:f>
              <xm:sqref>M33</xm:sqref>
            </x14:sparkline>
            <x14:sparkline>
              <xm:f>'Ratio Analysis'!D34:L34</xm:f>
              <xm:sqref>M34</xm:sqref>
            </x14:sparkline>
            <x14:sparkline>
              <xm:f>'Ratio Analysis'!D35:L35</xm:f>
              <xm:sqref>M35</xm:sqref>
            </x14:sparkline>
            <x14:sparkline>
              <xm:f>'Ratio Analysis'!D36:L36</xm:f>
              <xm:sqref>M36</xm:sqref>
            </x14:sparkline>
            <x14:sparkline>
              <xm:f>'Ratio Analysis'!D37:L37</xm:f>
              <xm:sqref>M37</xm:sqref>
            </x14:sparkline>
            <x14:sparkline>
              <xm:f>'Ratio Analysis'!D38:L38</xm:f>
              <xm:sqref>M38</xm:sqref>
            </x14:sparkline>
            <x14:sparkline>
              <xm:f>'Ratio Analysis'!D39:L39</xm:f>
              <xm:sqref>M39</xm:sqref>
            </x14:sparkline>
            <x14:sparkline>
              <xm:f>'Ratio Analysis'!D40:L40</xm:f>
              <xm:sqref>M40</xm:sqref>
            </x14:sparkline>
          </x14:sparklines>
        </x14:sparklineGroup>
        <x14:sparklineGroup displayEmptyCellsAs="gap" xr2:uid="{5F0DB809-2E9C-4F95-9BEF-A95EA0CF014C}">
          <x14:colorSeries rgb="FF376092"/>
          <x14:colorNegative rgb="FFD00000"/>
          <x14:colorAxis rgb="FF000000"/>
          <x14:colorMarkers rgb="FFD00000"/>
          <x14:colorFirst rgb="FFD00000"/>
          <x14:colorLast rgb="FFD00000"/>
          <x14:colorHigh rgb="FFD00000"/>
          <x14:colorLow rgb="FFD00000"/>
          <x14:sparklines>
            <x14:sparkline>
              <xm:f>'Ratio Analysis'!D5:L5</xm:f>
              <xm:sqref>M5</xm:sqref>
            </x14:sparkline>
          </x14:sparklines>
        </x14:sparklineGroup>
      </x14:sparklineGroups>
    </ext>
  </extLst>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561C8E-8D51-4463-A602-29B1B9FA051C}">
  <dimension ref="B2:P43"/>
  <sheetViews>
    <sheetView workbookViewId="0">
      <selection activeCell="C4" sqref="C4"/>
    </sheetView>
  </sheetViews>
  <sheetFormatPr defaultRowHeight="14.4" x14ac:dyDescent="0.3"/>
  <cols>
    <col min="2" max="2" width="34.109375" bestFit="1" customWidth="1"/>
    <col min="3" max="13" width="9.21875" bestFit="1" customWidth="1"/>
  </cols>
  <sheetData>
    <row r="2" spans="2:16" ht="15" thickBot="1" x14ac:dyDescent="0.35">
      <c r="B2" s="29"/>
      <c r="C2" s="29"/>
      <c r="D2" s="29"/>
      <c r="E2" s="29"/>
      <c r="F2" s="29"/>
      <c r="G2" s="29"/>
      <c r="H2" s="29"/>
      <c r="I2" s="29"/>
      <c r="J2" s="29"/>
      <c r="K2" s="29"/>
      <c r="L2" s="29"/>
      <c r="M2" s="28"/>
    </row>
    <row r="3" spans="2:16" ht="15" thickBot="1" x14ac:dyDescent="0.35">
      <c r="C3" s="145">
        <v>41699</v>
      </c>
      <c r="D3" s="145">
        <v>42064</v>
      </c>
      <c r="E3" s="145">
        <v>42430</v>
      </c>
      <c r="F3" s="145">
        <v>42795</v>
      </c>
      <c r="G3" s="145">
        <v>43160</v>
      </c>
      <c r="H3" s="145">
        <v>43525</v>
      </c>
      <c r="I3" s="145">
        <v>43891</v>
      </c>
      <c r="J3" s="145">
        <v>44256</v>
      </c>
      <c r="K3" s="145">
        <v>44621</v>
      </c>
      <c r="L3" s="145">
        <v>44986</v>
      </c>
      <c r="M3" s="145">
        <v>45352</v>
      </c>
      <c r="N3" s="145">
        <v>45717</v>
      </c>
    </row>
    <row r="4" spans="2:16" ht="15" thickBot="1" x14ac:dyDescent="0.35">
      <c r="B4" s="146" t="s">
        <v>346</v>
      </c>
      <c r="C4" s="147">
        <v>198</v>
      </c>
      <c r="D4" s="147">
        <v>222</v>
      </c>
      <c r="E4" s="147">
        <v>433</v>
      </c>
      <c r="F4" s="147">
        <v>455</v>
      </c>
      <c r="G4" s="147">
        <v>730</v>
      </c>
      <c r="H4" s="147">
        <v>807</v>
      </c>
      <c r="I4" s="148">
        <v>1280</v>
      </c>
      <c r="J4" s="148">
        <v>1375</v>
      </c>
      <c r="K4" s="148">
        <v>1372</v>
      </c>
      <c r="L4" s="148">
        <v>2630</v>
      </c>
      <c r="M4" s="148">
        <v>2746</v>
      </c>
      <c r="N4" s="148">
        <v>2463</v>
      </c>
    </row>
    <row r="5" spans="2:16" x14ac:dyDescent="0.3">
      <c r="B5" s="149" t="s">
        <v>115</v>
      </c>
      <c r="C5" s="147">
        <v>356</v>
      </c>
      <c r="D5" s="147">
        <v>474</v>
      </c>
      <c r="E5" s="147">
        <v>666</v>
      </c>
      <c r="F5" s="147">
        <v>984</v>
      </c>
      <c r="G5" s="148">
        <v>1375</v>
      </c>
      <c r="H5" s="148">
        <v>1659</v>
      </c>
      <c r="I5" s="148">
        <v>2149</v>
      </c>
      <c r="J5" s="148">
        <v>1764</v>
      </c>
      <c r="K5" s="148">
        <v>2515</v>
      </c>
      <c r="L5" s="148">
        <v>3659</v>
      </c>
      <c r="M5" s="148">
        <v>4131</v>
      </c>
      <c r="N5" s="148">
        <v>4535</v>
      </c>
    </row>
    <row r="6" spans="2:16" x14ac:dyDescent="0.3">
      <c r="B6" s="77" t="s">
        <v>69</v>
      </c>
      <c r="C6" s="150">
        <v>4</v>
      </c>
      <c r="D6" s="150">
        <v>2</v>
      </c>
      <c r="E6" s="150">
        <v>-1</v>
      </c>
      <c r="F6" s="150">
        <v>54</v>
      </c>
      <c r="G6" s="150">
        <v>-13</v>
      </c>
      <c r="H6" s="150">
        <v>-31</v>
      </c>
      <c r="I6" s="150">
        <v>45</v>
      </c>
      <c r="J6" s="150">
        <v>-24</v>
      </c>
      <c r="K6" s="150">
        <v>-23</v>
      </c>
      <c r="L6" s="150">
        <v>5</v>
      </c>
      <c r="M6" s="150">
        <v>-104</v>
      </c>
      <c r="N6" s="150">
        <v>13</v>
      </c>
    </row>
    <row r="7" spans="2:16" x14ac:dyDescent="0.3">
      <c r="B7" s="77" t="s">
        <v>45</v>
      </c>
      <c r="C7" s="150">
        <v>-102</v>
      </c>
      <c r="D7" s="150">
        <v>-161</v>
      </c>
      <c r="E7" s="150">
        <v>-132</v>
      </c>
      <c r="F7" s="150">
        <v>-276</v>
      </c>
      <c r="G7" s="150">
        <v>-212</v>
      </c>
      <c r="H7" s="150">
        <v>-445</v>
      </c>
      <c r="I7" s="150">
        <v>-339</v>
      </c>
      <c r="J7" s="150">
        <v>-301</v>
      </c>
      <c r="K7" s="150">
        <v>-494</v>
      </c>
      <c r="L7" s="150">
        <v>-501</v>
      </c>
      <c r="M7" s="150">
        <v>-684</v>
      </c>
      <c r="N7" s="151">
        <v>-1117</v>
      </c>
      <c r="O7" s="32"/>
      <c r="P7" s="32"/>
    </row>
    <row r="8" spans="2:16" x14ac:dyDescent="0.3">
      <c r="B8" s="77" t="s">
        <v>116</v>
      </c>
      <c r="C8" s="150">
        <v>28</v>
      </c>
      <c r="D8" s="150">
        <v>-4</v>
      </c>
      <c r="E8" s="150">
        <v>72</v>
      </c>
      <c r="F8" s="150">
        <v>0</v>
      </c>
      <c r="G8" s="150">
        <v>55</v>
      </c>
      <c r="H8" s="150">
        <v>146</v>
      </c>
      <c r="I8" s="150">
        <v>-30</v>
      </c>
      <c r="J8" s="150">
        <v>145</v>
      </c>
      <c r="K8" s="150">
        <v>11</v>
      </c>
      <c r="L8" s="150">
        <v>165</v>
      </c>
      <c r="M8" s="150">
        <v>231</v>
      </c>
      <c r="N8" s="150">
        <v>86</v>
      </c>
      <c r="O8" s="32"/>
    </row>
    <row r="9" spans="2:16" x14ac:dyDescent="0.3">
      <c r="B9" s="77" t="s">
        <v>117</v>
      </c>
      <c r="C9" s="150">
        <v>-18</v>
      </c>
      <c r="D9" s="150">
        <v>-5</v>
      </c>
      <c r="E9" s="150">
        <v>0</v>
      </c>
      <c r="F9" s="150">
        <v>0</v>
      </c>
      <c r="G9" s="150">
        <v>0</v>
      </c>
      <c r="H9" s="150">
        <v>0</v>
      </c>
      <c r="I9" s="150">
        <v>0</v>
      </c>
      <c r="J9" s="150">
        <v>0</v>
      </c>
      <c r="K9" s="150">
        <v>0</v>
      </c>
      <c r="L9" s="150">
        <v>0</v>
      </c>
      <c r="M9" s="150">
        <v>0</v>
      </c>
      <c r="N9" s="150">
        <v>0</v>
      </c>
      <c r="O9" s="32"/>
    </row>
    <row r="10" spans="2:16" x14ac:dyDescent="0.3">
      <c r="B10" s="77" t="s">
        <v>347</v>
      </c>
      <c r="C10" s="150">
        <v>0</v>
      </c>
      <c r="D10" s="150">
        <v>0</v>
      </c>
      <c r="E10" s="150">
        <v>0</v>
      </c>
      <c r="F10" s="150">
        <v>-2</v>
      </c>
      <c r="G10" s="150">
        <v>-62</v>
      </c>
      <c r="H10" s="150">
        <v>52</v>
      </c>
      <c r="I10" s="150">
        <v>2</v>
      </c>
      <c r="J10" s="150">
        <v>12</v>
      </c>
      <c r="K10" s="150">
        <v>-3</v>
      </c>
      <c r="L10" s="150">
        <v>0</v>
      </c>
      <c r="M10" s="150">
        <v>0</v>
      </c>
      <c r="N10" s="150">
        <v>0</v>
      </c>
    </row>
    <row r="11" spans="2:16" ht="15" thickBot="1" x14ac:dyDescent="0.35">
      <c r="B11" s="77" t="s">
        <v>118</v>
      </c>
      <c r="C11" s="150">
        <v>6</v>
      </c>
      <c r="D11" s="150">
        <v>16</v>
      </c>
      <c r="E11" s="150">
        <v>-7</v>
      </c>
      <c r="F11" s="150">
        <v>-46</v>
      </c>
      <c r="G11" s="150">
        <v>-11</v>
      </c>
      <c r="H11" s="150">
        <v>-72</v>
      </c>
      <c r="I11" s="150">
        <v>-54</v>
      </c>
      <c r="J11" s="150">
        <v>41</v>
      </c>
      <c r="K11" s="150">
        <v>-73</v>
      </c>
      <c r="L11" s="150">
        <v>12</v>
      </c>
      <c r="M11" s="150">
        <v>-87</v>
      </c>
      <c r="N11" s="150">
        <v>-94</v>
      </c>
    </row>
    <row r="12" spans="2:16" x14ac:dyDescent="0.3">
      <c r="B12" s="149" t="s">
        <v>119</v>
      </c>
      <c r="C12" s="147">
        <v>-83</v>
      </c>
      <c r="D12" s="147">
        <v>-152</v>
      </c>
      <c r="E12" s="147">
        <v>-69</v>
      </c>
      <c r="F12" s="147">
        <v>-270</v>
      </c>
      <c r="G12" s="147">
        <v>-243</v>
      </c>
      <c r="H12" s="147">
        <v>-351</v>
      </c>
      <c r="I12" s="147">
        <v>-376</v>
      </c>
      <c r="J12" s="147">
        <v>-127</v>
      </c>
      <c r="K12" s="147">
        <v>-582</v>
      </c>
      <c r="L12" s="147">
        <v>-320</v>
      </c>
      <c r="M12" s="147">
        <v>-644</v>
      </c>
      <c r="N12" s="148">
        <v>-1113</v>
      </c>
    </row>
    <row r="13" spans="2:16" ht="15" thickBot="1" x14ac:dyDescent="0.35">
      <c r="B13" s="77" t="s">
        <v>120</v>
      </c>
      <c r="C13" s="150">
        <v>-75</v>
      </c>
      <c r="D13" s="150">
        <v>-100</v>
      </c>
      <c r="E13" s="150">
        <v>-164</v>
      </c>
      <c r="F13" s="150">
        <v>-258</v>
      </c>
      <c r="G13" s="150">
        <v>-403</v>
      </c>
      <c r="H13" s="150">
        <v>-502</v>
      </c>
      <c r="I13" s="150">
        <v>-492</v>
      </c>
      <c r="J13" s="150">
        <v>-262</v>
      </c>
      <c r="K13" s="150">
        <v>-560</v>
      </c>
      <c r="L13" s="150">
        <v>-709</v>
      </c>
      <c r="M13" s="150">
        <v>-742</v>
      </c>
      <c r="N13" s="150">
        <v>-959</v>
      </c>
    </row>
    <row r="14" spans="2:16" x14ac:dyDescent="0.3">
      <c r="B14" s="152" t="s">
        <v>348</v>
      </c>
      <c r="C14" s="153">
        <v>-270</v>
      </c>
      <c r="D14" s="153">
        <v>-474</v>
      </c>
      <c r="E14" s="153">
        <v>-633</v>
      </c>
      <c r="F14" s="154">
        <v>-2482</v>
      </c>
      <c r="G14" s="153">
        <v>464</v>
      </c>
      <c r="H14" s="153">
        <v>-958</v>
      </c>
      <c r="I14" s="154">
        <v>-4657</v>
      </c>
      <c r="J14" s="154">
        <v>-1110</v>
      </c>
      <c r="K14" s="154">
        <v>-1289</v>
      </c>
      <c r="L14" s="154">
        <v>-2313</v>
      </c>
      <c r="M14" s="154">
        <v>-2468</v>
      </c>
      <c r="N14" s="154">
        <v>-2185</v>
      </c>
    </row>
    <row r="15" spans="2:16" x14ac:dyDescent="0.3">
      <c r="B15" s="78" t="s">
        <v>121</v>
      </c>
      <c r="C15" s="155">
        <v>-272</v>
      </c>
      <c r="D15" s="155">
        <v>-477</v>
      </c>
      <c r="E15" s="155">
        <v>0</v>
      </c>
      <c r="F15" s="155">
        <v>-645</v>
      </c>
      <c r="G15" s="155">
        <v>-916</v>
      </c>
      <c r="H15" s="156">
        <v>-1417</v>
      </c>
      <c r="I15" s="156">
        <v>-1712</v>
      </c>
      <c r="J15" s="156">
        <v>-2029</v>
      </c>
      <c r="K15" s="156">
        <v>-2410</v>
      </c>
      <c r="L15" s="156">
        <v>-2212</v>
      </c>
      <c r="M15" s="156">
        <v>-2731</v>
      </c>
      <c r="N15" s="156">
        <v>-3423</v>
      </c>
    </row>
    <row r="16" spans="2:16" x14ac:dyDescent="0.3">
      <c r="B16" s="78" t="s">
        <v>122</v>
      </c>
      <c r="C16" s="155">
        <v>1</v>
      </c>
      <c r="D16" s="155">
        <v>0</v>
      </c>
      <c r="E16" s="155">
        <v>2</v>
      </c>
      <c r="F16" s="155">
        <v>10</v>
      </c>
      <c r="G16" s="155">
        <v>7</v>
      </c>
      <c r="H16" s="155">
        <v>8</v>
      </c>
      <c r="I16" s="155">
        <v>6</v>
      </c>
      <c r="J16" s="155">
        <v>2</v>
      </c>
      <c r="K16" s="155">
        <v>21</v>
      </c>
      <c r="L16" s="155">
        <v>5</v>
      </c>
      <c r="M16" s="155">
        <v>9</v>
      </c>
      <c r="N16" s="155">
        <v>6</v>
      </c>
    </row>
    <row r="17" spans="2:14" x14ac:dyDescent="0.3">
      <c r="B17" s="78" t="s">
        <v>123</v>
      </c>
      <c r="C17" s="155">
        <v>-644</v>
      </c>
      <c r="D17" s="156">
        <v>-2901</v>
      </c>
      <c r="E17" s="155">
        <v>-638</v>
      </c>
      <c r="F17" s="155">
        <v>0</v>
      </c>
      <c r="G17" s="155">
        <v>0</v>
      </c>
      <c r="H17" s="155">
        <v>0</v>
      </c>
      <c r="I17" s="155">
        <v>0</v>
      </c>
      <c r="J17" s="155">
        <v>0</v>
      </c>
      <c r="K17" s="155">
        <v>0</v>
      </c>
      <c r="L17" s="155">
        <v>-193</v>
      </c>
      <c r="M17" s="156">
        <v>-4201</v>
      </c>
      <c r="N17" s="156">
        <v>-4948</v>
      </c>
    </row>
    <row r="18" spans="2:14" x14ac:dyDescent="0.3">
      <c r="B18" s="78" t="s">
        <v>124</v>
      </c>
      <c r="C18" s="155">
        <v>645</v>
      </c>
      <c r="D18" s="156">
        <v>2904</v>
      </c>
      <c r="E18" s="155">
        <v>0</v>
      </c>
      <c r="F18" s="155">
        <v>0</v>
      </c>
      <c r="G18" s="156">
        <v>1376</v>
      </c>
      <c r="H18" s="155">
        <v>410</v>
      </c>
      <c r="I18" s="155">
        <v>232</v>
      </c>
      <c r="J18" s="155">
        <v>3</v>
      </c>
      <c r="K18" s="155">
        <v>4</v>
      </c>
      <c r="L18" s="155">
        <v>6</v>
      </c>
      <c r="M18" s="156">
        <v>4324</v>
      </c>
      <c r="N18" s="156">
        <v>5074</v>
      </c>
    </row>
    <row r="19" spans="2:14" x14ac:dyDescent="0.3">
      <c r="B19" s="78" t="s">
        <v>349</v>
      </c>
      <c r="C19" s="155">
        <v>0</v>
      </c>
      <c r="D19" s="155">
        <v>0</v>
      </c>
      <c r="E19" s="155">
        <v>3</v>
      </c>
      <c r="F19" s="155">
        <v>8</v>
      </c>
      <c r="G19" s="155">
        <v>0</v>
      </c>
      <c r="H19" s="155">
        <v>0</v>
      </c>
      <c r="I19" s="155">
        <v>0</v>
      </c>
      <c r="J19" s="155">
        <v>0</v>
      </c>
      <c r="K19" s="155">
        <v>0</v>
      </c>
      <c r="L19" s="155">
        <v>0</v>
      </c>
      <c r="M19" s="155">
        <v>0</v>
      </c>
      <c r="N19" s="155">
        <v>0</v>
      </c>
    </row>
    <row r="20" spans="2:14" x14ac:dyDescent="0.3">
      <c r="B20" s="78" t="s">
        <v>125</v>
      </c>
      <c r="C20" s="155">
        <v>0</v>
      </c>
      <c r="D20" s="155">
        <v>0</v>
      </c>
      <c r="E20" s="155">
        <v>1</v>
      </c>
      <c r="F20" s="155">
        <v>1</v>
      </c>
      <c r="G20" s="155">
        <v>31</v>
      </c>
      <c r="H20" s="155">
        <v>36</v>
      </c>
      <c r="I20" s="155">
        <v>12</v>
      </c>
      <c r="J20" s="155">
        <v>129</v>
      </c>
      <c r="K20" s="155">
        <v>43</v>
      </c>
      <c r="L20" s="155">
        <v>39</v>
      </c>
      <c r="M20" s="155">
        <v>262</v>
      </c>
      <c r="N20" s="155">
        <v>103</v>
      </c>
    </row>
    <row r="21" spans="2:14" x14ac:dyDescent="0.3">
      <c r="B21" s="78" t="s">
        <v>126</v>
      </c>
      <c r="C21" s="155">
        <v>0</v>
      </c>
      <c r="D21" s="155">
        <v>0</v>
      </c>
      <c r="E21" s="155">
        <v>0</v>
      </c>
      <c r="F21" s="155">
        <v>0</v>
      </c>
      <c r="G21" s="155">
        <v>0</v>
      </c>
      <c r="H21" s="155">
        <v>0</v>
      </c>
      <c r="I21" s="155">
        <v>0</v>
      </c>
      <c r="J21" s="155">
        <v>0</v>
      </c>
      <c r="K21" s="155">
        <v>0</v>
      </c>
      <c r="L21" s="155">
        <v>0</v>
      </c>
      <c r="M21" s="155">
        <v>0</v>
      </c>
      <c r="N21" s="155">
        <v>0</v>
      </c>
    </row>
    <row r="22" spans="2:14" x14ac:dyDescent="0.3">
      <c r="B22" s="78" t="s">
        <v>127</v>
      </c>
      <c r="C22" s="155">
        <v>0</v>
      </c>
      <c r="D22" s="155">
        <v>0</v>
      </c>
      <c r="E22" s="155">
        <v>-14</v>
      </c>
      <c r="F22" s="155">
        <v>-21</v>
      </c>
      <c r="G22" s="155">
        <v>-49</v>
      </c>
      <c r="H22" s="155">
        <v>0</v>
      </c>
      <c r="I22" s="155">
        <v>0</v>
      </c>
      <c r="J22" s="155">
        <v>0</v>
      </c>
      <c r="K22" s="155">
        <v>0</v>
      </c>
      <c r="L22" s="155">
        <v>0</v>
      </c>
      <c r="M22" s="155">
        <v>0</v>
      </c>
      <c r="N22" s="155">
        <v>0</v>
      </c>
    </row>
    <row r="23" spans="2:14" x14ac:dyDescent="0.3">
      <c r="B23" s="78" t="s">
        <v>128</v>
      </c>
      <c r="C23" s="155">
        <v>0</v>
      </c>
      <c r="D23" s="155">
        <v>0</v>
      </c>
      <c r="E23" s="155">
        <v>0</v>
      </c>
      <c r="F23" s="155">
        <v>0</v>
      </c>
      <c r="G23" s="155">
        <v>8</v>
      </c>
      <c r="H23" s="155">
        <v>0</v>
      </c>
      <c r="I23" s="155">
        <v>0</v>
      </c>
      <c r="J23" s="155">
        <v>0</v>
      </c>
      <c r="K23" s="155">
        <v>0</v>
      </c>
      <c r="L23" s="155">
        <v>0</v>
      </c>
      <c r="M23" s="155">
        <v>0</v>
      </c>
      <c r="N23" s="155">
        <v>0</v>
      </c>
    </row>
    <row r="24" spans="2:14" ht="15" thickBot="1" x14ac:dyDescent="0.35">
      <c r="B24" s="78" t="s">
        <v>131</v>
      </c>
      <c r="C24" s="155">
        <v>0</v>
      </c>
      <c r="D24" s="155">
        <v>0</v>
      </c>
      <c r="E24" s="155">
        <v>14</v>
      </c>
      <c r="F24" s="156">
        <v>-1835</v>
      </c>
      <c r="G24" s="155">
        <v>7</v>
      </c>
      <c r="H24" s="155">
        <v>3</v>
      </c>
      <c r="I24" s="156">
        <v>-3194</v>
      </c>
      <c r="J24" s="155">
        <v>786</v>
      </c>
      <c r="K24" s="156">
        <v>1054</v>
      </c>
      <c r="L24" s="155">
        <v>42</v>
      </c>
      <c r="M24" s="155">
        <v>-131</v>
      </c>
      <c r="N24" s="156">
        <v>1004</v>
      </c>
    </row>
    <row r="25" spans="2:14" x14ac:dyDescent="0.3">
      <c r="B25" s="146" t="s">
        <v>350</v>
      </c>
      <c r="C25" s="147">
        <v>65</v>
      </c>
      <c r="D25" s="147">
        <v>234</v>
      </c>
      <c r="E25" s="147">
        <v>196</v>
      </c>
      <c r="F25" s="148">
        <v>2025</v>
      </c>
      <c r="G25" s="148">
        <v>-1159</v>
      </c>
      <c r="H25" s="147">
        <v>209</v>
      </c>
      <c r="I25" s="148">
        <v>3357</v>
      </c>
      <c r="J25" s="147">
        <v>-180</v>
      </c>
      <c r="K25" s="147">
        <v>-179</v>
      </c>
      <c r="L25" s="147">
        <v>-205</v>
      </c>
      <c r="M25" s="147">
        <v>-148</v>
      </c>
      <c r="N25" s="147">
        <v>-259</v>
      </c>
    </row>
    <row r="26" spans="2:14" x14ac:dyDescent="0.3">
      <c r="B26" s="77" t="s">
        <v>132</v>
      </c>
      <c r="C26" s="150">
        <v>5</v>
      </c>
      <c r="D26" s="150">
        <v>33</v>
      </c>
      <c r="E26" s="150">
        <v>0</v>
      </c>
      <c r="F26" s="151">
        <v>1841</v>
      </c>
      <c r="G26" s="150">
        <v>0</v>
      </c>
      <c r="H26" s="150">
        <v>0</v>
      </c>
      <c r="I26" s="150">
        <v>110</v>
      </c>
      <c r="J26" s="150">
        <v>0</v>
      </c>
      <c r="K26" s="150">
        <v>0</v>
      </c>
      <c r="L26" s="150">
        <v>15</v>
      </c>
      <c r="M26" s="150">
        <v>75</v>
      </c>
      <c r="N26" s="150">
        <v>0</v>
      </c>
    </row>
    <row r="27" spans="2:14" x14ac:dyDescent="0.3">
      <c r="B27" s="77" t="s">
        <v>351</v>
      </c>
      <c r="C27" s="150">
        <v>0</v>
      </c>
      <c r="D27" s="150">
        <v>200</v>
      </c>
      <c r="E27" s="150">
        <v>350</v>
      </c>
      <c r="F27" s="150">
        <v>250</v>
      </c>
      <c r="G27" s="150">
        <v>0</v>
      </c>
      <c r="H27" s="150">
        <v>0</v>
      </c>
      <c r="I27" s="150">
        <v>300</v>
      </c>
      <c r="J27" s="150">
        <v>0</v>
      </c>
      <c r="K27" s="150">
        <v>0</v>
      </c>
      <c r="L27" s="150">
        <v>0</v>
      </c>
      <c r="M27" s="150">
        <v>0</v>
      </c>
      <c r="N27" s="150">
        <v>0</v>
      </c>
    </row>
    <row r="28" spans="2:14" x14ac:dyDescent="0.3">
      <c r="B28" s="77" t="s">
        <v>133</v>
      </c>
      <c r="C28" s="150">
        <v>0</v>
      </c>
      <c r="D28" s="150">
        <v>0</v>
      </c>
      <c r="E28" s="150">
        <v>0</v>
      </c>
      <c r="F28" s="150">
        <v>0</v>
      </c>
      <c r="G28" s="150">
        <v>-384</v>
      </c>
      <c r="H28" s="150">
        <v>-170</v>
      </c>
      <c r="I28" s="150">
        <v>-512</v>
      </c>
      <c r="J28" s="150">
        <v>-34</v>
      </c>
      <c r="K28" s="150">
        <v>0</v>
      </c>
      <c r="L28" s="150">
        <v>0</v>
      </c>
      <c r="M28" s="150">
        <v>0</v>
      </c>
      <c r="N28" s="150">
        <v>0</v>
      </c>
    </row>
    <row r="29" spans="2:14" x14ac:dyDescent="0.3">
      <c r="B29" s="77" t="s">
        <v>134</v>
      </c>
      <c r="C29" s="150">
        <v>245</v>
      </c>
      <c r="D29" s="150">
        <v>295</v>
      </c>
      <c r="E29" s="150">
        <v>-60</v>
      </c>
      <c r="F29" s="150">
        <v>260</v>
      </c>
      <c r="G29" s="150">
        <v>0</v>
      </c>
      <c r="H29" s="150">
        <v>992</v>
      </c>
      <c r="I29" s="151">
        <v>1100</v>
      </c>
      <c r="J29" s="150">
        <v>200</v>
      </c>
      <c r="K29" s="150">
        <v>248</v>
      </c>
      <c r="L29" s="150">
        <v>0</v>
      </c>
      <c r="M29" s="150">
        <v>0</v>
      </c>
      <c r="N29" s="150">
        <v>0</v>
      </c>
    </row>
    <row r="30" spans="2:14" x14ac:dyDescent="0.3">
      <c r="B30" s="77" t="s">
        <v>135</v>
      </c>
      <c r="C30" s="150">
        <v>-130</v>
      </c>
      <c r="D30" s="150">
        <v>-232</v>
      </c>
      <c r="E30" s="150">
        <v>0</v>
      </c>
      <c r="F30" s="150">
        <v>-155</v>
      </c>
      <c r="G30" s="150">
        <v>-695</v>
      </c>
      <c r="H30" s="150">
        <v>-562</v>
      </c>
      <c r="I30" s="151">
        <v>-1550</v>
      </c>
      <c r="J30" s="150">
        <v>-204</v>
      </c>
      <c r="K30" s="150">
        <v>-248</v>
      </c>
      <c r="L30" s="150">
        <v>0</v>
      </c>
      <c r="M30" s="150">
        <v>0</v>
      </c>
      <c r="N30" s="150">
        <v>0</v>
      </c>
    </row>
    <row r="31" spans="2:14" x14ac:dyDescent="0.3">
      <c r="B31" s="77" t="s">
        <v>136</v>
      </c>
      <c r="C31" s="150">
        <v>-54</v>
      </c>
      <c r="D31" s="150">
        <v>-62</v>
      </c>
      <c r="E31" s="150">
        <v>-93</v>
      </c>
      <c r="F31" s="150">
        <v>-120</v>
      </c>
      <c r="G31" s="150">
        <v>-80</v>
      </c>
      <c r="H31" s="150">
        <v>-51</v>
      </c>
      <c r="I31" s="150">
        <v>-98</v>
      </c>
      <c r="J31" s="150">
        <v>-44</v>
      </c>
      <c r="K31" s="150">
        <v>-54</v>
      </c>
      <c r="L31" s="150">
        <v>-67</v>
      </c>
      <c r="M31" s="150">
        <v>-58</v>
      </c>
      <c r="N31" s="150">
        <v>-69</v>
      </c>
    </row>
    <row r="32" spans="2:14" x14ac:dyDescent="0.3">
      <c r="B32" s="77" t="s">
        <v>138</v>
      </c>
      <c r="C32" s="150">
        <v>0</v>
      </c>
      <c r="D32" s="150">
        <v>0</v>
      </c>
      <c r="E32" s="150">
        <v>0</v>
      </c>
      <c r="F32" s="150">
        <v>0</v>
      </c>
      <c r="G32" s="150">
        <v>0</v>
      </c>
      <c r="H32" s="150">
        <v>0</v>
      </c>
      <c r="I32" s="150">
        <v>-70</v>
      </c>
      <c r="J32" s="150">
        <v>-98</v>
      </c>
      <c r="K32" s="150">
        <v>-125</v>
      </c>
      <c r="L32" s="150">
        <v>-153</v>
      </c>
      <c r="M32" s="150">
        <v>-164</v>
      </c>
      <c r="N32" s="150">
        <v>-190</v>
      </c>
    </row>
    <row r="33" spans="2:14" x14ac:dyDescent="0.3">
      <c r="B33" s="77" t="s">
        <v>352</v>
      </c>
      <c r="C33" s="150">
        <v>0</v>
      </c>
      <c r="D33" s="150">
        <v>0</v>
      </c>
      <c r="E33" s="150">
        <v>0</v>
      </c>
      <c r="F33" s="150">
        <v>0</v>
      </c>
      <c r="G33" s="150">
        <v>0</v>
      </c>
      <c r="H33" s="150">
        <v>0</v>
      </c>
      <c r="I33" s="150">
        <v>0</v>
      </c>
      <c r="J33" s="150">
        <v>0</v>
      </c>
      <c r="K33" s="150">
        <v>0</v>
      </c>
      <c r="L33" s="150">
        <v>1</v>
      </c>
      <c r="M33" s="150">
        <v>0</v>
      </c>
      <c r="N33" s="150">
        <v>0</v>
      </c>
    </row>
    <row r="34" spans="2:14" ht="15" thickBot="1" x14ac:dyDescent="0.35">
      <c r="B34" s="77" t="s">
        <v>139</v>
      </c>
      <c r="C34" s="150">
        <v>0</v>
      </c>
      <c r="D34" s="150">
        <v>0</v>
      </c>
      <c r="E34" s="150">
        <v>0</v>
      </c>
      <c r="F34" s="150">
        <v>-50</v>
      </c>
      <c r="G34" s="150">
        <v>0</v>
      </c>
      <c r="H34" s="150">
        <v>0</v>
      </c>
      <c r="I34" s="151">
        <v>4077</v>
      </c>
      <c r="J34" s="150">
        <v>0</v>
      </c>
      <c r="K34" s="150">
        <v>0</v>
      </c>
      <c r="L34" s="150">
        <v>0</v>
      </c>
      <c r="M34" s="150">
        <v>0</v>
      </c>
      <c r="N34" s="150">
        <v>0</v>
      </c>
    </row>
    <row r="35" spans="2:14" x14ac:dyDescent="0.3">
      <c r="B35" s="152" t="s">
        <v>35</v>
      </c>
      <c r="C35" s="153">
        <v>-7</v>
      </c>
      <c r="D35" s="153">
        <v>-17</v>
      </c>
      <c r="E35" s="153">
        <v>-3</v>
      </c>
      <c r="F35" s="153">
        <v>-1</v>
      </c>
      <c r="G35" s="153">
        <v>34</v>
      </c>
      <c r="H35" s="153">
        <v>57</v>
      </c>
      <c r="I35" s="153">
        <v>-19</v>
      </c>
      <c r="J35" s="153">
        <v>86</v>
      </c>
      <c r="K35" s="153">
        <v>-96</v>
      </c>
      <c r="L35" s="153">
        <v>112</v>
      </c>
      <c r="M35" s="153">
        <v>130</v>
      </c>
      <c r="N35" s="153">
        <v>18</v>
      </c>
    </row>
    <row r="43" spans="2:14" ht="15" thickBot="1" x14ac:dyDescent="0.35">
      <c r="D43" s="29"/>
      <c r="E43" s="29"/>
      <c r="F43" s="29"/>
      <c r="G43" s="29"/>
      <c r="H43" s="29"/>
      <c r="I43" s="29"/>
      <c r="J43" s="29"/>
      <c r="K43" s="29"/>
      <c r="L43" s="29"/>
      <c r="M43" s="29"/>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886CE6-2935-4DC1-8465-F3B5B9407A0A}">
  <sheetPr>
    <tabColor rgb="FFFF0000"/>
  </sheetPr>
  <dimension ref="B3:G29"/>
  <sheetViews>
    <sheetView workbookViewId="0">
      <selection activeCell="G5" sqref="G5"/>
    </sheetView>
  </sheetViews>
  <sheetFormatPr defaultRowHeight="14.4" x14ac:dyDescent="0.3"/>
  <cols>
    <col min="1" max="1" width="1.88671875" customWidth="1"/>
  </cols>
  <sheetData>
    <row r="3" spans="2:7" ht="15" thickBot="1" x14ac:dyDescent="0.35">
      <c r="B3" s="73" t="s">
        <v>284</v>
      </c>
      <c r="C3" s="73"/>
    </row>
    <row r="4" spans="2:7" ht="15" thickBot="1" x14ac:dyDescent="0.35">
      <c r="B4" s="219" t="s">
        <v>178</v>
      </c>
      <c r="C4" s="220" t="s">
        <v>283</v>
      </c>
    </row>
    <row r="5" spans="2:7" ht="15" thickBot="1" x14ac:dyDescent="0.35">
      <c r="B5" s="221">
        <v>2000</v>
      </c>
      <c r="C5" s="222">
        <v>-14.65</v>
      </c>
      <c r="E5" s="283" t="s">
        <v>285</v>
      </c>
      <c r="F5" s="283"/>
      <c r="G5" s="223">
        <f>(AVERAGE(C5:C29))/100</f>
        <v>0.15334799999999996</v>
      </c>
    </row>
    <row r="6" spans="2:7" ht="16.8" thickBot="1" x14ac:dyDescent="0.35">
      <c r="B6" s="221">
        <v>2001</v>
      </c>
      <c r="C6" s="222">
        <v>-16.18</v>
      </c>
      <c r="E6" s="283" t="s">
        <v>286</v>
      </c>
      <c r="F6" s="283"/>
      <c r="G6" s="224" t="s">
        <v>287</v>
      </c>
    </row>
    <row r="7" spans="2:7" ht="15" thickBot="1" x14ac:dyDescent="0.35">
      <c r="B7" s="221">
        <v>2002</v>
      </c>
      <c r="C7" s="222">
        <v>3.25</v>
      </c>
      <c r="E7" s="283" t="s">
        <v>288</v>
      </c>
      <c r="F7" s="283"/>
      <c r="G7" s="223">
        <f>SUM(G5:G6)</f>
        <v>0.15334799999999996</v>
      </c>
    </row>
    <row r="8" spans="2:7" ht="15" thickBot="1" x14ac:dyDescent="0.35">
      <c r="B8" s="221">
        <v>2003</v>
      </c>
      <c r="C8" s="222">
        <v>71.900000000000006</v>
      </c>
    </row>
    <row r="9" spans="2:7" ht="15" thickBot="1" x14ac:dyDescent="0.35">
      <c r="B9" s="221">
        <v>2004</v>
      </c>
      <c r="C9" s="222">
        <v>10.68</v>
      </c>
    </row>
    <row r="10" spans="2:7" ht="15" thickBot="1" x14ac:dyDescent="0.35">
      <c r="B10" s="221">
        <v>2005</v>
      </c>
      <c r="C10" s="222">
        <v>36.340000000000003</v>
      </c>
    </row>
    <row r="11" spans="2:7" ht="15" thickBot="1" x14ac:dyDescent="0.35">
      <c r="B11" s="221">
        <v>2006</v>
      </c>
      <c r="C11" s="222">
        <v>39.83</v>
      </c>
    </row>
    <row r="12" spans="2:7" ht="15" thickBot="1" x14ac:dyDescent="0.35">
      <c r="B12" s="221">
        <v>2007</v>
      </c>
      <c r="C12" s="222">
        <v>54.77</v>
      </c>
    </row>
    <row r="13" spans="2:7" ht="15" thickBot="1" x14ac:dyDescent="0.35">
      <c r="B13" s="221">
        <v>2008</v>
      </c>
      <c r="C13" s="222">
        <v>-51.79</v>
      </c>
    </row>
    <row r="14" spans="2:7" ht="15" thickBot="1" x14ac:dyDescent="0.35">
      <c r="B14" s="221">
        <v>2009</v>
      </c>
      <c r="C14" s="222">
        <v>75.760000000000005</v>
      </c>
    </row>
    <row r="15" spans="2:7" ht="15" thickBot="1" x14ac:dyDescent="0.35">
      <c r="B15" s="221">
        <v>2010</v>
      </c>
      <c r="C15" s="222">
        <v>17.95</v>
      </c>
    </row>
    <row r="16" spans="2:7" ht="15" thickBot="1" x14ac:dyDescent="0.35">
      <c r="B16" s="221">
        <v>2011</v>
      </c>
      <c r="C16" s="222">
        <v>-24.62</v>
      </c>
    </row>
    <row r="17" spans="2:3" ht="15" thickBot="1" x14ac:dyDescent="0.35">
      <c r="B17" s="221">
        <v>2012</v>
      </c>
      <c r="C17" s="222">
        <v>27.7</v>
      </c>
    </row>
    <row r="18" spans="2:3" ht="15" thickBot="1" x14ac:dyDescent="0.35">
      <c r="B18" s="221">
        <v>2013</v>
      </c>
      <c r="C18" s="222">
        <v>6.76</v>
      </c>
    </row>
    <row r="19" spans="2:3" ht="15" thickBot="1" x14ac:dyDescent="0.35">
      <c r="B19" s="221">
        <v>2014</v>
      </c>
      <c r="C19" s="222">
        <v>31.39</v>
      </c>
    </row>
    <row r="20" spans="2:3" ht="15" thickBot="1" x14ac:dyDescent="0.35">
      <c r="B20" s="221">
        <v>2015</v>
      </c>
      <c r="C20" s="222">
        <v>-4.0599999999999996</v>
      </c>
    </row>
    <row r="21" spans="2:3" ht="15" thickBot="1" x14ac:dyDescent="0.35">
      <c r="B21" s="221">
        <v>2016</v>
      </c>
      <c r="C21" s="222">
        <v>3.01</v>
      </c>
    </row>
    <row r="22" spans="2:3" ht="15" thickBot="1" x14ac:dyDescent="0.35">
      <c r="B22" s="221">
        <v>2017</v>
      </c>
      <c r="C22" s="222">
        <v>28.65</v>
      </c>
    </row>
    <row r="23" spans="2:3" ht="15" thickBot="1" x14ac:dyDescent="0.35">
      <c r="B23" s="221">
        <v>2018</v>
      </c>
      <c r="C23" s="222">
        <v>3.15</v>
      </c>
    </row>
    <row r="24" spans="2:3" ht="15" thickBot="1" x14ac:dyDescent="0.35">
      <c r="B24" s="221">
        <v>2019</v>
      </c>
      <c r="C24" s="222">
        <v>12.02</v>
      </c>
    </row>
    <row r="25" spans="2:3" ht="15" thickBot="1" x14ac:dyDescent="0.35">
      <c r="B25" s="221">
        <v>2020</v>
      </c>
      <c r="C25" s="222">
        <v>14.9</v>
      </c>
    </row>
    <row r="26" spans="2:3" ht="15" thickBot="1" x14ac:dyDescent="0.35">
      <c r="B26" s="221">
        <v>2021</v>
      </c>
      <c r="C26" s="222">
        <v>24.12</v>
      </c>
    </row>
    <row r="27" spans="2:3" ht="15" thickBot="1" x14ac:dyDescent="0.35">
      <c r="B27" s="221">
        <v>2022</v>
      </c>
      <c r="C27" s="222">
        <v>4.32</v>
      </c>
    </row>
    <row r="28" spans="2:3" ht="15" thickBot="1" x14ac:dyDescent="0.35">
      <c r="B28" s="221">
        <v>2023</v>
      </c>
      <c r="C28" s="222">
        <v>19.420000000000002</v>
      </c>
    </row>
    <row r="29" spans="2:3" ht="15" thickBot="1" x14ac:dyDescent="0.35">
      <c r="B29" s="221">
        <v>2024</v>
      </c>
      <c r="C29" s="222">
        <v>8.75</v>
      </c>
    </row>
  </sheetData>
  <mergeCells count="3">
    <mergeCell ref="E5:F5"/>
    <mergeCell ref="E6:F6"/>
    <mergeCell ref="E7:F7"/>
  </mergeCells>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6B279D-9E3F-44AE-83C1-65D18A20B735}">
  <dimension ref="B2:O37"/>
  <sheetViews>
    <sheetView workbookViewId="0">
      <pane ySplit="2" topLeftCell="A23" activePane="bottomLeft" state="frozen"/>
      <selection pane="bottomLeft" activeCell="R20" sqref="R20"/>
    </sheetView>
  </sheetViews>
  <sheetFormatPr defaultRowHeight="14.4" x14ac:dyDescent="0.3"/>
  <cols>
    <col min="1" max="1" width="1.88671875" customWidth="1"/>
    <col min="2" max="2" width="24.44140625" bestFit="1" customWidth="1"/>
    <col min="3" max="10" width="9" bestFit="1" customWidth="1"/>
    <col min="11" max="14" width="9.6640625" bestFit="1" customWidth="1"/>
  </cols>
  <sheetData>
    <row r="2" spans="2:15" ht="15" thickBot="1" x14ac:dyDescent="0.35">
      <c r="B2" s="73" t="s">
        <v>322</v>
      </c>
      <c r="C2" s="80">
        <v>41699</v>
      </c>
      <c r="D2" s="79">
        <v>42064</v>
      </c>
      <c r="E2" s="79">
        <v>42430</v>
      </c>
      <c r="F2" s="79">
        <v>42795</v>
      </c>
      <c r="G2" s="79">
        <v>43160</v>
      </c>
      <c r="H2" s="79">
        <v>43525</v>
      </c>
      <c r="I2" s="79">
        <v>43891</v>
      </c>
      <c r="J2" s="79">
        <v>44256</v>
      </c>
      <c r="K2" s="79">
        <v>44621</v>
      </c>
      <c r="L2" s="79">
        <v>44986</v>
      </c>
      <c r="M2" s="79">
        <v>45352</v>
      </c>
      <c r="N2" s="79">
        <v>45717</v>
      </c>
      <c r="O2" s="28"/>
    </row>
    <row r="3" spans="2:15" x14ac:dyDescent="0.3">
      <c r="B3" s="67"/>
      <c r="C3" s="81"/>
      <c r="D3" s="82"/>
      <c r="E3" s="82"/>
      <c r="F3" s="82"/>
      <c r="G3" s="82"/>
      <c r="H3" s="82"/>
      <c r="I3" s="82"/>
      <c r="J3" s="82"/>
      <c r="K3" s="82"/>
      <c r="L3" s="82"/>
      <c r="M3" s="82"/>
      <c r="N3" s="82"/>
    </row>
    <row r="4" spans="2:15" x14ac:dyDescent="0.3">
      <c r="B4" s="87" t="s">
        <v>295</v>
      </c>
      <c r="C4" s="94">
        <v>547</v>
      </c>
      <c r="D4" s="95">
        <v>562</v>
      </c>
      <c r="E4" s="95">
        <v>562</v>
      </c>
      <c r="F4" s="95">
        <v>624</v>
      </c>
      <c r="G4" s="95">
        <v>624</v>
      </c>
      <c r="H4" s="95">
        <v>624</v>
      </c>
      <c r="I4" s="95">
        <v>648</v>
      </c>
      <c r="J4" s="95">
        <v>648</v>
      </c>
      <c r="K4" s="95">
        <v>648</v>
      </c>
      <c r="L4" s="95">
        <v>648</v>
      </c>
      <c r="M4" s="95">
        <v>651</v>
      </c>
      <c r="N4" s="95">
        <v>651</v>
      </c>
    </row>
    <row r="5" spans="2:15" x14ac:dyDescent="0.3">
      <c r="B5" s="88" t="s">
        <v>25</v>
      </c>
      <c r="C5" s="94">
        <v>409</v>
      </c>
      <c r="D5" s="95">
        <v>638</v>
      </c>
      <c r="E5" s="95">
        <v>959</v>
      </c>
      <c r="F5" s="95">
        <v>3218</v>
      </c>
      <c r="G5" s="95">
        <v>4045</v>
      </c>
      <c r="H5" s="95">
        <v>4963</v>
      </c>
      <c r="I5" s="95">
        <v>10432</v>
      </c>
      <c r="J5" s="95">
        <v>11536</v>
      </c>
      <c r="K5" s="95">
        <v>13030</v>
      </c>
      <c r="L5" s="95">
        <v>15430</v>
      </c>
      <c r="M5" s="95">
        <v>18047</v>
      </c>
      <c r="N5" s="95">
        <v>20777</v>
      </c>
    </row>
    <row r="6" spans="2:15" x14ac:dyDescent="0.3">
      <c r="B6" s="88" t="s">
        <v>323</v>
      </c>
      <c r="C6" s="96"/>
      <c r="D6" s="97"/>
      <c r="E6" s="97"/>
      <c r="F6" s="97"/>
      <c r="G6" s="97"/>
      <c r="H6" s="97"/>
      <c r="I6" s="97"/>
      <c r="J6" s="97"/>
      <c r="K6" s="97"/>
      <c r="L6" s="97"/>
      <c r="M6" s="97"/>
      <c r="N6" s="97"/>
    </row>
    <row r="7" spans="2:15" x14ac:dyDescent="0.3">
      <c r="B7" s="77" t="s">
        <v>296</v>
      </c>
      <c r="C7" s="94"/>
      <c r="D7" s="95"/>
      <c r="E7" s="95">
        <v>908</v>
      </c>
      <c r="F7" s="95">
        <v>981</v>
      </c>
      <c r="G7" s="95">
        <v>246</v>
      </c>
      <c r="H7" s="95">
        <v>126</v>
      </c>
      <c r="I7" s="95">
        <v>0</v>
      </c>
      <c r="J7" s="95">
        <v>0</v>
      </c>
      <c r="K7" s="95">
        <v>0</v>
      </c>
      <c r="L7" s="95">
        <v>0</v>
      </c>
      <c r="M7" s="95">
        <v>0</v>
      </c>
      <c r="N7" s="95">
        <v>0</v>
      </c>
    </row>
    <row r="8" spans="2:15" x14ac:dyDescent="0.3">
      <c r="B8" s="77" t="s">
        <v>297</v>
      </c>
      <c r="C8" s="94"/>
      <c r="D8" s="95"/>
      <c r="E8" s="95">
        <v>129</v>
      </c>
      <c r="F8" s="95">
        <v>139</v>
      </c>
      <c r="G8" s="95">
        <v>7</v>
      </c>
      <c r="H8" s="95">
        <v>304</v>
      </c>
      <c r="I8" s="95">
        <v>4</v>
      </c>
      <c r="J8" s="95">
        <v>0</v>
      </c>
      <c r="K8" s="95">
        <v>0</v>
      </c>
      <c r="L8" s="95">
        <v>0</v>
      </c>
      <c r="M8" s="95">
        <v>0</v>
      </c>
      <c r="N8" s="95">
        <v>0</v>
      </c>
    </row>
    <row r="9" spans="2:15" x14ac:dyDescent="0.3">
      <c r="B9" s="77" t="s">
        <v>298</v>
      </c>
      <c r="C9" s="94"/>
      <c r="D9" s="95"/>
      <c r="E9" s="95">
        <v>0</v>
      </c>
      <c r="F9" s="95">
        <v>0</v>
      </c>
      <c r="G9" s="95">
        <v>0</v>
      </c>
      <c r="H9" s="95">
        <v>0</v>
      </c>
      <c r="I9" s="95">
        <v>295</v>
      </c>
      <c r="J9" s="95">
        <v>393</v>
      </c>
      <c r="K9" s="95">
        <v>647</v>
      </c>
      <c r="L9" s="95">
        <v>643</v>
      </c>
      <c r="M9" s="95">
        <v>592</v>
      </c>
      <c r="N9" s="95">
        <v>820</v>
      </c>
    </row>
    <row r="10" spans="2:15" ht="15" thickBot="1" x14ac:dyDescent="0.35">
      <c r="B10" s="77" t="s">
        <v>299</v>
      </c>
      <c r="C10" s="94">
        <v>641</v>
      </c>
      <c r="D10" s="95">
        <v>904</v>
      </c>
      <c r="E10" s="95">
        <v>155</v>
      </c>
      <c r="F10" s="95">
        <v>378</v>
      </c>
      <c r="G10" s="95">
        <v>186</v>
      </c>
      <c r="H10" s="95">
        <v>270</v>
      </c>
      <c r="I10" s="95">
        <v>34</v>
      </c>
      <c r="J10" s="95">
        <v>0</v>
      </c>
      <c r="K10" s="95">
        <v>0</v>
      </c>
      <c r="L10" s="95">
        <v>0</v>
      </c>
      <c r="M10" s="95">
        <v>0</v>
      </c>
      <c r="N10" s="95">
        <v>0</v>
      </c>
    </row>
    <row r="11" spans="2:15" x14ac:dyDescent="0.3">
      <c r="B11" s="89" t="s">
        <v>300</v>
      </c>
      <c r="C11" s="98"/>
      <c r="D11" s="99"/>
      <c r="E11" s="99"/>
      <c r="F11" s="99"/>
      <c r="G11" s="99"/>
      <c r="H11" s="99"/>
      <c r="I11" s="99"/>
      <c r="J11" s="99"/>
      <c r="K11" s="99"/>
      <c r="L11" s="99"/>
      <c r="M11" s="99"/>
      <c r="N11" s="99"/>
    </row>
    <row r="12" spans="2:15" x14ac:dyDescent="0.3">
      <c r="B12" s="78" t="s">
        <v>301</v>
      </c>
      <c r="C12" s="100">
        <v>0</v>
      </c>
      <c r="D12" s="101">
        <v>0</v>
      </c>
      <c r="E12" s="101">
        <v>0</v>
      </c>
      <c r="F12" s="101">
        <v>0</v>
      </c>
      <c r="G12" s="101">
        <v>1</v>
      </c>
      <c r="H12" s="101">
        <v>1</v>
      </c>
      <c r="I12" s="101">
        <v>0</v>
      </c>
      <c r="J12" s="101">
        <v>0</v>
      </c>
      <c r="K12" s="101">
        <v>0</v>
      </c>
      <c r="L12" s="101">
        <v>0</v>
      </c>
      <c r="M12" s="101">
        <v>0</v>
      </c>
      <c r="N12" s="101">
        <v>-1</v>
      </c>
    </row>
    <row r="13" spans="2:15" x14ac:dyDescent="0.3">
      <c r="B13" s="78" t="s">
        <v>302</v>
      </c>
      <c r="C13" s="100">
        <v>123</v>
      </c>
      <c r="D13" s="101">
        <v>119</v>
      </c>
      <c r="E13" s="101">
        <v>194</v>
      </c>
      <c r="F13" s="101">
        <v>261</v>
      </c>
      <c r="G13" s="101">
        <v>317</v>
      </c>
      <c r="H13" s="101">
        <v>463</v>
      </c>
      <c r="I13" s="101">
        <v>433</v>
      </c>
      <c r="J13" s="101">
        <v>578</v>
      </c>
      <c r="K13" s="101">
        <v>589</v>
      </c>
      <c r="L13" s="101">
        <v>754</v>
      </c>
      <c r="M13" s="101">
        <v>985</v>
      </c>
      <c r="N13" s="101">
        <v>1071</v>
      </c>
    </row>
    <row r="14" spans="2:15" x14ac:dyDescent="0.3">
      <c r="B14" s="78" t="s">
        <v>303</v>
      </c>
      <c r="C14" s="100">
        <v>89</v>
      </c>
      <c r="D14" s="101">
        <v>133</v>
      </c>
      <c r="E14" s="101">
        <v>194</v>
      </c>
      <c r="F14" s="101">
        <v>219</v>
      </c>
      <c r="G14" s="101">
        <v>222</v>
      </c>
      <c r="H14" s="101">
        <v>254</v>
      </c>
      <c r="I14" s="101">
        <v>229</v>
      </c>
      <c r="J14" s="101">
        <v>500</v>
      </c>
      <c r="K14" s="101">
        <v>557</v>
      </c>
      <c r="L14" s="101">
        <v>629</v>
      </c>
      <c r="M14" s="101">
        <v>898</v>
      </c>
      <c r="N14" s="101">
        <v>996</v>
      </c>
    </row>
    <row r="15" spans="2:15" x14ac:dyDescent="0.3">
      <c r="B15" s="84" t="s">
        <v>304</v>
      </c>
      <c r="C15" s="85">
        <v>1808</v>
      </c>
      <c r="D15" s="86">
        <v>2355</v>
      </c>
      <c r="E15" s="86">
        <v>3102</v>
      </c>
      <c r="F15" s="86">
        <v>5819</v>
      </c>
      <c r="G15" s="86">
        <v>5648</v>
      </c>
      <c r="H15" s="86">
        <v>7006</v>
      </c>
      <c r="I15" s="86">
        <v>12076</v>
      </c>
      <c r="J15" s="86">
        <v>13655</v>
      </c>
      <c r="K15" s="86">
        <v>15471</v>
      </c>
      <c r="L15" s="86">
        <v>18105</v>
      </c>
      <c r="M15" s="86">
        <v>21172</v>
      </c>
      <c r="N15" s="86">
        <v>24313</v>
      </c>
    </row>
    <row r="16" spans="2:15" ht="15" thickBot="1" x14ac:dyDescent="0.35">
      <c r="B16" s="157"/>
      <c r="C16" s="158"/>
      <c r="D16" s="159"/>
      <c r="E16" s="159"/>
      <c r="F16" s="159"/>
      <c r="G16" s="159"/>
      <c r="H16" s="159"/>
      <c r="I16" s="159"/>
      <c r="J16" s="159"/>
      <c r="K16" s="159"/>
      <c r="L16" s="159"/>
      <c r="M16" s="159"/>
      <c r="N16" s="159"/>
    </row>
    <row r="17" spans="2:14" x14ac:dyDescent="0.3">
      <c r="B17" s="89" t="s">
        <v>305</v>
      </c>
      <c r="C17" s="102">
        <v>2562</v>
      </c>
      <c r="D17" s="103">
        <v>2660</v>
      </c>
      <c r="E17" s="103">
        <v>3416</v>
      </c>
      <c r="F17" s="103">
        <v>3304</v>
      </c>
      <c r="G17" s="103">
        <v>3732</v>
      </c>
      <c r="H17" s="103">
        <v>6497</v>
      </c>
      <c r="I17" s="103">
        <v>6272</v>
      </c>
      <c r="J17" s="103">
        <v>5859</v>
      </c>
      <c r="K17" s="103">
        <v>5519</v>
      </c>
      <c r="L17" s="103">
        <v>5770</v>
      </c>
      <c r="M17" s="103">
        <v>7147</v>
      </c>
      <c r="N17" s="103">
        <v>9220</v>
      </c>
    </row>
    <row r="18" spans="2:14" x14ac:dyDescent="0.3">
      <c r="B18" s="78" t="s">
        <v>306</v>
      </c>
      <c r="C18" s="104">
        <v>460</v>
      </c>
      <c r="D18" s="105">
        <v>602</v>
      </c>
      <c r="E18" s="105">
        <v>784</v>
      </c>
      <c r="F18" s="105">
        <v>1044</v>
      </c>
      <c r="G18" s="105">
        <v>1438</v>
      </c>
      <c r="H18" s="105">
        <v>2028</v>
      </c>
      <c r="I18" s="105">
        <v>2740</v>
      </c>
      <c r="J18" s="105">
        <v>3483</v>
      </c>
      <c r="K18" s="105">
        <v>4527</v>
      </c>
      <c r="L18" s="105">
        <v>5519</v>
      </c>
      <c r="M18" s="105">
        <v>6904</v>
      </c>
      <c r="N18" s="105">
        <v>8595</v>
      </c>
    </row>
    <row r="19" spans="2:14" x14ac:dyDescent="0.3">
      <c r="B19" s="78" t="s">
        <v>307</v>
      </c>
      <c r="C19" s="104">
        <v>717</v>
      </c>
      <c r="D19" s="105">
        <v>946</v>
      </c>
      <c r="E19" s="105">
        <v>1162</v>
      </c>
      <c r="F19" s="105">
        <v>1379</v>
      </c>
      <c r="G19" s="105">
        <v>1757</v>
      </c>
      <c r="H19" s="105">
        <v>2173</v>
      </c>
      <c r="I19" s="105">
        <v>3139</v>
      </c>
      <c r="J19" s="105">
        <v>3649</v>
      </c>
      <c r="K19" s="105">
        <v>4938</v>
      </c>
      <c r="L19" s="105">
        <v>6201</v>
      </c>
      <c r="M19" s="105">
        <v>7062</v>
      </c>
      <c r="N19" s="105">
        <v>8256</v>
      </c>
    </row>
    <row r="20" spans="2:14" x14ac:dyDescent="0.3">
      <c r="B20" s="78" t="s">
        <v>308</v>
      </c>
      <c r="C20" s="104">
        <v>39</v>
      </c>
      <c r="D20" s="105">
        <v>51</v>
      </c>
      <c r="E20" s="105">
        <v>59</v>
      </c>
      <c r="F20" s="105">
        <v>88</v>
      </c>
      <c r="G20" s="105">
        <v>124</v>
      </c>
      <c r="H20" s="105">
        <v>191</v>
      </c>
      <c r="I20" s="105">
        <v>272</v>
      </c>
      <c r="J20" s="105">
        <v>352</v>
      </c>
      <c r="K20" s="105">
        <v>491</v>
      </c>
      <c r="L20" s="105">
        <v>656</v>
      </c>
      <c r="M20" s="105">
        <v>870</v>
      </c>
      <c r="N20" s="105">
        <v>1141</v>
      </c>
    </row>
    <row r="21" spans="2:14" x14ac:dyDescent="0.3">
      <c r="B21" s="78" t="s">
        <v>309</v>
      </c>
      <c r="C21" s="104">
        <v>9</v>
      </c>
      <c r="D21" s="105">
        <v>12</v>
      </c>
      <c r="E21" s="105">
        <v>11</v>
      </c>
      <c r="F21" s="105">
        <v>16</v>
      </c>
      <c r="G21" s="105">
        <v>21</v>
      </c>
      <c r="H21" s="105">
        <v>29</v>
      </c>
      <c r="I21" s="105">
        <v>39</v>
      </c>
      <c r="J21" s="105">
        <v>50</v>
      </c>
      <c r="K21" s="105">
        <v>73</v>
      </c>
      <c r="L21" s="105">
        <v>85</v>
      </c>
      <c r="M21" s="105">
        <v>97</v>
      </c>
      <c r="N21" s="105">
        <v>115</v>
      </c>
    </row>
    <row r="22" spans="2:14" x14ac:dyDescent="0.3">
      <c r="B22" s="78" t="s">
        <v>353</v>
      </c>
      <c r="C22" s="104">
        <v>23</v>
      </c>
      <c r="D22" s="105">
        <v>30</v>
      </c>
      <c r="E22" s="105">
        <v>21</v>
      </c>
      <c r="F22" s="105">
        <v>30</v>
      </c>
      <c r="G22" s="105">
        <v>53</v>
      </c>
      <c r="H22" s="105">
        <v>76</v>
      </c>
      <c r="I22" s="105">
        <v>95</v>
      </c>
      <c r="J22" s="105">
        <v>119</v>
      </c>
      <c r="K22" s="105">
        <v>153</v>
      </c>
      <c r="L22" s="105">
        <v>190</v>
      </c>
      <c r="M22" s="105">
        <v>219</v>
      </c>
      <c r="N22" s="105">
        <v>276</v>
      </c>
    </row>
    <row r="23" spans="2:14" x14ac:dyDescent="0.3">
      <c r="B23" s="78" t="s">
        <v>310</v>
      </c>
      <c r="C23" s="104">
        <v>135</v>
      </c>
      <c r="D23" s="105">
        <v>172</v>
      </c>
      <c r="E23" s="105">
        <v>143</v>
      </c>
      <c r="F23" s="105">
        <v>202</v>
      </c>
      <c r="G23" s="105">
        <v>265</v>
      </c>
      <c r="H23" s="105">
        <v>357</v>
      </c>
      <c r="I23" s="105">
        <v>476</v>
      </c>
      <c r="J23" s="105">
        <v>581</v>
      </c>
      <c r="K23" s="105">
        <v>772</v>
      </c>
      <c r="L23" s="105">
        <v>968</v>
      </c>
      <c r="M23" s="105">
        <v>1205</v>
      </c>
      <c r="N23" s="105">
        <v>1515</v>
      </c>
    </row>
    <row r="24" spans="2:14" x14ac:dyDescent="0.3">
      <c r="B24" s="78" t="s">
        <v>311</v>
      </c>
      <c r="C24" s="104">
        <v>4</v>
      </c>
      <c r="D24" s="105">
        <v>6</v>
      </c>
      <c r="E24" s="105">
        <v>6</v>
      </c>
      <c r="F24" s="105">
        <v>6</v>
      </c>
      <c r="G24" s="105">
        <v>2</v>
      </c>
      <c r="H24" s="105">
        <v>3</v>
      </c>
      <c r="I24" s="105">
        <v>4</v>
      </c>
      <c r="J24" s="105">
        <v>4</v>
      </c>
      <c r="K24" s="105">
        <v>3</v>
      </c>
      <c r="L24" s="105">
        <v>15</v>
      </c>
      <c r="M24" s="105">
        <v>17</v>
      </c>
      <c r="N24" s="105">
        <v>6</v>
      </c>
    </row>
    <row r="25" spans="2:14" x14ac:dyDescent="0.3">
      <c r="B25" s="78" t="s">
        <v>312</v>
      </c>
      <c r="C25" s="104">
        <v>0</v>
      </c>
      <c r="D25" s="105">
        <v>0</v>
      </c>
      <c r="E25" s="105">
        <v>0</v>
      </c>
      <c r="F25" s="105">
        <v>0</v>
      </c>
      <c r="G25" s="105">
        <v>78</v>
      </c>
      <c r="H25" s="105">
        <v>78</v>
      </c>
      <c r="I25" s="105">
        <v>78</v>
      </c>
      <c r="J25" s="105">
        <v>78</v>
      </c>
      <c r="K25" s="105">
        <v>78</v>
      </c>
      <c r="L25" s="105">
        <v>78</v>
      </c>
      <c r="M25" s="105">
        <v>78</v>
      </c>
      <c r="N25" s="105">
        <v>78</v>
      </c>
    </row>
    <row r="26" spans="2:14" ht="15" thickBot="1" x14ac:dyDescent="0.35">
      <c r="B26" s="78" t="s">
        <v>313</v>
      </c>
      <c r="C26" s="104">
        <v>10</v>
      </c>
      <c r="D26" s="105">
        <v>12</v>
      </c>
      <c r="E26" s="105">
        <v>6</v>
      </c>
      <c r="F26" s="105">
        <v>39</v>
      </c>
      <c r="G26" s="105">
        <v>61</v>
      </c>
      <c r="H26" s="105">
        <v>74</v>
      </c>
      <c r="I26" s="105">
        <v>82</v>
      </c>
      <c r="J26" s="105">
        <v>81</v>
      </c>
      <c r="K26" s="105">
        <v>91</v>
      </c>
      <c r="L26" s="105">
        <v>105</v>
      </c>
      <c r="M26" s="105">
        <v>119</v>
      </c>
      <c r="N26" s="105">
        <v>124</v>
      </c>
    </row>
    <row r="27" spans="2:14" x14ac:dyDescent="0.3">
      <c r="B27" s="90" t="s">
        <v>314</v>
      </c>
      <c r="C27" s="102">
        <v>1397</v>
      </c>
      <c r="D27" s="103">
        <v>1832</v>
      </c>
      <c r="E27" s="103">
        <v>2192</v>
      </c>
      <c r="F27" s="103">
        <v>2805</v>
      </c>
      <c r="G27" s="103">
        <v>3801</v>
      </c>
      <c r="H27" s="103">
        <v>5010</v>
      </c>
      <c r="I27" s="103">
        <v>6927</v>
      </c>
      <c r="J27" s="103">
        <v>8396</v>
      </c>
      <c r="K27" s="103">
        <v>11127</v>
      </c>
      <c r="L27" s="103">
        <v>13816</v>
      </c>
      <c r="M27" s="103">
        <v>16571</v>
      </c>
      <c r="N27" s="103">
        <v>20106</v>
      </c>
    </row>
    <row r="28" spans="2:14" x14ac:dyDescent="0.3">
      <c r="B28" s="93" t="s">
        <v>315</v>
      </c>
      <c r="C28" s="104">
        <v>225</v>
      </c>
      <c r="D28" s="105">
        <v>304</v>
      </c>
      <c r="E28" s="105">
        <v>98</v>
      </c>
      <c r="F28" s="105">
        <v>228</v>
      </c>
      <c r="G28" s="105">
        <v>401</v>
      </c>
      <c r="H28" s="105">
        <v>609</v>
      </c>
      <c r="I28" s="105">
        <v>979</v>
      </c>
      <c r="J28" s="105">
        <v>1387</v>
      </c>
      <c r="K28" s="105">
        <v>1867</v>
      </c>
      <c r="L28" s="105">
        <v>2476</v>
      </c>
      <c r="M28" s="105">
        <v>3156</v>
      </c>
      <c r="N28" s="105">
        <v>3900</v>
      </c>
    </row>
    <row r="29" spans="2:14" x14ac:dyDescent="0.3">
      <c r="B29" s="76" t="s">
        <v>316</v>
      </c>
      <c r="C29" s="106">
        <v>89</v>
      </c>
      <c r="D29" s="107">
        <v>98</v>
      </c>
      <c r="E29" s="107">
        <v>82</v>
      </c>
      <c r="F29" s="107">
        <v>153</v>
      </c>
      <c r="G29" s="107">
        <v>147</v>
      </c>
      <c r="H29" s="107">
        <v>377</v>
      </c>
      <c r="I29" s="107">
        <v>364</v>
      </c>
      <c r="J29" s="107">
        <v>1020</v>
      </c>
      <c r="K29" s="107">
        <v>1129</v>
      </c>
      <c r="L29" s="107">
        <v>829</v>
      </c>
      <c r="M29" s="107">
        <v>935</v>
      </c>
      <c r="N29" s="107">
        <v>1099</v>
      </c>
    </row>
    <row r="30" spans="2:14" ht="15" thickBot="1" x14ac:dyDescent="0.35">
      <c r="B30" s="83" t="s">
        <v>29</v>
      </c>
      <c r="C30" s="104">
        <v>16</v>
      </c>
      <c r="D30" s="105">
        <v>15</v>
      </c>
      <c r="E30" s="105">
        <v>29</v>
      </c>
      <c r="F30" s="105">
        <v>26</v>
      </c>
      <c r="G30" s="105">
        <v>68</v>
      </c>
      <c r="H30" s="105">
        <v>17</v>
      </c>
      <c r="I30" s="105">
        <v>15</v>
      </c>
      <c r="J30" s="105">
        <v>3</v>
      </c>
      <c r="K30" s="105">
        <v>6</v>
      </c>
      <c r="L30" s="105">
        <v>202</v>
      </c>
      <c r="M30" s="105">
        <v>107</v>
      </c>
      <c r="N30" s="105">
        <v>3</v>
      </c>
    </row>
    <row r="31" spans="2:14" x14ac:dyDescent="0.3">
      <c r="B31" s="91" t="s">
        <v>355</v>
      </c>
      <c r="C31" s="108">
        <v>532</v>
      </c>
      <c r="D31" s="109">
        <v>713</v>
      </c>
      <c r="E31" s="109">
        <v>897</v>
      </c>
      <c r="F31" s="109">
        <v>3063</v>
      </c>
      <c r="G31" s="109">
        <v>2033</v>
      </c>
      <c r="H31" s="109">
        <v>2212</v>
      </c>
      <c r="I31" s="109">
        <v>5749</v>
      </c>
      <c r="J31" s="109">
        <v>5624</v>
      </c>
      <c r="K31" s="109">
        <v>5076</v>
      </c>
      <c r="L31" s="109">
        <v>5733</v>
      </c>
      <c r="M31" s="109">
        <v>6716</v>
      </c>
      <c r="N31" s="109">
        <v>7004</v>
      </c>
    </row>
    <row r="32" spans="2:14" ht="15" thickBot="1" x14ac:dyDescent="0.35">
      <c r="B32" s="77" t="s">
        <v>317</v>
      </c>
      <c r="C32" s="106">
        <v>378</v>
      </c>
      <c r="D32" s="107">
        <v>540</v>
      </c>
      <c r="E32" s="107">
        <v>672</v>
      </c>
      <c r="F32" s="107">
        <v>948</v>
      </c>
      <c r="G32" s="107">
        <v>1163</v>
      </c>
      <c r="H32" s="107">
        <v>1609</v>
      </c>
      <c r="I32" s="107">
        <v>1947</v>
      </c>
      <c r="J32" s="107">
        <v>2248</v>
      </c>
      <c r="K32" s="107">
        <v>2743</v>
      </c>
      <c r="L32" s="107">
        <v>3243</v>
      </c>
      <c r="M32" s="107">
        <v>3927</v>
      </c>
      <c r="N32" s="107">
        <v>5044</v>
      </c>
    </row>
    <row r="33" spans="2:14" x14ac:dyDescent="0.3">
      <c r="B33" s="92" t="s">
        <v>354</v>
      </c>
      <c r="C33" s="110">
        <v>10</v>
      </c>
      <c r="D33" s="109">
        <v>7</v>
      </c>
      <c r="E33" s="109">
        <v>8</v>
      </c>
      <c r="F33" s="109">
        <v>21</v>
      </c>
      <c r="G33" s="109">
        <v>34</v>
      </c>
      <c r="H33" s="109">
        <v>64</v>
      </c>
      <c r="I33" s="109">
        <v>20</v>
      </c>
      <c r="J33" s="109">
        <v>44</v>
      </c>
      <c r="K33" s="109">
        <v>67</v>
      </c>
      <c r="L33" s="109">
        <v>62</v>
      </c>
      <c r="M33" s="109">
        <v>166</v>
      </c>
      <c r="N33" s="109">
        <v>154</v>
      </c>
    </row>
    <row r="34" spans="2:14" x14ac:dyDescent="0.3">
      <c r="B34" s="34" t="s">
        <v>318</v>
      </c>
      <c r="C34" s="106">
        <v>55</v>
      </c>
      <c r="D34" s="107">
        <v>38</v>
      </c>
      <c r="E34" s="107">
        <v>35</v>
      </c>
      <c r="F34" s="107">
        <v>1884</v>
      </c>
      <c r="G34" s="107">
        <v>560</v>
      </c>
      <c r="H34" s="107">
        <v>219</v>
      </c>
      <c r="I34" s="107">
        <v>108</v>
      </c>
      <c r="J34" s="107">
        <v>1446</v>
      </c>
      <c r="K34" s="107">
        <v>299</v>
      </c>
      <c r="L34" s="107">
        <v>1408</v>
      </c>
      <c r="M34" s="107">
        <v>638</v>
      </c>
      <c r="N34" s="107">
        <v>358</v>
      </c>
    </row>
    <row r="35" spans="2:14" x14ac:dyDescent="0.3">
      <c r="B35" s="34" t="s">
        <v>319</v>
      </c>
      <c r="C35" s="106">
        <v>14</v>
      </c>
      <c r="D35" s="107">
        <v>21</v>
      </c>
      <c r="E35" s="107">
        <v>32</v>
      </c>
      <c r="F35" s="107">
        <v>45</v>
      </c>
      <c r="G35" s="107">
        <v>51</v>
      </c>
      <c r="H35" s="107">
        <v>98</v>
      </c>
      <c r="I35" s="107">
        <v>94</v>
      </c>
      <c r="J35" s="107">
        <v>81</v>
      </c>
      <c r="K35" s="107">
        <v>109</v>
      </c>
      <c r="L35" s="107">
        <v>97</v>
      </c>
      <c r="M35" s="107">
        <v>105</v>
      </c>
      <c r="N35" s="107">
        <v>126</v>
      </c>
    </row>
    <row r="36" spans="2:14" x14ac:dyDescent="0.3">
      <c r="B36" s="77" t="s">
        <v>320</v>
      </c>
      <c r="C36" s="106">
        <v>74</v>
      </c>
      <c r="D36" s="107">
        <v>108</v>
      </c>
      <c r="E36" s="107">
        <v>150</v>
      </c>
      <c r="F36" s="107">
        <v>165</v>
      </c>
      <c r="G36" s="107">
        <v>225</v>
      </c>
      <c r="H36" s="107">
        <v>221</v>
      </c>
      <c r="I36" s="107">
        <v>3580</v>
      </c>
      <c r="J36" s="107">
        <v>1806</v>
      </c>
      <c r="K36" s="107">
        <v>1859</v>
      </c>
      <c r="L36" s="107">
        <v>922</v>
      </c>
      <c r="M36" s="107">
        <v>1879</v>
      </c>
      <c r="N36" s="107">
        <v>1321</v>
      </c>
    </row>
    <row r="37" spans="2:14" x14ac:dyDescent="0.3">
      <c r="B37" s="84" t="s">
        <v>321</v>
      </c>
      <c r="C37" s="85">
        <v>1808</v>
      </c>
      <c r="D37" s="86">
        <v>2355</v>
      </c>
      <c r="E37" s="86">
        <v>3102</v>
      </c>
      <c r="F37" s="86">
        <v>5819</v>
      </c>
      <c r="G37" s="86">
        <v>5648</v>
      </c>
      <c r="H37" s="86">
        <v>7006</v>
      </c>
      <c r="I37" s="86">
        <v>12076</v>
      </c>
      <c r="J37" s="86">
        <v>13655</v>
      </c>
      <c r="K37" s="86">
        <v>15471</v>
      </c>
      <c r="L37" s="86">
        <v>18105</v>
      </c>
      <c r="M37" s="86">
        <v>21172</v>
      </c>
      <c r="N37" s="86">
        <v>24313</v>
      </c>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0EDC61-6403-4CE9-95B6-20C3C4BC6FD1}">
  <sheetPr>
    <tabColor rgb="FFFFFF00"/>
  </sheetPr>
  <dimension ref="A2:I57"/>
  <sheetViews>
    <sheetView workbookViewId="0">
      <pane ySplit="2" topLeftCell="A3" activePane="bottomLeft" state="frozen"/>
      <selection pane="bottomLeft" activeCell="L40" sqref="L40"/>
    </sheetView>
  </sheetViews>
  <sheetFormatPr defaultRowHeight="14.4" x14ac:dyDescent="0.3"/>
  <cols>
    <col min="1" max="1" width="1.88671875" customWidth="1"/>
    <col min="2" max="2" width="29.5546875" bestFit="1" customWidth="1"/>
    <col min="5" max="5" width="9" bestFit="1" customWidth="1"/>
    <col min="6" max="6" width="10" bestFit="1" customWidth="1"/>
    <col min="7" max="7" width="9" bestFit="1" customWidth="1"/>
    <col min="8" max="8" width="13.21875" bestFit="1" customWidth="1"/>
    <col min="9" max="9" width="9" bestFit="1" customWidth="1"/>
  </cols>
  <sheetData>
    <row r="2" spans="1:9" ht="15" thickBot="1" x14ac:dyDescent="0.35">
      <c r="B2" s="73" t="s">
        <v>324</v>
      </c>
      <c r="C2" s="73"/>
      <c r="D2" s="73"/>
      <c r="E2" s="79">
        <v>44256</v>
      </c>
      <c r="F2" s="79">
        <v>44621</v>
      </c>
      <c r="G2" s="79">
        <v>44986</v>
      </c>
      <c r="H2" s="79">
        <v>45352</v>
      </c>
      <c r="I2" s="79">
        <v>45717</v>
      </c>
    </row>
    <row r="4" spans="1:9" x14ac:dyDescent="0.3">
      <c r="B4" s="111" t="str">
        <f>'Raw FS'!B32</f>
        <v>Inventories</v>
      </c>
      <c r="C4" s="111"/>
      <c r="D4" s="111"/>
      <c r="E4" s="117">
        <f>'Raw FS'!J32</f>
        <v>2248</v>
      </c>
      <c r="F4" s="117">
        <f>'Raw FS'!K32</f>
        <v>2743</v>
      </c>
      <c r="G4" s="117">
        <f>'Raw FS'!L32</f>
        <v>3243</v>
      </c>
      <c r="H4" s="117">
        <f>'Raw FS'!M32</f>
        <v>3927</v>
      </c>
      <c r="I4" s="117">
        <f>'Raw FS'!N32</f>
        <v>5044</v>
      </c>
    </row>
    <row r="5" spans="1:9" x14ac:dyDescent="0.3">
      <c r="B5" s="111" t="str">
        <f>'Raw FS'!B33</f>
        <v>Trade receivables</v>
      </c>
      <c r="C5" s="111"/>
      <c r="D5" s="111"/>
      <c r="E5" s="117">
        <f>'Raw FS'!J33</f>
        <v>44</v>
      </c>
      <c r="F5" s="117">
        <f>'Raw FS'!K33</f>
        <v>67</v>
      </c>
      <c r="G5" s="117">
        <f>'Raw FS'!L33</f>
        <v>62</v>
      </c>
      <c r="H5" s="117">
        <f>'Raw FS'!M33</f>
        <v>166</v>
      </c>
      <c r="I5" s="117">
        <f>'Raw FS'!N33</f>
        <v>154</v>
      </c>
    </row>
    <row r="6" spans="1:9" x14ac:dyDescent="0.3">
      <c r="B6" s="111" t="str">
        <f>'Raw FS'!B35</f>
        <v>Loans n Advances</v>
      </c>
      <c r="C6" s="111"/>
      <c r="D6" s="111"/>
      <c r="E6" s="117">
        <f>'Raw FS'!J35</f>
        <v>81</v>
      </c>
      <c r="F6" s="117">
        <f>'Raw FS'!K35</f>
        <v>109</v>
      </c>
      <c r="G6" s="117">
        <f>'Raw FS'!L35</f>
        <v>97</v>
      </c>
      <c r="H6" s="117">
        <f>'Raw FS'!M35</f>
        <v>105</v>
      </c>
      <c r="I6" s="117">
        <f>'Raw FS'!N35</f>
        <v>126</v>
      </c>
    </row>
    <row r="7" spans="1:9" x14ac:dyDescent="0.3">
      <c r="B7" s="111" t="str">
        <f>'Raw FS'!B36</f>
        <v>Other asset items</v>
      </c>
      <c r="C7" s="111"/>
      <c r="D7" s="111"/>
      <c r="E7" s="117">
        <f>'Raw FS'!J36</f>
        <v>1806</v>
      </c>
      <c r="F7" s="117">
        <f>'Raw FS'!K36</f>
        <v>1859</v>
      </c>
      <c r="G7" s="117">
        <f>'Raw FS'!L36</f>
        <v>922</v>
      </c>
      <c r="H7" s="117">
        <f>'Raw FS'!M36</f>
        <v>1879</v>
      </c>
      <c r="I7" s="117">
        <f>'Raw FS'!N36</f>
        <v>1321</v>
      </c>
    </row>
    <row r="8" spans="1:9" x14ac:dyDescent="0.3">
      <c r="B8" s="33" t="s">
        <v>325</v>
      </c>
      <c r="C8" s="33"/>
      <c r="D8" s="33"/>
      <c r="E8" s="118">
        <f>SUM(E4:E7)</f>
        <v>4179</v>
      </c>
      <c r="F8" s="118">
        <f t="shared" ref="F8:I8" si="0">SUM(F4:F7)</f>
        <v>4778</v>
      </c>
      <c r="G8" s="118">
        <f t="shared" si="0"/>
        <v>4324</v>
      </c>
      <c r="H8" s="118">
        <f t="shared" si="0"/>
        <v>6077</v>
      </c>
      <c r="I8" s="118">
        <f t="shared" si="0"/>
        <v>6645</v>
      </c>
    </row>
    <row r="9" spans="1:9" x14ac:dyDescent="0.3">
      <c r="E9" s="119"/>
      <c r="F9" s="119"/>
      <c r="G9" s="119"/>
      <c r="H9" s="119"/>
      <c r="I9" s="119"/>
    </row>
    <row r="10" spans="1:9" x14ac:dyDescent="0.3">
      <c r="B10" s="55" t="s">
        <v>326</v>
      </c>
      <c r="C10" s="39"/>
      <c r="D10" s="39"/>
      <c r="E10" s="120"/>
      <c r="F10" s="120"/>
      <c r="G10" s="120"/>
      <c r="H10" s="120"/>
      <c r="I10" s="120"/>
    </row>
    <row r="11" spans="1:9" x14ac:dyDescent="0.3">
      <c r="B11" s="111" t="str">
        <f>'Raw FS'!B13</f>
        <v>Trade Payables</v>
      </c>
      <c r="C11" s="111"/>
      <c r="D11" s="111"/>
      <c r="E11" s="117">
        <f>'Raw FS'!J13</f>
        <v>578</v>
      </c>
      <c r="F11" s="117">
        <f>'Raw FS'!K13</f>
        <v>589</v>
      </c>
      <c r="G11" s="117">
        <f>'Raw FS'!L13</f>
        <v>754</v>
      </c>
      <c r="H11" s="117">
        <f>'Raw FS'!M13</f>
        <v>985</v>
      </c>
      <c r="I11" s="117">
        <f>'Raw FS'!N13</f>
        <v>1071</v>
      </c>
    </row>
    <row r="12" spans="1:9" x14ac:dyDescent="0.3">
      <c r="B12" s="111" t="str">
        <f>'Raw FS'!B14</f>
        <v>Other liability items</v>
      </c>
      <c r="C12" s="111"/>
      <c r="D12" s="111"/>
      <c r="E12" s="117">
        <f>'Raw FS'!J14</f>
        <v>500</v>
      </c>
      <c r="F12" s="117">
        <f>'Raw FS'!K14</f>
        <v>557</v>
      </c>
      <c r="G12" s="117">
        <f>'Raw FS'!L14</f>
        <v>629</v>
      </c>
      <c r="H12" s="117">
        <f>'Raw FS'!M14</f>
        <v>898</v>
      </c>
      <c r="I12" s="117">
        <f>'Raw FS'!N14</f>
        <v>996</v>
      </c>
    </row>
    <row r="13" spans="1:9" x14ac:dyDescent="0.3">
      <c r="A13" t="s">
        <v>83</v>
      </c>
      <c r="B13" s="33" t="s">
        <v>327</v>
      </c>
      <c r="C13" s="111"/>
      <c r="D13" s="111"/>
      <c r="E13" s="118">
        <f>SUM(E11:E12)</f>
        <v>1078</v>
      </c>
      <c r="F13" s="118">
        <f>SUM(F11:F12)</f>
        <v>1146</v>
      </c>
      <c r="G13" s="118">
        <f>SUM(G11:G12)</f>
        <v>1383</v>
      </c>
      <c r="H13" s="118">
        <f>SUM(H11:H12)</f>
        <v>1883</v>
      </c>
      <c r="I13" s="118">
        <f>SUM(I11:I12)</f>
        <v>2067</v>
      </c>
    </row>
    <row r="14" spans="1:9" x14ac:dyDescent="0.3">
      <c r="E14" s="119"/>
      <c r="F14" s="119"/>
      <c r="G14" s="119"/>
      <c r="H14" s="119"/>
      <c r="I14" s="119"/>
    </row>
    <row r="15" spans="1:9" x14ac:dyDescent="0.3">
      <c r="A15" t="s">
        <v>83</v>
      </c>
      <c r="B15" s="33" t="s">
        <v>328</v>
      </c>
      <c r="C15" s="111"/>
      <c r="D15" s="111"/>
      <c r="E15" s="118">
        <f>E8-E13</f>
        <v>3101</v>
      </c>
      <c r="F15" s="118">
        <f>F8-F13</f>
        <v>3632</v>
      </c>
      <c r="G15" s="118">
        <f>G8-G13</f>
        <v>2941</v>
      </c>
      <c r="H15" s="118">
        <f>H8-H13</f>
        <v>4194</v>
      </c>
      <c r="I15" s="118">
        <f>I8-I13</f>
        <v>4578</v>
      </c>
    </row>
    <row r="17" spans="1:9" x14ac:dyDescent="0.3">
      <c r="A17" t="s">
        <v>83</v>
      </c>
      <c r="B17" s="2" t="s">
        <v>329</v>
      </c>
    </row>
    <row r="18" spans="1:9" x14ac:dyDescent="0.3">
      <c r="B18" s="111" t="str">
        <f>'Raw FS'!B18</f>
        <v>Land</v>
      </c>
      <c r="C18" s="111"/>
      <c r="D18" s="111"/>
      <c r="E18" s="117">
        <f>'Raw FS'!J18</f>
        <v>3483</v>
      </c>
      <c r="F18" s="117">
        <f>'Raw FS'!K18</f>
        <v>4527</v>
      </c>
      <c r="G18" s="117">
        <f>'Raw FS'!L18</f>
        <v>5519</v>
      </c>
      <c r="H18" s="117">
        <f>'Raw FS'!M18</f>
        <v>6904</v>
      </c>
      <c r="I18" s="117">
        <f>'Raw FS'!N18</f>
        <v>8595</v>
      </c>
    </row>
    <row r="19" spans="1:9" x14ac:dyDescent="0.3">
      <c r="B19" s="111" t="str">
        <f>'Raw FS'!B19</f>
        <v>Building</v>
      </c>
      <c r="C19" s="111"/>
      <c r="D19" s="111"/>
      <c r="E19" s="117">
        <f>'Raw FS'!J19</f>
        <v>3649</v>
      </c>
      <c r="F19" s="117">
        <f>'Raw FS'!K19</f>
        <v>4938</v>
      </c>
      <c r="G19" s="117">
        <f>'Raw FS'!L19</f>
        <v>6201</v>
      </c>
      <c r="H19" s="117">
        <f>'Raw FS'!M19</f>
        <v>7062</v>
      </c>
      <c r="I19" s="117">
        <f>'Raw FS'!N19</f>
        <v>8256</v>
      </c>
    </row>
    <row r="20" spans="1:9" x14ac:dyDescent="0.3">
      <c r="B20" s="111" t="str">
        <f>'Raw FS'!B20</f>
        <v>Plant Machinery</v>
      </c>
      <c r="C20" s="111"/>
      <c r="D20" s="111"/>
      <c r="E20" s="117">
        <f>'Raw FS'!J20</f>
        <v>352</v>
      </c>
      <c r="F20" s="117">
        <f>'Raw FS'!K20</f>
        <v>491</v>
      </c>
      <c r="G20" s="117">
        <f>'Raw FS'!L20</f>
        <v>656</v>
      </c>
      <c r="H20" s="117">
        <f>'Raw FS'!M20</f>
        <v>870</v>
      </c>
      <c r="I20" s="117">
        <f>'Raw FS'!N20</f>
        <v>1141</v>
      </c>
    </row>
    <row r="21" spans="1:9" x14ac:dyDescent="0.3">
      <c r="B21" s="111" t="str">
        <f>'Raw FS'!B21</f>
        <v>Equipments</v>
      </c>
      <c r="C21" s="111"/>
      <c r="D21" s="111"/>
      <c r="E21" s="117">
        <f>'Raw FS'!J21</f>
        <v>50</v>
      </c>
      <c r="F21" s="117">
        <f>'Raw FS'!K21</f>
        <v>73</v>
      </c>
      <c r="G21" s="117">
        <f>'Raw FS'!L21</f>
        <v>85</v>
      </c>
      <c r="H21" s="117">
        <f>'Raw FS'!M21</f>
        <v>97</v>
      </c>
      <c r="I21" s="117">
        <f>'Raw FS'!N21</f>
        <v>115</v>
      </c>
    </row>
    <row r="22" spans="1:9" x14ac:dyDescent="0.3">
      <c r="B22" s="111" t="str">
        <f>'Raw FS'!B22</f>
        <v>Computers</v>
      </c>
      <c r="C22" s="111"/>
      <c r="D22" s="111"/>
      <c r="E22" s="117">
        <f>'Raw FS'!J22</f>
        <v>119</v>
      </c>
      <c r="F22" s="117">
        <f>'Raw FS'!K22</f>
        <v>153</v>
      </c>
      <c r="G22" s="117">
        <f>'Raw FS'!L22</f>
        <v>190</v>
      </c>
      <c r="H22" s="117">
        <f>'Raw FS'!M22</f>
        <v>219</v>
      </c>
      <c r="I22" s="117">
        <f>'Raw FS'!N22</f>
        <v>276</v>
      </c>
    </row>
    <row r="23" spans="1:9" x14ac:dyDescent="0.3">
      <c r="B23" s="111" t="str">
        <f>'Raw FS'!B23</f>
        <v>Furniture n fittings</v>
      </c>
      <c r="C23" s="111"/>
      <c r="D23" s="111"/>
      <c r="E23" s="117">
        <f>'Raw FS'!J23</f>
        <v>581</v>
      </c>
      <c r="F23" s="117">
        <f>'Raw FS'!K23</f>
        <v>772</v>
      </c>
      <c r="G23" s="117">
        <f>'Raw FS'!L23</f>
        <v>968</v>
      </c>
      <c r="H23" s="117">
        <f>'Raw FS'!M23</f>
        <v>1205</v>
      </c>
      <c r="I23" s="117">
        <f>'Raw FS'!N23</f>
        <v>1515</v>
      </c>
    </row>
    <row r="24" spans="1:9" x14ac:dyDescent="0.3">
      <c r="B24" s="111" t="str">
        <f>'Raw FS'!B25</f>
        <v>Intangible Assets</v>
      </c>
      <c r="C24" s="111"/>
      <c r="D24" s="111"/>
      <c r="E24" s="117">
        <f>'Raw FS'!J25</f>
        <v>78</v>
      </c>
      <c r="F24" s="117">
        <f>'Raw FS'!K25</f>
        <v>78</v>
      </c>
      <c r="G24" s="117">
        <f>'Raw FS'!L25</f>
        <v>78</v>
      </c>
      <c r="H24" s="117">
        <f>'Raw FS'!M25</f>
        <v>78</v>
      </c>
      <c r="I24" s="117">
        <f>'Raw FS'!N25</f>
        <v>78</v>
      </c>
    </row>
    <row r="25" spans="1:9" x14ac:dyDescent="0.3">
      <c r="B25" s="111" t="str">
        <f>'Raw FS'!B26</f>
        <v>Other fixed assets</v>
      </c>
      <c r="C25" s="111"/>
      <c r="D25" s="111"/>
      <c r="E25" s="117">
        <f>'Raw FS'!J26</f>
        <v>81</v>
      </c>
      <c r="F25" s="117">
        <f>'Raw FS'!K26</f>
        <v>91</v>
      </c>
      <c r="G25" s="117">
        <f>'Raw FS'!L26</f>
        <v>105</v>
      </c>
      <c r="H25" s="117">
        <f>'Raw FS'!M26</f>
        <v>119</v>
      </c>
      <c r="I25" s="117">
        <f>'Raw FS'!N26</f>
        <v>124</v>
      </c>
    </row>
    <row r="26" spans="1:9" x14ac:dyDescent="0.3">
      <c r="B26" t="s">
        <v>314</v>
      </c>
      <c r="E26" s="121">
        <f>SUM(E18:E25)</f>
        <v>8393</v>
      </c>
      <c r="F26" s="121">
        <f t="shared" ref="F26:I26" si="1">SUM(F18:F25)</f>
        <v>11123</v>
      </c>
      <c r="G26" s="121">
        <f t="shared" si="1"/>
        <v>13802</v>
      </c>
      <c r="H26" s="121">
        <f t="shared" si="1"/>
        <v>16554</v>
      </c>
      <c r="I26" s="121">
        <f t="shared" si="1"/>
        <v>20100</v>
      </c>
    </row>
    <row r="27" spans="1:9" x14ac:dyDescent="0.3">
      <c r="B27" t="str">
        <f>'Raw FS'!B28</f>
        <v>Accumulated Depreciation</v>
      </c>
      <c r="E27" s="119">
        <f>'Raw FS'!J28</f>
        <v>1387</v>
      </c>
      <c r="F27" s="119">
        <f>'Raw FS'!K28</f>
        <v>1867</v>
      </c>
      <c r="G27" s="119">
        <f>'Raw FS'!L28</f>
        <v>2476</v>
      </c>
      <c r="H27" s="119">
        <f>'Raw FS'!M28</f>
        <v>3156</v>
      </c>
      <c r="I27" s="119">
        <f>'Raw FS'!N28</f>
        <v>3900</v>
      </c>
    </row>
    <row r="28" spans="1:9" ht="15" thickBot="1" x14ac:dyDescent="0.35">
      <c r="A28" t="s">
        <v>83</v>
      </c>
      <c r="B28" s="113" t="s">
        <v>330</v>
      </c>
      <c r="C28" s="113"/>
      <c r="D28" s="113"/>
      <c r="E28" s="122">
        <f>E26-E27</f>
        <v>7006</v>
      </c>
      <c r="F28" s="122">
        <f>F26-F27</f>
        <v>9256</v>
      </c>
      <c r="G28" s="122">
        <f>G26-G27</f>
        <v>11326</v>
      </c>
      <c r="H28" s="122">
        <f>H26-H27</f>
        <v>13398</v>
      </c>
      <c r="I28" s="122">
        <f>I26-I27</f>
        <v>16200</v>
      </c>
    </row>
    <row r="29" spans="1:9" ht="15" thickTop="1" x14ac:dyDescent="0.3">
      <c r="B29" s="2"/>
      <c r="C29" s="2"/>
      <c r="D29" s="2"/>
      <c r="E29" s="120"/>
      <c r="F29" s="120"/>
      <c r="G29" s="120"/>
      <c r="H29" s="120"/>
      <c r="I29" s="120"/>
    </row>
    <row r="30" spans="1:9" x14ac:dyDescent="0.3">
      <c r="A30" t="s">
        <v>83</v>
      </c>
      <c r="B30" s="33" t="s">
        <v>331</v>
      </c>
      <c r="C30" s="33"/>
      <c r="D30" s="33"/>
      <c r="E30" s="117">
        <f>E28+E15</f>
        <v>10107</v>
      </c>
      <c r="F30" s="117">
        <f>F28+F15</f>
        <v>12888</v>
      </c>
      <c r="G30" s="117">
        <f>G28+G15</f>
        <v>14267</v>
      </c>
      <c r="H30" s="117">
        <f>H28+H15</f>
        <v>17592</v>
      </c>
      <c r="I30" s="117">
        <f>I28+I15</f>
        <v>20778</v>
      </c>
    </row>
    <row r="31" spans="1:9" x14ac:dyDescent="0.3">
      <c r="B31" s="55" t="s">
        <v>332</v>
      </c>
      <c r="C31" s="39"/>
      <c r="D31" s="39"/>
      <c r="E31" s="117">
        <f>HistoricaIFS!H26+HistoricaIFS!H20</f>
        <v>1330.6699999999985</v>
      </c>
      <c r="F31" s="117">
        <f>HistoricaIFS!I26+HistoricaIFS!I20</f>
        <v>2004.2700000000013</v>
      </c>
      <c r="G31" s="117">
        <f>HistoricaIFS!J26+HistoricaIFS!J20</f>
        <v>2999.8999999999969</v>
      </c>
      <c r="H31" s="117">
        <f>HistoricaIFS!K26+HistoricaIFS!K20</f>
        <v>3374.8800000000051</v>
      </c>
      <c r="I31" s="117">
        <f>HistoricaIFS!L26+HistoricaIFS!L20</f>
        <v>3624.989999999998</v>
      </c>
    </row>
    <row r="33" spans="1:9" ht="15" thickBot="1" x14ac:dyDescent="0.35">
      <c r="A33" t="s">
        <v>83</v>
      </c>
      <c r="B33" s="112" t="s">
        <v>333</v>
      </c>
      <c r="C33" s="115"/>
      <c r="D33" s="115"/>
      <c r="E33" s="116">
        <f>E31/E30</f>
        <v>0.13165825665380415</v>
      </c>
      <c r="F33" s="116">
        <f t="shared" ref="F33:I33" si="2">F31/F30</f>
        <v>0.15551443202979526</v>
      </c>
      <c r="G33" s="116">
        <f t="shared" si="2"/>
        <v>0.2102684516716897</v>
      </c>
      <c r="H33" s="116">
        <f t="shared" si="2"/>
        <v>0.19184174624829498</v>
      </c>
      <c r="I33" s="116">
        <f t="shared" si="2"/>
        <v>0.1744628934449898</v>
      </c>
    </row>
    <row r="34" spans="1:9" ht="15" thickTop="1" x14ac:dyDescent="0.3">
      <c r="B34" s="2"/>
      <c r="E34" s="10"/>
      <c r="F34" s="10"/>
      <c r="G34" s="10"/>
      <c r="H34" s="10"/>
      <c r="I34" s="10"/>
    </row>
    <row r="35" spans="1:9" ht="15" thickBot="1" x14ac:dyDescent="0.35">
      <c r="B35" s="73" t="s">
        <v>339</v>
      </c>
      <c r="C35" s="73"/>
      <c r="D35" s="73"/>
      <c r="E35" s="79">
        <f>E2</f>
        <v>44256</v>
      </c>
      <c r="F35" s="79">
        <f>F2</f>
        <v>44621</v>
      </c>
      <c r="G35" s="79">
        <f>G2</f>
        <v>44986</v>
      </c>
      <c r="H35" s="79">
        <f>H2</f>
        <v>45352</v>
      </c>
      <c r="I35" s="79">
        <f>I2</f>
        <v>45717</v>
      </c>
    </row>
    <row r="37" spans="1:9" x14ac:dyDescent="0.3">
      <c r="B37" s="33" t="s">
        <v>334</v>
      </c>
      <c r="C37" s="111"/>
      <c r="D37" s="111"/>
      <c r="E37" s="130">
        <f>-SUM('Cash Flow Data'!H14:H15)</f>
        <v>2375</v>
      </c>
      <c r="F37" s="130">
        <f>-SUM('Cash Flow Data'!I14:I15)</f>
        <v>6369</v>
      </c>
      <c r="G37" s="130">
        <f>-SUM('Cash Flow Data'!J14:J15)</f>
        <v>3139</v>
      </c>
      <c r="H37" s="130">
        <f>-SUM('Cash Flow Data'!K14:K15)</f>
        <v>3699</v>
      </c>
      <c r="I37" s="130">
        <f>-SUM('Cash Flow Data'!L14:L15)</f>
        <v>4525</v>
      </c>
    </row>
    <row r="38" spans="1:9" ht="15" thickBot="1" x14ac:dyDescent="0.35">
      <c r="B38" s="115" t="s">
        <v>335</v>
      </c>
      <c r="C38" s="115"/>
      <c r="D38" s="115"/>
      <c r="E38" s="115"/>
      <c r="F38" s="115">
        <f>F15-E15</f>
        <v>531</v>
      </c>
      <c r="G38" s="115">
        <f t="shared" ref="G38:I38" si="3">G15-F15</f>
        <v>-691</v>
      </c>
      <c r="H38" s="115">
        <f t="shared" si="3"/>
        <v>1253</v>
      </c>
      <c r="I38" s="115">
        <f t="shared" si="3"/>
        <v>384</v>
      </c>
    </row>
    <row r="39" spans="1:9" ht="15" thickTop="1" x14ac:dyDescent="0.3"/>
    <row r="40" spans="1:9" x14ac:dyDescent="0.3">
      <c r="B40" s="111" t="s">
        <v>332</v>
      </c>
      <c r="C40" s="111"/>
      <c r="D40" s="111"/>
      <c r="E40" s="123">
        <f>E31</f>
        <v>1330.6699999999985</v>
      </c>
      <c r="F40" s="123">
        <f t="shared" ref="F40:I40" si="4">F31</f>
        <v>2004.2700000000013</v>
      </c>
      <c r="G40" s="123">
        <f t="shared" si="4"/>
        <v>2999.8999999999969</v>
      </c>
      <c r="H40" s="123">
        <f t="shared" si="4"/>
        <v>3374.8800000000051</v>
      </c>
      <c r="I40" s="123">
        <f t="shared" si="4"/>
        <v>3624.989999999998</v>
      </c>
    </row>
    <row r="41" spans="1:9" x14ac:dyDescent="0.3">
      <c r="B41" s="111" t="s">
        <v>336</v>
      </c>
      <c r="C41" s="111"/>
      <c r="D41" s="111"/>
      <c r="E41" s="124">
        <v>0.25</v>
      </c>
      <c r="F41" s="124">
        <v>0.25</v>
      </c>
      <c r="G41" s="124">
        <v>0.25</v>
      </c>
      <c r="H41" s="124">
        <v>0.25</v>
      </c>
      <c r="I41" s="124">
        <v>0.25</v>
      </c>
    </row>
    <row r="42" spans="1:9" ht="15" thickBot="1" x14ac:dyDescent="0.35">
      <c r="B42" s="115" t="s">
        <v>337</v>
      </c>
      <c r="C42" s="115"/>
      <c r="D42" s="115"/>
      <c r="E42" s="115">
        <f>E40*(1-E41)</f>
        <v>998.00249999999892</v>
      </c>
      <c r="F42" s="115">
        <f t="shared" ref="F42:I42" si="5">F40*(1-F41)</f>
        <v>1503.202500000001</v>
      </c>
      <c r="G42" s="115">
        <f t="shared" si="5"/>
        <v>2249.9249999999975</v>
      </c>
      <c r="H42" s="115">
        <f t="shared" si="5"/>
        <v>2531.1600000000039</v>
      </c>
      <c r="I42" s="115">
        <f t="shared" si="5"/>
        <v>2718.7424999999985</v>
      </c>
    </row>
    <row r="43" spans="1:9" ht="15" thickTop="1" x14ac:dyDescent="0.3"/>
    <row r="44" spans="1:9" x14ac:dyDescent="0.3">
      <c r="B44" s="111" t="s">
        <v>338</v>
      </c>
      <c r="C44" s="111"/>
      <c r="D44" s="111"/>
      <c r="E44" s="111"/>
      <c r="F44" s="111">
        <f>SUM(F37:F38)</f>
        <v>6900</v>
      </c>
      <c r="G44" s="111">
        <f t="shared" ref="G44:I44" si="6">SUM(G37:G38)</f>
        <v>2448</v>
      </c>
      <c r="H44" s="111">
        <f t="shared" si="6"/>
        <v>4952</v>
      </c>
      <c r="I44" s="111">
        <f t="shared" si="6"/>
        <v>4909</v>
      </c>
    </row>
    <row r="45" spans="1:9" ht="15" thickBot="1" x14ac:dyDescent="0.35">
      <c r="B45" s="115" t="s">
        <v>340</v>
      </c>
      <c r="C45" s="115"/>
      <c r="D45" s="115"/>
      <c r="E45" s="115"/>
      <c r="F45" s="125">
        <f>F44/F42</f>
        <v>4.5901999231640414</v>
      </c>
      <c r="G45" s="125">
        <f t="shared" ref="G45:I45" si="7">G44/G42</f>
        <v>1.088036267875597</v>
      </c>
      <c r="H45" s="125">
        <f t="shared" si="7"/>
        <v>1.9564152404431139</v>
      </c>
      <c r="I45" s="125">
        <f t="shared" si="7"/>
        <v>1.8056141764069245</v>
      </c>
    </row>
    <row r="46" spans="1:9" ht="15" thickTop="1" x14ac:dyDescent="0.3">
      <c r="F46" s="114"/>
      <c r="G46" s="114"/>
      <c r="H46" s="114"/>
      <c r="I46" s="114"/>
    </row>
    <row r="47" spans="1:9" x14ac:dyDescent="0.3">
      <c r="H47" s="50" t="s">
        <v>341</v>
      </c>
      <c r="I47" s="129">
        <f>AVERAGE(F45:I45)</f>
        <v>2.3600664019724191</v>
      </c>
    </row>
    <row r="48" spans="1:9" x14ac:dyDescent="0.3">
      <c r="H48" s="50" t="s">
        <v>342</v>
      </c>
      <c r="I48" s="129">
        <f>MEDIAN(F45:I45)</f>
        <v>1.8810147084250191</v>
      </c>
    </row>
    <row r="51" spans="2:9" ht="15" thickBot="1" x14ac:dyDescent="0.35">
      <c r="B51" s="73" t="s">
        <v>343</v>
      </c>
      <c r="C51" s="73"/>
      <c r="D51" s="73"/>
      <c r="E51" s="79">
        <f>E35</f>
        <v>44256</v>
      </c>
      <c r="F51" s="79">
        <f>F35</f>
        <v>44621</v>
      </c>
      <c r="G51" s="79">
        <f t="shared" ref="G51:I51" si="8">G35</f>
        <v>44986</v>
      </c>
      <c r="H51" s="79">
        <f t="shared" si="8"/>
        <v>45352</v>
      </c>
      <c r="I51" s="79">
        <f t="shared" si="8"/>
        <v>45717</v>
      </c>
    </row>
    <row r="53" spans="2:9" x14ac:dyDescent="0.3">
      <c r="B53" s="111" t="s">
        <v>340</v>
      </c>
      <c r="C53" s="111"/>
      <c r="D53" s="111"/>
      <c r="E53" s="111"/>
      <c r="F53" s="126">
        <f>F45</f>
        <v>4.5901999231640414</v>
      </c>
      <c r="G53" s="126">
        <f t="shared" ref="G53:I53" si="9">G45</f>
        <v>1.088036267875597</v>
      </c>
      <c r="H53" s="126">
        <f t="shared" si="9"/>
        <v>1.9564152404431139</v>
      </c>
      <c r="I53" s="126">
        <f t="shared" si="9"/>
        <v>1.8056141764069245</v>
      </c>
    </row>
    <row r="54" spans="2:9" ht="15" thickBot="1" x14ac:dyDescent="0.35">
      <c r="B54" s="115" t="str">
        <f>B33</f>
        <v>ROIC</v>
      </c>
      <c r="C54" s="115"/>
      <c r="D54" s="115"/>
      <c r="E54" s="127"/>
      <c r="F54" s="127">
        <f t="shared" ref="F54:I54" si="10">F33</f>
        <v>0.15551443202979526</v>
      </c>
      <c r="G54" s="127">
        <f t="shared" si="10"/>
        <v>0.2102684516716897</v>
      </c>
      <c r="H54" s="127">
        <f t="shared" si="10"/>
        <v>0.19184174624829498</v>
      </c>
      <c r="I54" s="127">
        <f t="shared" si="10"/>
        <v>0.1744628934449898</v>
      </c>
    </row>
    <row r="55" spans="2:9" ht="15" thickTop="1" x14ac:dyDescent="0.3"/>
    <row r="56" spans="2:9" ht="15" thickBot="1" x14ac:dyDescent="0.35">
      <c r="B56" s="115" t="s">
        <v>344</v>
      </c>
      <c r="C56" s="115"/>
      <c r="D56" s="115"/>
      <c r="E56" s="115"/>
      <c r="F56" s="128">
        <f>F53*F54</f>
        <v>0.71384233395406571</v>
      </c>
      <c r="G56" s="128">
        <f t="shared" ref="G56:I56" si="11">G53*G54</f>
        <v>0.2287797014088456</v>
      </c>
      <c r="H56" s="128">
        <f t="shared" si="11"/>
        <v>0.37532211611338484</v>
      </c>
      <c r="I56" s="128">
        <f t="shared" si="11"/>
        <v>0.3150126736612443</v>
      </c>
    </row>
    <row r="57" spans="2:9" ht="15" thickTop="1" x14ac:dyDescent="0.3"/>
  </sheetData>
  <pageMargins left="0.7" right="0.7" top="0.75" bottom="0.75" header="0.3" footer="0.3"/>
  <ignoredErrors>
    <ignoredError sqref="J37 E37:I37" formulaRange="1"/>
  </ignoredError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1AAF65-AFCA-4DD4-BF6D-11C6EC571170}">
  <sheetPr>
    <tabColor theme="4"/>
  </sheetPr>
  <dimension ref="B2:P38"/>
  <sheetViews>
    <sheetView showGridLines="0" workbookViewId="0">
      <selection activeCell="R32" sqref="R32"/>
    </sheetView>
  </sheetViews>
  <sheetFormatPr defaultRowHeight="14.4" x14ac:dyDescent="0.3"/>
  <cols>
    <col min="1" max="1" width="1.88671875" customWidth="1"/>
    <col min="2" max="2" width="30.21875" bestFit="1" customWidth="1"/>
    <col min="4" max="4" width="6.88671875" customWidth="1"/>
    <col min="5" max="5" width="11.77734375" customWidth="1"/>
    <col min="6" max="6" width="10.5546875" bestFit="1" customWidth="1"/>
    <col min="8" max="8" width="9.88671875" customWidth="1"/>
    <col min="9" max="9" width="3.44140625" customWidth="1"/>
    <col min="11" max="11" width="10.21875" bestFit="1" customWidth="1"/>
    <col min="12" max="12" width="11.109375" customWidth="1"/>
    <col min="13" max="13" width="3.88671875" customWidth="1"/>
    <col min="14" max="14" width="12" bestFit="1" customWidth="1"/>
    <col min="15" max="15" width="10.44140625" bestFit="1" customWidth="1"/>
    <col min="16" max="16" width="12" bestFit="1" customWidth="1"/>
  </cols>
  <sheetData>
    <row r="2" spans="2:16" ht="15" thickBot="1" x14ac:dyDescent="0.35">
      <c r="B2" s="134" t="s">
        <v>381</v>
      </c>
      <c r="C2" s="134"/>
      <c r="D2" s="134"/>
      <c r="E2" s="134"/>
      <c r="F2" s="134"/>
      <c r="G2" s="134"/>
      <c r="H2" s="134"/>
      <c r="I2" s="134"/>
      <c r="J2" s="134"/>
      <c r="K2" s="134"/>
      <c r="L2" s="134"/>
    </row>
    <row r="3" spans="2:16" ht="15" thickTop="1" x14ac:dyDescent="0.3"/>
    <row r="4" spans="2:16" x14ac:dyDescent="0.3">
      <c r="B4" s="290" t="s">
        <v>389</v>
      </c>
      <c r="C4" s="290"/>
      <c r="D4" s="290"/>
      <c r="E4" s="290"/>
      <c r="F4" s="290"/>
      <c r="G4" s="290"/>
      <c r="H4" s="290"/>
      <c r="I4" s="165"/>
      <c r="J4" s="290" t="s">
        <v>393</v>
      </c>
      <c r="K4" s="290"/>
      <c r="L4" s="290"/>
      <c r="M4" s="164"/>
      <c r="N4" s="290" t="s">
        <v>392</v>
      </c>
      <c r="O4" s="290"/>
      <c r="P4" s="290"/>
    </row>
    <row r="5" spans="2:16" ht="28.8" x14ac:dyDescent="0.3">
      <c r="B5" s="73" t="s">
        <v>382</v>
      </c>
      <c r="C5" s="73" t="s">
        <v>383</v>
      </c>
      <c r="D5" s="162" t="s">
        <v>384</v>
      </c>
      <c r="E5" s="162" t="s">
        <v>385</v>
      </c>
      <c r="F5" s="162" t="s">
        <v>386</v>
      </c>
      <c r="G5" s="162" t="s">
        <v>387</v>
      </c>
      <c r="H5" s="162" t="s">
        <v>388</v>
      </c>
      <c r="I5" s="67"/>
      <c r="J5" s="73" t="s">
        <v>390</v>
      </c>
      <c r="K5" s="73" t="s">
        <v>90</v>
      </c>
      <c r="L5" s="73" t="s">
        <v>391</v>
      </c>
      <c r="M5" s="67"/>
      <c r="N5" s="73" t="s">
        <v>404</v>
      </c>
      <c r="O5" s="73" t="s">
        <v>405</v>
      </c>
      <c r="P5" s="163" t="s">
        <v>406</v>
      </c>
    </row>
    <row r="6" spans="2:16" x14ac:dyDescent="0.3">
      <c r="B6" s="225" t="str">
        <f>DATA!C4</f>
        <v>Avenue Super.</v>
      </c>
      <c r="C6" s="225"/>
      <c r="D6" s="226">
        <f>DATA!D4</f>
        <v>4358.2</v>
      </c>
      <c r="E6" s="226">
        <f>DATA!E4</f>
        <v>65.069999999999993</v>
      </c>
      <c r="F6" s="227">
        <f>D6*E6</f>
        <v>283588.07399999996</v>
      </c>
      <c r="G6" s="226">
        <f>DATA!I4</f>
        <v>461.42</v>
      </c>
      <c r="H6" s="227">
        <f>F6+G6</f>
        <v>284049.49399999995</v>
      </c>
      <c r="J6" s="225">
        <f>DATA!L4</f>
        <v>61648.61</v>
      </c>
      <c r="K6" s="230">
        <f>DATA!P4</f>
        <v>4667.2608281301336</v>
      </c>
      <c r="L6" s="225">
        <f>DATA!N4</f>
        <v>2706.58</v>
      </c>
      <c r="N6" s="231">
        <f>H6/J6</f>
        <v>4.6075571533567414</v>
      </c>
      <c r="O6" s="232">
        <f>H6/K6</f>
        <v>60.860000000000007</v>
      </c>
      <c r="P6" s="227">
        <f>F6/L6</f>
        <v>104.77727390285895</v>
      </c>
    </row>
    <row r="7" spans="2:16" x14ac:dyDescent="0.3">
      <c r="B7" s="228" t="str">
        <f>DATA!C3</f>
        <v>Eternal Ltd</v>
      </c>
      <c r="C7" s="229"/>
      <c r="D7" s="229">
        <f>DATA!D3</f>
        <v>318.39999999999998</v>
      </c>
      <c r="E7" s="229">
        <f>DATA!E3</f>
        <v>965.04</v>
      </c>
      <c r="F7" s="229">
        <f>D7*E7</f>
        <v>307268.73599999998</v>
      </c>
      <c r="G7" s="229">
        <f>DATA!I3</f>
        <v>-1569</v>
      </c>
      <c r="H7" s="229">
        <f>F7+G7</f>
        <v>305699.73599999998</v>
      </c>
      <c r="I7" s="161"/>
      <c r="J7" s="229">
        <f>DATA!L3</f>
        <v>23204</v>
      </c>
      <c r="K7" s="229">
        <f>DATA!P3</f>
        <v>1770.017578599965</v>
      </c>
      <c r="L7" s="229">
        <f>DATA!N3</f>
        <v>299</v>
      </c>
      <c r="M7" s="161"/>
      <c r="N7" s="233">
        <f t="shared" ref="N7:N20" si="0">H7/J7</f>
        <v>13.174441303223581</v>
      </c>
      <c r="O7" s="229">
        <f t="shared" ref="O7:O20" si="1">H7/K7</f>
        <v>172.71</v>
      </c>
      <c r="P7" s="234">
        <f t="shared" ref="P7:P20" si="2">F7/L7</f>
        <v>1027.6546354515049</v>
      </c>
    </row>
    <row r="8" spans="2:16" x14ac:dyDescent="0.3">
      <c r="B8" s="228" t="str">
        <f>DATA!C5</f>
        <v>Trent</v>
      </c>
      <c r="C8" s="229"/>
      <c r="D8" s="229">
        <f>DATA!D5</f>
        <v>5370.5</v>
      </c>
      <c r="E8" s="229">
        <f>DATA!E5</f>
        <v>35.549999999999997</v>
      </c>
      <c r="F8" s="229">
        <f t="shared" ref="F8:F20" si="3">D8*E8</f>
        <v>190921.27499999999</v>
      </c>
      <c r="G8" s="229">
        <f>DATA!I5</f>
        <v>1897.3500000000001</v>
      </c>
      <c r="H8" s="229">
        <f t="shared" ref="H8:H19" si="4">F8+G8</f>
        <v>192818.625</v>
      </c>
      <c r="I8" s="161"/>
      <c r="J8" s="229">
        <f>DATA!L5</f>
        <v>17913.650000000001</v>
      </c>
      <c r="K8" s="229">
        <f>DATA!P5</f>
        <v>3247.198130683732</v>
      </c>
      <c r="L8" s="229">
        <f>DATA!N5</f>
        <v>1567.9</v>
      </c>
      <c r="M8" s="161"/>
      <c r="N8" s="233">
        <f t="shared" si="0"/>
        <v>10.763782087960855</v>
      </c>
      <c r="O8" s="229">
        <f t="shared" si="1"/>
        <v>59.379999999999995</v>
      </c>
      <c r="P8" s="234">
        <f t="shared" si="2"/>
        <v>121.76878308565597</v>
      </c>
    </row>
    <row r="9" spans="2:16" x14ac:dyDescent="0.3">
      <c r="B9" s="228" t="str">
        <f>DATA!C6</f>
        <v>Swiggy</v>
      </c>
      <c r="C9" s="229"/>
      <c r="D9" s="229">
        <f>DATA!D6</f>
        <v>398.4</v>
      </c>
      <c r="E9" s="229">
        <f>DATA!E6</f>
        <v>249.36</v>
      </c>
      <c r="F9" s="229">
        <f t="shared" si="3"/>
        <v>99345.024000000005</v>
      </c>
      <c r="G9" s="229">
        <f>DATA!I6</f>
        <v>-1596.66</v>
      </c>
      <c r="H9" s="229">
        <f t="shared" si="4"/>
        <v>97748.364000000001</v>
      </c>
      <c r="I9" s="161"/>
      <c r="J9" s="229">
        <f>DATA!L6</f>
        <v>16965.52</v>
      </c>
      <c r="K9" s="229">
        <f>DATA!P6</f>
        <v>-2803.2223687983942</v>
      </c>
      <c r="L9" s="229">
        <f>DATA!N6</f>
        <v>-3702.61</v>
      </c>
      <c r="M9" s="161"/>
      <c r="N9" s="233">
        <f t="shared" si="0"/>
        <v>5.7615896241317683</v>
      </c>
      <c r="O9" s="229">
        <f t="shared" si="1"/>
        <v>-34.869999999999997</v>
      </c>
      <c r="P9" s="234">
        <f t="shared" si="2"/>
        <v>-26.83107969783477</v>
      </c>
    </row>
    <row r="10" spans="2:16" x14ac:dyDescent="0.3">
      <c r="B10" s="228" t="str">
        <f>DATA!C7</f>
        <v>Info Edg.(India)</v>
      </c>
      <c r="C10" s="229"/>
      <c r="D10" s="229">
        <f>DATA!D7</f>
        <v>1365.4</v>
      </c>
      <c r="E10" s="229">
        <f>DATA!E7</f>
        <v>64.790000000000006</v>
      </c>
      <c r="F10" s="229">
        <f t="shared" si="3"/>
        <v>88464.266000000018</v>
      </c>
      <c r="G10" s="229">
        <f>DATA!I7</f>
        <v>0.20999999999997954</v>
      </c>
      <c r="H10" s="229">
        <f t="shared" si="4"/>
        <v>88464.476000000024</v>
      </c>
      <c r="I10" s="161"/>
      <c r="J10" s="229">
        <f>DATA!L7</f>
        <v>2963.71</v>
      </c>
      <c r="K10" s="229">
        <f>DATA!P7</f>
        <v>2047.3148808146263</v>
      </c>
      <c r="L10" s="229">
        <f>DATA!N7</f>
        <v>1393.91</v>
      </c>
      <c r="M10" s="161"/>
      <c r="N10" s="233">
        <f t="shared" si="0"/>
        <v>29.849234911647908</v>
      </c>
      <c r="O10" s="229">
        <f t="shared" si="1"/>
        <v>43.210000000000008</v>
      </c>
      <c r="P10" s="234">
        <f t="shared" si="2"/>
        <v>63.464833454096755</v>
      </c>
    </row>
    <row r="11" spans="2:16" x14ac:dyDescent="0.3">
      <c r="B11" s="228" t="str">
        <f>DATA!C8</f>
        <v>Vishal Mega Mart</v>
      </c>
      <c r="C11" s="229"/>
      <c r="D11" s="229">
        <f>DATA!D8</f>
        <v>146.56</v>
      </c>
      <c r="E11" s="229">
        <f>DATA!E8</f>
        <v>466.14</v>
      </c>
      <c r="F11" s="229">
        <f t="shared" si="3"/>
        <v>68317.478399999993</v>
      </c>
      <c r="G11" s="229">
        <f>DATA!I8</f>
        <v>1265.71</v>
      </c>
      <c r="H11" s="229">
        <f t="shared" si="4"/>
        <v>69583.188399999999</v>
      </c>
      <c r="I11" s="161"/>
      <c r="J11" s="229">
        <f>DATA!L8</f>
        <v>11260.37</v>
      </c>
      <c r="K11" s="229">
        <f>DATA!P8</f>
        <v>1691.786734743496</v>
      </c>
      <c r="L11" s="229">
        <f>DATA!N8</f>
        <v>687.89</v>
      </c>
      <c r="M11" s="161"/>
      <c r="N11" s="233">
        <f t="shared" si="0"/>
        <v>6.1794761983842443</v>
      </c>
      <c r="O11" s="229">
        <f t="shared" si="1"/>
        <v>41.13</v>
      </c>
      <c r="P11" s="234">
        <f t="shared" si="2"/>
        <v>99.314539243192939</v>
      </c>
    </row>
    <row r="12" spans="2:16" x14ac:dyDescent="0.3">
      <c r="B12" s="228" t="str">
        <f>DATA!C9</f>
        <v>FSN E-Commerce</v>
      </c>
      <c r="C12" s="229"/>
      <c r="D12" s="229">
        <f>DATA!D9</f>
        <v>215.14</v>
      </c>
      <c r="E12" s="229">
        <f>DATA!E9</f>
        <v>286.07</v>
      </c>
      <c r="F12" s="229">
        <f t="shared" si="3"/>
        <v>61545.099799999996</v>
      </c>
      <c r="G12" s="229">
        <f>DATA!I9</f>
        <v>1103.4399999999998</v>
      </c>
      <c r="H12" s="229">
        <f t="shared" si="4"/>
        <v>62648.539799999999</v>
      </c>
      <c r="I12" s="161"/>
      <c r="J12" s="229">
        <f>DATA!L9</f>
        <v>8358.65</v>
      </c>
      <c r="K12" s="229">
        <f>DATA!P9</f>
        <v>547.7228518971848</v>
      </c>
      <c r="L12" s="229">
        <f>DATA!N9</f>
        <v>82.9</v>
      </c>
      <c r="M12" s="161"/>
      <c r="N12" s="233">
        <f t="shared" si="0"/>
        <v>7.4950547995190613</v>
      </c>
      <c r="O12" s="229">
        <f t="shared" si="1"/>
        <v>114.38000000000001</v>
      </c>
      <c r="P12" s="234">
        <f t="shared" si="2"/>
        <v>742.40168636911937</v>
      </c>
    </row>
    <row r="13" spans="2:16" x14ac:dyDescent="0.3">
      <c r="B13" s="228" t="str">
        <f>DATA!C10</f>
        <v>Brainbees Solut.</v>
      </c>
      <c r="C13" s="229"/>
      <c r="D13" s="229">
        <f>DATA!D10</f>
        <v>370.45</v>
      </c>
      <c r="E13" s="229">
        <f>DATA!E10</f>
        <v>52.18</v>
      </c>
      <c r="F13" s="229">
        <f t="shared" si="3"/>
        <v>19330.080999999998</v>
      </c>
      <c r="G13" s="229">
        <f>DATA!I10</f>
        <v>-135.63999999999987</v>
      </c>
      <c r="H13" s="229">
        <f t="shared" si="4"/>
        <v>19194.440999999999</v>
      </c>
      <c r="I13" s="161"/>
      <c r="J13" s="229">
        <f>DATA!L10</f>
        <v>7870.11</v>
      </c>
      <c r="K13" s="229">
        <f>DATA!P10</f>
        <v>385.97307460285543</v>
      </c>
      <c r="L13" s="229">
        <f>DATA!N10</f>
        <v>-255.64</v>
      </c>
      <c r="M13" s="161"/>
      <c r="N13" s="233">
        <f t="shared" si="0"/>
        <v>2.4389037764402275</v>
      </c>
      <c r="O13" s="229">
        <f t="shared" si="1"/>
        <v>49.73</v>
      </c>
      <c r="P13" s="234">
        <f t="shared" si="2"/>
        <v>-75.614461743076205</v>
      </c>
    </row>
    <row r="14" spans="2:16" x14ac:dyDescent="0.3">
      <c r="B14" s="228" t="str">
        <f>DATA!C11</f>
        <v>Vedant Fashions</v>
      </c>
      <c r="C14" s="229"/>
      <c r="D14" s="229">
        <f>DATA!D11</f>
        <v>743.6</v>
      </c>
      <c r="E14" s="229">
        <f>DATA!E11</f>
        <v>24.29</v>
      </c>
      <c r="F14" s="229">
        <f t="shared" si="3"/>
        <v>18062.044000000002</v>
      </c>
      <c r="G14" s="229">
        <f>DATA!I11</f>
        <v>465.65999999999997</v>
      </c>
      <c r="H14" s="229">
        <f t="shared" si="4"/>
        <v>18527.704000000002</v>
      </c>
      <c r="I14" s="161"/>
      <c r="J14" s="229">
        <f>DATA!L11</f>
        <v>1427.86</v>
      </c>
      <c r="K14" s="229">
        <f>DATA!P11</f>
        <v>739.9242811501598</v>
      </c>
      <c r="L14" s="229">
        <f>DATA!N11</f>
        <v>396.25</v>
      </c>
      <c r="M14" s="161"/>
      <c r="N14" s="233">
        <f t="shared" si="0"/>
        <v>12.97585477567829</v>
      </c>
      <c r="O14" s="229">
        <f t="shared" si="1"/>
        <v>25.04</v>
      </c>
      <c r="P14" s="234">
        <f t="shared" si="2"/>
        <v>45.582445425867512</v>
      </c>
    </row>
    <row r="15" spans="2:16" x14ac:dyDescent="0.3">
      <c r="B15" s="228" t="str">
        <f>DATA!C12</f>
        <v>A B Lifestyle</v>
      </c>
      <c r="C15" s="229"/>
      <c r="D15" s="229">
        <f>DATA!D12</f>
        <v>131.93</v>
      </c>
      <c r="E15" s="229">
        <f>DATA!E12</f>
        <v>122.03</v>
      </c>
      <c r="F15" s="229">
        <f t="shared" si="3"/>
        <v>16099.4179</v>
      </c>
      <c r="G15" s="229">
        <f>DATA!I12</f>
        <v>2878.7999999999997</v>
      </c>
      <c r="H15" s="229">
        <f t="shared" si="4"/>
        <v>18978.2179</v>
      </c>
      <c r="I15" s="161"/>
      <c r="J15" s="229">
        <f>DATA!L12</f>
        <v>7829.96</v>
      </c>
      <c r="K15" s="229">
        <f>DATA!P12</f>
        <v>1293.6753851397409</v>
      </c>
      <c r="L15" s="229">
        <f>DATA!N12</f>
        <v>59.6</v>
      </c>
      <c r="M15" s="161"/>
      <c r="N15" s="233">
        <f t="shared" si="0"/>
        <v>2.423795000229886</v>
      </c>
      <c r="O15" s="229">
        <f t="shared" si="1"/>
        <v>14.67</v>
      </c>
      <c r="P15" s="234">
        <f t="shared" si="2"/>
        <v>270.12446140939596</v>
      </c>
    </row>
    <row r="16" spans="2:16" x14ac:dyDescent="0.3">
      <c r="B16" s="228" t="str">
        <f>DATA!C13</f>
        <v>Indiamart Inter.</v>
      </c>
      <c r="C16" s="229"/>
      <c r="D16" s="229">
        <f>DATA!D13</f>
        <v>2545.8000000000002</v>
      </c>
      <c r="E16" s="229">
        <f>DATA!E13</f>
        <v>6</v>
      </c>
      <c r="F16" s="229">
        <f t="shared" si="3"/>
        <v>15274.800000000001</v>
      </c>
      <c r="G16" s="229">
        <f>DATA!I13</f>
        <v>-51.35</v>
      </c>
      <c r="H16" s="229">
        <f t="shared" si="4"/>
        <v>15223.45</v>
      </c>
      <c r="I16" s="161"/>
      <c r="J16" s="229">
        <f>DATA!L13</f>
        <v>1429.2</v>
      </c>
      <c r="K16" s="229">
        <f>DATA!P13</f>
        <v>795.78933612127571</v>
      </c>
      <c r="L16" s="229">
        <f>DATA!N13</f>
        <v>590.20000000000005</v>
      </c>
      <c r="M16" s="161"/>
      <c r="N16" s="233">
        <f t="shared" si="0"/>
        <v>10.651728239574588</v>
      </c>
      <c r="O16" s="229">
        <f t="shared" si="1"/>
        <v>19.129999999999995</v>
      </c>
      <c r="P16" s="234">
        <f t="shared" si="2"/>
        <v>25.88071840054219</v>
      </c>
    </row>
    <row r="17" spans="2:16" x14ac:dyDescent="0.3">
      <c r="B17" s="228" t="str">
        <f>DATA!C14</f>
        <v>Cartrade Tech</v>
      </c>
      <c r="C17" s="229"/>
      <c r="D17" s="229">
        <f>DATA!D14</f>
        <v>2320.9</v>
      </c>
      <c r="E17" s="229">
        <f>DATA!E14</f>
        <v>4.75</v>
      </c>
      <c r="F17" s="229">
        <f t="shared" si="3"/>
        <v>11024.275</v>
      </c>
      <c r="G17" s="229">
        <f>DATA!I14</f>
        <v>54.77000000000001</v>
      </c>
      <c r="H17" s="229">
        <f t="shared" si="4"/>
        <v>11079.045</v>
      </c>
      <c r="I17" s="161"/>
      <c r="J17" s="229">
        <f>DATA!L14</f>
        <v>672.98</v>
      </c>
      <c r="K17" s="229">
        <f>DATA!P14</f>
        <v>252.65781071835804</v>
      </c>
      <c r="L17" s="229">
        <f>DATA!N14</f>
        <v>169.43</v>
      </c>
      <c r="M17" s="161"/>
      <c r="N17" s="233">
        <f t="shared" si="0"/>
        <v>16.462666052482987</v>
      </c>
      <c r="O17" s="229">
        <f t="shared" si="1"/>
        <v>43.85</v>
      </c>
      <c r="P17" s="234">
        <f t="shared" si="2"/>
        <v>65.066841763560163</v>
      </c>
    </row>
    <row r="18" spans="2:16" x14ac:dyDescent="0.3">
      <c r="B18" s="228" t="str">
        <f>DATA!C15</f>
        <v>Medplus Health</v>
      </c>
      <c r="C18" s="229"/>
      <c r="D18" s="229">
        <f>DATA!D15</f>
        <v>813.8</v>
      </c>
      <c r="E18" s="229">
        <f>DATA!E15</f>
        <v>11.97</v>
      </c>
      <c r="F18" s="229">
        <f t="shared" si="3"/>
        <v>9741.1859999999997</v>
      </c>
      <c r="G18" s="229">
        <f>DATA!I15</f>
        <v>752.57999999999993</v>
      </c>
      <c r="H18" s="229">
        <f t="shared" si="4"/>
        <v>10493.766</v>
      </c>
      <c r="I18" s="161"/>
      <c r="J18" s="229">
        <f>DATA!L15</f>
        <v>6189.86</v>
      </c>
      <c r="K18" s="229">
        <f>DATA!P15</f>
        <v>578.80672917815775</v>
      </c>
      <c r="L18" s="229">
        <f>DATA!N15</f>
        <v>178.23</v>
      </c>
      <c r="M18" s="161"/>
      <c r="N18" s="233">
        <f t="shared" si="0"/>
        <v>1.6953155644877267</v>
      </c>
      <c r="O18" s="229">
        <f t="shared" si="1"/>
        <v>18.13</v>
      </c>
      <c r="P18" s="234">
        <f t="shared" si="2"/>
        <v>54.655142231947487</v>
      </c>
    </row>
    <row r="19" spans="2:16" x14ac:dyDescent="0.3">
      <c r="B19" s="228" t="str">
        <f>DATA!C16</f>
        <v>Aditya Bir. Fas.</v>
      </c>
      <c r="C19" s="229"/>
      <c r="D19" s="229">
        <f>DATA!D16</f>
        <v>75</v>
      </c>
      <c r="E19" s="229">
        <f>DATA!E16</f>
        <v>122.03</v>
      </c>
      <c r="F19" s="229">
        <f t="shared" si="3"/>
        <v>9152.25</v>
      </c>
      <c r="G19" s="229">
        <f>DATA!I16</f>
        <v>4243.7199999999993</v>
      </c>
      <c r="H19" s="229">
        <f t="shared" si="4"/>
        <v>13395.97</v>
      </c>
      <c r="I19" s="161"/>
      <c r="J19" s="229">
        <f>DATA!L16</f>
        <v>9395.32</v>
      </c>
      <c r="K19" s="229">
        <f>DATA!P16</f>
        <v>1202.5107719928185</v>
      </c>
      <c r="L19" s="229">
        <f>DATA!N16</f>
        <v>-514.34</v>
      </c>
      <c r="M19" s="161"/>
      <c r="N19" s="233">
        <f t="shared" si="0"/>
        <v>1.4258130643767322</v>
      </c>
      <c r="O19" s="229">
        <f t="shared" si="1"/>
        <v>11.14</v>
      </c>
      <c r="P19" s="234">
        <f t="shared" si="2"/>
        <v>-17.794163393863979</v>
      </c>
    </row>
    <row r="20" spans="2:16" x14ac:dyDescent="0.3">
      <c r="B20" s="228" t="str">
        <f>DATA!C17</f>
        <v>RattanIndia Ent</v>
      </c>
      <c r="C20" s="229"/>
      <c r="D20" s="229">
        <f>DATA!D17</f>
        <v>50.95</v>
      </c>
      <c r="E20" s="229">
        <f>DATA!E17</f>
        <v>138.22999999999999</v>
      </c>
      <c r="F20" s="229">
        <f t="shared" si="3"/>
        <v>7042.8185000000003</v>
      </c>
      <c r="G20" s="229">
        <f>DATA!I17</f>
        <v>792.78</v>
      </c>
      <c r="H20" s="229">
        <f>F20+G20</f>
        <v>7835.5985000000001</v>
      </c>
      <c r="I20" s="161"/>
      <c r="J20" s="229">
        <f>DATA!L17</f>
        <v>7539.85</v>
      </c>
      <c r="K20" s="229">
        <f>DATA!P17</f>
        <v>-160.4011975435005</v>
      </c>
      <c r="L20" s="229">
        <f>DATA!N17</f>
        <v>-268.22000000000003</v>
      </c>
      <c r="M20" s="161"/>
      <c r="N20" s="233">
        <f t="shared" si="0"/>
        <v>1.0392247193246549</v>
      </c>
      <c r="O20" s="229">
        <f t="shared" si="1"/>
        <v>-48.85</v>
      </c>
      <c r="P20" s="234">
        <f t="shared" si="2"/>
        <v>-26.257618745805679</v>
      </c>
    </row>
    <row r="22" spans="2:16" x14ac:dyDescent="0.3">
      <c r="B22" s="284" t="s">
        <v>407</v>
      </c>
      <c r="C22" s="285"/>
      <c r="D22" s="285"/>
      <c r="E22" s="285"/>
      <c r="F22" s="285"/>
      <c r="G22" s="285"/>
      <c r="H22" s="285"/>
      <c r="I22" s="285"/>
      <c r="J22" s="285"/>
      <c r="K22" s="285"/>
      <c r="L22" s="285"/>
      <c r="M22" s="286"/>
      <c r="N22" s="232">
        <f>MAX(N6:N20)</f>
        <v>29.849234911647908</v>
      </c>
      <c r="O22" s="232">
        <f t="shared" ref="O22:P22" si="5">MAX(O6:O20)</f>
        <v>172.71</v>
      </c>
      <c r="P22" s="232">
        <f t="shared" si="5"/>
        <v>1027.6546354515049</v>
      </c>
    </row>
    <row r="23" spans="2:16" x14ac:dyDescent="0.3">
      <c r="B23" s="284" t="s">
        <v>408</v>
      </c>
      <c r="C23" s="285"/>
      <c r="D23" s="285"/>
      <c r="E23" s="285"/>
      <c r="F23" s="285"/>
      <c r="G23" s="285"/>
      <c r="H23" s="285"/>
      <c r="I23" s="285"/>
      <c r="J23" s="285"/>
      <c r="K23" s="285"/>
      <c r="L23" s="285"/>
      <c r="M23" s="286"/>
      <c r="N23" s="225">
        <f>QUARTILE(N6:N20,3)</f>
        <v>11.869818431819573</v>
      </c>
      <c r="O23" s="225">
        <f t="shared" ref="O23:P23" si="6">QUARTILE(O6:O20,3)</f>
        <v>54.554999999999993</v>
      </c>
      <c r="P23" s="225">
        <f t="shared" si="6"/>
        <v>113.27302849425746</v>
      </c>
    </row>
    <row r="24" spans="2:16" x14ac:dyDescent="0.3">
      <c r="B24" s="287" t="s">
        <v>409</v>
      </c>
      <c r="C24" s="288"/>
      <c r="D24" s="288"/>
      <c r="E24" s="288"/>
      <c r="F24" s="288"/>
      <c r="G24" s="288"/>
      <c r="H24" s="288"/>
      <c r="I24" s="288"/>
      <c r="J24" s="288"/>
      <c r="K24" s="288"/>
      <c r="L24" s="288"/>
      <c r="M24" s="289"/>
      <c r="N24" s="235">
        <f>AVERAGE(N6:N20)</f>
        <v>8.4629624847212845</v>
      </c>
      <c r="O24" s="235">
        <f t="shared" ref="O24:P24" si="7">AVERAGE(O6:O20)</f>
        <v>39.309333333333335</v>
      </c>
      <c r="P24" s="235">
        <f t="shared" si="7"/>
        <v>164.94626914381075</v>
      </c>
    </row>
    <row r="25" spans="2:16" x14ac:dyDescent="0.3">
      <c r="B25" s="287" t="s">
        <v>410</v>
      </c>
      <c r="C25" s="288"/>
      <c r="D25" s="288"/>
      <c r="E25" s="288"/>
      <c r="F25" s="288"/>
      <c r="G25" s="288"/>
      <c r="H25" s="288"/>
      <c r="I25" s="288"/>
      <c r="J25" s="288"/>
      <c r="K25" s="288"/>
      <c r="L25" s="288"/>
      <c r="M25" s="289"/>
      <c r="N25" s="235">
        <f>MEDIAN(N6:N20)</f>
        <v>6.1794761983842443</v>
      </c>
      <c r="O25" s="235">
        <f t="shared" ref="O25:P25" si="8">MEDIAN(O6:O20)</f>
        <v>41.13</v>
      </c>
      <c r="P25" s="235">
        <f t="shared" si="8"/>
        <v>63.464833454096755</v>
      </c>
    </row>
    <row r="26" spans="2:16" x14ac:dyDescent="0.3">
      <c r="B26" s="284" t="s">
        <v>411</v>
      </c>
      <c r="C26" s="285"/>
      <c r="D26" s="285"/>
      <c r="E26" s="285"/>
      <c r="F26" s="285"/>
      <c r="G26" s="285"/>
      <c r="H26" s="285"/>
      <c r="I26" s="285"/>
      <c r="J26" s="285"/>
      <c r="K26" s="285"/>
      <c r="L26" s="285"/>
      <c r="M26" s="286"/>
      <c r="N26" s="225">
        <f>QUARTILE(N6:N20,1)</f>
        <v>2.4313493883350565</v>
      </c>
      <c r="O26" s="225">
        <f t="shared" ref="O26:P26" si="9">QUARTILE(O6:O20,1)</f>
        <v>16.399999999999999</v>
      </c>
      <c r="P26" s="225">
        <f t="shared" si="9"/>
        <v>4.0432775033391053</v>
      </c>
    </row>
    <row r="27" spans="2:16" x14ac:dyDescent="0.3">
      <c r="B27" s="284" t="s">
        <v>412</v>
      </c>
      <c r="C27" s="285"/>
      <c r="D27" s="285"/>
      <c r="E27" s="285"/>
      <c r="F27" s="285"/>
      <c r="G27" s="285"/>
      <c r="H27" s="285"/>
      <c r="I27" s="285"/>
      <c r="J27" s="285"/>
      <c r="K27" s="285"/>
      <c r="L27" s="285"/>
      <c r="M27" s="286"/>
      <c r="N27" s="231">
        <f>MIN(N6:N20)</f>
        <v>1.0392247193246549</v>
      </c>
      <c r="O27" s="231">
        <f t="shared" ref="O27:P27" si="10">MIN(O6:O20)</f>
        <v>-48.85</v>
      </c>
      <c r="P27" s="231">
        <f t="shared" si="10"/>
        <v>-75.614461743076205</v>
      </c>
    </row>
    <row r="30" spans="2:16" x14ac:dyDescent="0.3">
      <c r="B30" s="73" t="s">
        <v>413</v>
      </c>
      <c r="C30" s="73"/>
      <c r="D30" s="73"/>
      <c r="E30" s="73"/>
      <c r="F30" s="73"/>
      <c r="G30" s="73"/>
      <c r="H30" s="73"/>
      <c r="I30" s="73"/>
      <c r="J30" s="73"/>
      <c r="K30" s="73"/>
      <c r="L30" s="73"/>
      <c r="M30" s="73"/>
      <c r="N30" s="73" t="s">
        <v>404</v>
      </c>
      <c r="O30" s="73" t="s">
        <v>405</v>
      </c>
      <c r="P30" s="163" t="s">
        <v>406</v>
      </c>
    </row>
    <row r="32" spans="2:16" x14ac:dyDescent="0.3">
      <c r="B32" s="166" t="s">
        <v>414</v>
      </c>
      <c r="C32" s="166"/>
      <c r="D32" s="166"/>
      <c r="E32" s="166"/>
      <c r="F32" s="166"/>
      <c r="G32" s="166"/>
      <c r="H32" s="166"/>
      <c r="I32" s="166"/>
      <c r="J32" s="166"/>
      <c r="K32" s="166"/>
      <c r="L32" s="166"/>
      <c r="M32" s="166"/>
      <c r="N32" s="236">
        <f>N25*J6</f>
        <v>380956.11815847293</v>
      </c>
      <c r="O32" s="236">
        <f>O25*K6</f>
        <v>191964.43786099242</v>
      </c>
      <c r="P32" s="236">
        <f>P34+P33</f>
        <v>172234.06893018921</v>
      </c>
    </row>
    <row r="33" spans="2:16" x14ac:dyDescent="0.3">
      <c r="B33" s="166" t="s">
        <v>415</v>
      </c>
      <c r="C33" s="166"/>
      <c r="D33" s="166"/>
      <c r="E33" s="166"/>
      <c r="F33" s="166"/>
      <c r="G33" s="166"/>
      <c r="H33" s="166"/>
      <c r="I33" s="166"/>
      <c r="J33" s="166"/>
      <c r="K33" s="166"/>
      <c r="L33" s="166"/>
      <c r="M33" s="166"/>
      <c r="N33" s="236">
        <f>G6</f>
        <v>461.42</v>
      </c>
      <c r="O33" s="236">
        <v>461.42</v>
      </c>
      <c r="P33" s="236">
        <v>461.42</v>
      </c>
    </row>
    <row r="34" spans="2:16" x14ac:dyDescent="0.3">
      <c r="B34" s="166" t="s">
        <v>416</v>
      </c>
      <c r="C34" s="166"/>
      <c r="D34" s="166"/>
      <c r="E34" s="166"/>
      <c r="F34" s="166"/>
      <c r="G34" s="166"/>
      <c r="H34" s="166"/>
      <c r="I34" s="166"/>
      <c r="J34" s="166"/>
      <c r="K34" s="166"/>
      <c r="L34" s="166"/>
      <c r="M34" s="166"/>
      <c r="N34" s="236">
        <f>N32-N33</f>
        <v>380494.69815847295</v>
      </c>
      <c r="O34" s="236">
        <f t="shared" ref="O34" si="11">O32-O33</f>
        <v>191503.0178609924</v>
      </c>
      <c r="P34" s="236">
        <f>P25*L6</f>
        <v>171772.6489301892</v>
      </c>
    </row>
    <row r="35" spans="2:16" x14ac:dyDescent="0.3">
      <c r="B35" s="166" t="s">
        <v>385</v>
      </c>
      <c r="C35" s="166"/>
      <c r="D35" s="166"/>
      <c r="E35" s="166"/>
      <c r="F35" s="166"/>
      <c r="G35" s="166"/>
      <c r="H35" s="166"/>
      <c r="I35" s="166"/>
      <c r="J35" s="166"/>
      <c r="K35" s="166"/>
      <c r="L35" s="166"/>
      <c r="M35" s="166"/>
      <c r="N35" s="236">
        <f>E6</f>
        <v>65.069999999999993</v>
      </c>
      <c r="O35" s="236">
        <v>65.069999999999993</v>
      </c>
      <c r="P35" s="236">
        <v>65.069999999999993</v>
      </c>
    </row>
    <row r="36" spans="2:16" ht="15" thickBot="1" x14ac:dyDescent="0.35">
      <c r="B36" s="167" t="s">
        <v>417</v>
      </c>
      <c r="C36" s="167"/>
      <c r="D36" s="167"/>
      <c r="E36" s="167"/>
      <c r="F36" s="167"/>
      <c r="G36" s="167"/>
      <c r="H36" s="167"/>
      <c r="I36" s="167"/>
      <c r="J36" s="167"/>
      <c r="K36" s="167"/>
      <c r="L36" s="167"/>
      <c r="M36" s="167"/>
      <c r="N36" s="237">
        <f>N34/N35</f>
        <v>5847.4673145608267</v>
      </c>
      <c r="O36" s="237">
        <f t="shared" ref="O36:P36" si="12">O34/O35</f>
        <v>2943.0308569385652</v>
      </c>
      <c r="P36" s="237">
        <f t="shared" si="12"/>
        <v>2639.8132615673771</v>
      </c>
    </row>
    <row r="37" spans="2:16" ht="15" thickTop="1" x14ac:dyDescent="0.3"/>
    <row r="38" spans="2:16" x14ac:dyDescent="0.3">
      <c r="N38" t="str">
        <f>IF(N36&lt;$D$6,"OverValued","UnderValued")</f>
        <v>UnderValued</v>
      </c>
      <c r="O38" t="str">
        <f t="shared" ref="O38:P38" si="13">IF(O36&lt;$D$6,"OverValued","UnderValued")</f>
        <v>OverValued</v>
      </c>
      <c r="P38" t="str">
        <f t="shared" si="13"/>
        <v>OverValued</v>
      </c>
    </row>
  </sheetData>
  <mergeCells count="9">
    <mergeCell ref="B26:M26"/>
    <mergeCell ref="B27:M27"/>
    <mergeCell ref="B25:M25"/>
    <mergeCell ref="B24:M24"/>
    <mergeCell ref="N4:P4"/>
    <mergeCell ref="B4:H4"/>
    <mergeCell ref="J4:L4"/>
    <mergeCell ref="B22:M22"/>
    <mergeCell ref="B23:M23"/>
  </mergeCells>
  <pageMargins left="0.7" right="0.7" top="0.75" bottom="0.75" header="0.3" footer="0.3"/>
  <ignoredErrors>
    <ignoredError sqref="B7 D7:E7" formula="1"/>
  </ignoredErrors>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8F4A9F-75DA-4EF0-9986-FCA0A62983D7}">
  <sheetPr>
    <tabColor theme="4"/>
  </sheetPr>
  <dimension ref="B2:P17"/>
  <sheetViews>
    <sheetView workbookViewId="0">
      <selection activeCell="J22" sqref="J22"/>
    </sheetView>
  </sheetViews>
  <sheetFormatPr defaultRowHeight="14.4" x14ac:dyDescent="0.3"/>
  <cols>
    <col min="2" max="2" width="5.44140625" bestFit="1" customWidth="1"/>
    <col min="3" max="3" width="15.33203125" bestFit="1" customWidth="1"/>
    <col min="4" max="4" width="7.6640625" bestFit="1" customWidth="1"/>
    <col min="5" max="5" width="15.6640625" bestFit="1" customWidth="1"/>
    <col min="6" max="6" width="15.6640625" customWidth="1"/>
    <col min="7" max="7" width="10.109375" bestFit="1" customWidth="1"/>
    <col min="8" max="8" width="13.6640625" bestFit="1" customWidth="1"/>
    <col min="9" max="10" width="13.6640625" customWidth="1"/>
    <col min="11" max="11" width="10" bestFit="1" customWidth="1"/>
    <col min="12" max="12" width="10.33203125" bestFit="1" customWidth="1"/>
    <col min="13" max="13" width="10.77734375" bestFit="1" customWidth="1"/>
    <col min="14" max="14" width="12.6640625" bestFit="1" customWidth="1"/>
    <col min="15" max="15" width="13.6640625" bestFit="1" customWidth="1"/>
  </cols>
  <sheetData>
    <row r="2" spans="2:16" x14ac:dyDescent="0.3">
      <c r="B2" t="s">
        <v>264</v>
      </c>
      <c r="C2" t="s">
        <v>265</v>
      </c>
      <c r="D2" t="s">
        <v>266</v>
      </c>
      <c r="E2" t="s">
        <v>397</v>
      </c>
      <c r="F2" t="s">
        <v>402</v>
      </c>
      <c r="G2" t="s">
        <v>267</v>
      </c>
      <c r="H2" t="s">
        <v>398</v>
      </c>
      <c r="I2" t="s">
        <v>387</v>
      </c>
      <c r="J2" t="s">
        <v>403</v>
      </c>
      <c r="K2" t="s">
        <v>399</v>
      </c>
      <c r="L2" t="s">
        <v>400</v>
      </c>
      <c r="M2" t="s">
        <v>394</v>
      </c>
      <c r="N2" t="s">
        <v>401</v>
      </c>
      <c r="O2" t="s">
        <v>280</v>
      </c>
      <c r="P2" t="s">
        <v>90</v>
      </c>
    </row>
    <row r="3" spans="2:16" x14ac:dyDescent="0.3">
      <c r="B3">
        <v>1</v>
      </c>
      <c r="C3" t="s">
        <v>395</v>
      </c>
      <c r="D3">
        <v>318.39999999999998</v>
      </c>
      <c r="E3">
        <v>965.04</v>
      </c>
      <c r="F3">
        <f>E3*D3</f>
        <v>307268.73599999998</v>
      </c>
      <c r="G3">
        <v>2045</v>
      </c>
      <c r="H3">
        <v>3614</v>
      </c>
      <c r="I3">
        <f>G3-H3</f>
        <v>-1569</v>
      </c>
      <c r="J3">
        <f>F3+G3-H3</f>
        <v>305699.73599999998</v>
      </c>
      <c r="K3">
        <v>305698.15999999997</v>
      </c>
      <c r="L3">
        <v>23204</v>
      </c>
      <c r="M3">
        <v>172.71</v>
      </c>
      <c r="N3">
        <v>299</v>
      </c>
      <c r="O3">
        <v>307267.15999999997</v>
      </c>
      <c r="P3">
        <f>J3/M3</f>
        <v>1770.017578599965</v>
      </c>
    </row>
    <row r="4" spans="2:16" x14ac:dyDescent="0.3">
      <c r="B4">
        <v>2</v>
      </c>
      <c r="C4" t="s">
        <v>262</v>
      </c>
      <c r="D4">
        <v>4358.2</v>
      </c>
      <c r="E4">
        <v>65.069999999999993</v>
      </c>
      <c r="F4">
        <f t="shared" ref="F4:F17" si="0">E4*D4</f>
        <v>283588.07399999996</v>
      </c>
      <c r="G4">
        <v>819.62</v>
      </c>
      <c r="H4">
        <v>358.2</v>
      </c>
      <c r="I4">
        <f t="shared" ref="I4:I17" si="1">G4-H4</f>
        <v>461.42</v>
      </c>
      <c r="J4">
        <f t="shared" ref="J4:J17" si="2">F4+G4-H4</f>
        <v>284049.49399999995</v>
      </c>
      <c r="K4">
        <v>284063.90999999997</v>
      </c>
      <c r="L4">
        <v>61648.61</v>
      </c>
      <c r="M4">
        <v>60.86</v>
      </c>
      <c r="N4">
        <v>2706.58</v>
      </c>
      <c r="O4">
        <v>283602.49</v>
      </c>
      <c r="P4">
        <f t="shared" ref="P4:P17" si="3">J4/M4</f>
        <v>4667.2608281301336</v>
      </c>
    </row>
    <row r="5" spans="2:16" x14ac:dyDescent="0.3">
      <c r="B5">
        <v>3</v>
      </c>
      <c r="C5" t="s">
        <v>269</v>
      </c>
      <c r="D5">
        <v>5370.5</v>
      </c>
      <c r="E5">
        <v>35.549999999999997</v>
      </c>
      <c r="F5">
        <f t="shared" si="0"/>
        <v>190921.27499999999</v>
      </c>
      <c r="G5">
        <v>2237.19</v>
      </c>
      <c r="H5">
        <v>339.84</v>
      </c>
      <c r="I5">
        <f t="shared" si="1"/>
        <v>1897.3500000000001</v>
      </c>
      <c r="J5">
        <f t="shared" si="2"/>
        <v>192818.625</v>
      </c>
      <c r="K5">
        <v>192811.89</v>
      </c>
      <c r="L5">
        <v>17913.650000000001</v>
      </c>
      <c r="M5">
        <v>59.38</v>
      </c>
      <c r="N5">
        <v>1567.9</v>
      </c>
      <c r="O5">
        <v>190914.54</v>
      </c>
      <c r="P5">
        <f t="shared" si="3"/>
        <v>3247.198130683732</v>
      </c>
    </row>
    <row r="6" spans="2:16" x14ac:dyDescent="0.3">
      <c r="B6">
        <v>4</v>
      </c>
      <c r="C6" t="s">
        <v>396</v>
      </c>
      <c r="D6">
        <v>398.4</v>
      </c>
      <c r="E6">
        <v>249.36</v>
      </c>
      <c r="F6">
        <f t="shared" si="0"/>
        <v>99345.024000000005</v>
      </c>
      <c r="G6">
        <v>1702.95</v>
      </c>
      <c r="H6">
        <v>3299.61</v>
      </c>
      <c r="I6">
        <f t="shared" si="1"/>
        <v>-1596.66</v>
      </c>
      <c r="J6">
        <f t="shared" si="2"/>
        <v>97748.364000000001</v>
      </c>
      <c r="K6">
        <v>97750.23</v>
      </c>
      <c r="L6">
        <v>16965.52</v>
      </c>
      <c r="M6">
        <v>-34.869999999999997</v>
      </c>
      <c r="N6">
        <v>-3702.61</v>
      </c>
      <c r="O6">
        <v>99346.89</v>
      </c>
      <c r="P6">
        <f t="shared" si="3"/>
        <v>-2803.2223687983942</v>
      </c>
    </row>
    <row r="7" spans="2:16" x14ac:dyDescent="0.3">
      <c r="B7">
        <v>5</v>
      </c>
      <c r="C7" t="s">
        <v>270</v>
      </c>
      <c r="D7">
        <v>1365.4</v>
      </c>
      <c r="E7">
        <v>64.790000000000006</v>
      </c>
      <c r="F7">
        <f t="shared" si="0"/>
        <v>88464.266000000018</v>
      </c>
      <c r="G7">
        <v>267.33999999999997</v>
      </c>
      <c r="H7">
        <v>267.13</v>
      </c>
      <c r="I7">
        <f t="shared" si="1"/>
        <v>0.20999999999997954</v>
      </c>
      <c r="J7">
        <f t="shared" si="2"/>
        <v>88464.47600000001</v>
      </c>
      <c r="K7">
        <v>88467.29</v>
      </c>
      <c r="L7">
        <v>2963.71</v>
      </c>
      <c r="M7">
        <v>43.21</v>
      </c>
      <c r="N7">
        <v>1393.91</v>
      </c>
      <c r="O7">
        <v>88467.08</v>
      </c>
      <c r="P7">
        <f t="shared" si="3"/>
        <v>2047.3148808146263</v>
      </c>
    </row>
    <row r="8" spans="2:16" x14ac:dyDescent="0.3">
      <c r="B8">
        <v>6</v>
      </c>
      <c r="C8" t="s">
        <v>263</v>
      </c>
      <c r="D8">
        <v>146.56</v>
      </c>
      <c r="E8">
        <v>466.14</v>
      </c>
      <c r="F8">
        <f t="shared" si="0"/>
        <v>68317.478399999993</v>
      </c>
      <c r="G8">
        <v>1729.38</v>
      </c>
      <c r="H8">
        <v>463.67</v>
      </c>
      <c r="I8">
        <f t="shared" si="1"/>
        <v>1265.71</v>
      </c>
      <c r="J8">
        <f t="shared" si="2"/>
        <v>69583.188399999999</v>
      </c>
      <c r="K8">
        <v>69582.759999999995</v>
      </c>
      <c r="L8">
        <v>11260.37</v>
      </c>
      <c r="M8">
        <v>41.13</v>
      </c>
      <c r="N8">
        <v>687.89</v>
      </c>
      <c r="O8">
        <v>68317.05</v>
      </c>
      <c r="P8">
        <f t="shared" si="3"/>
        <v>1691.786734743496</v>
      </c>
    </row>
    <row r="9" spans="2:16" x14ac:dyDescent="0.3">
      <c r="B9">
        <v>7</v>
      </c>
      <c r="C9" t="s">
        <v>271</v>
      </c>
      <c r="D9">
        <v>215.14</v>
      </c>
      <c r="E9">
        <v>286.07</v>
      </c>
      <c r="F9">
        <f t="shared" si="0"/>
        <v>61545.099799999996</v>
      </c>
      <c r="G9">
        <v>1320.59</v>
      </c>
      <c r="H9">
        <v>217.15</v>
      </c>
      <c r="I9">
        <f t="shared" si="1"/>
        <v>1103.4399999999998</v>
      </c>
      <c r="J9">
        <f t="shared" si="2"/>
        <v>62648.539799999991</v>
      </c>
      <c r="K9">
        <v>62648.5</v>
      </c>
      <c r="L9">
        <v>8358.65</v>
      </c>
      <c r="M9">
        <v>114.38</v>
      </c>
      <c r="N9">
        <v>82.9</v>
      </c>
      <c r="O9">
        <v>61545.06</v>
      </c>
      <c r="P9">
        <f t="shared" si="3"/>
        <v>547.7228518971848</v>
      </c>
    </row>
    <row r="10" spans="2:16" x14ac:dyDescent="0.3">
      <c r="B10">
        <v>8</v>
      </c>
      <c r="C10" t="s">
        <v>273</v>
      </c>
      <c r="D10">
        <v>370.45</v>
      </c>
      <c r="E10">
        <v>52.18</v>
      </c>
      <c r="F10">
        <f t="shared" si="0"/>
        <v>19330.080999999998</v>
      </c>
      <c r="G10">
        <v>1569.93</v>
      </c>
      <c r="H10">
        <v>1705.57</v>
      </c>
      <c r="I10">
        <f t="shared" si="1"/>
        <v>-135.63999999999987</v>
      </c>
      <c r="J10">
        <f t="shared" si="2"/>
        <v>19194.440999999999</v>
      </c>
      <c r="K10">
        <v>19195.36</v>
      </c>
      <c r="L10">
        <v>7870.11</v>
      </c>
      <c r="M10">
        <v>49.73</v>
      </c>
      <c r="N10">
        <v>-255.64</v>
      </c>
      <c r="O10">
        <v>19331</v>
      </c>
      <c r="P10">
        <f t="shared" si="3"/>
        <v>385.97307460285543</v>
      </c>
    </row>
    <row r="11" spans="2:16" x14ac:dyDescent="0.3">
      <c r="B11">
        <v>9</v>
      </c>
      <c r="C11" t="s">
        <v>272</v>
      </c>
      <c r="D11">
        <v>743.6</v>
      </c>
      <c r="E11">
        <v>24.29</v>
      </c>
      <c r="F11">
        <f t="shared" si="0"/>
        <v>18062.044000000002</v>
      </c>
      <c r="G11">
        <v>482.89</v>
      </c>
      <c r="H11">
        <v>17.23</v>
      </c>
      <c r="I11">
        <f t="shared" si="1"/>
        <v>465.65999999999997</v>
      </c>
      <c r="J11">
        <f t="shared" si="2"/>
        <v>18527.704000000002</v>
      </c>
      <c r="K11">
        <v>18531.38</v>
      </c>
      <c r="L11">
        <v>1427.86</v>
      </c>
      <c r="M11">
        <v>25.04</v>
      </c>
      <c r="N11">
        <v>396.25</v>
      </c>
      <c r="O11">
        <v>18065.72</v>
      </c>
      <c r="P11">
        <f t="shared" si="3"/>
        <v>739.9242811501598</v>
      </c>
    </row>
    <row r="12" spans="2:16" x14ac:dyDescent="0.3">
      <c r="B12">
        <v>10</v>
      </c>
      <c r="C12" t="s">
        <v>274</v>
      </c>
      <c r="D12">
        <v>131.93</v>
      </c>
      <c r="E12">
        <v>122.03</v>
      </c>
      <c r="F12">
        <f t="shared" si="0"/>
        <v>16099.4179</v>
      </c>
      <c r="G12">
        <v>2932.45</v>
      </c>
      <c r="H12">
        <v>53.65</v>
      </c>
      <c r="I12">
        <f t="shared" si="1"/>
        <v>2878.7999999999997</v>
      </c>
      <c r="J12">
        <f t="shared" si="2"/>
        <v>18978.2179</v>
      </c>
      <c r="K12">
        <v>18978.150000000001</v>
      </c>
      <c r="L12">
        <v>7829.96</v>
      </c>
      <c r="M12">
        <v>14.67</v>
      </c>
      <c r="N12">
        <v>59.6</v>
      </c>
      <c r="O12">
        <v>16099.35</v>
      </c>
      <c r="P12">
        <f t="shared" si="3"/>
        <v>1293.6753851397409</v>
      </c>
    </row>
    <row r="13" spans="2:16" x14ac:dyDescent="0.3">
      <c r="B13">
        <v>11</v>
      </c>
      <c r="C13" t="s">
        <v>275</v>
      </c>
      <c r="D13">
        <v>2545.8000000000002</v>
      </c>
      <c r="E13">
        <v>6</v>
      </c>
      <c r="F13">
        <f t="shared" si="0"/>
        <v>15274.800000000001</v>
      </c>
      <c r="G13">
        <v>33.04</v>
      </c>
      <c r="H13">
        <v>84.39</v>
      </c>
      <c r="I13">
        <f t="shared" si="1"/>
        <v>-51.35</v>
      </c>
      <c r="J13">
        <f t="shared" si="2"/>
        <v>15223.450000000003</v>
      </c>
      <c r="K13">
        <v>15231.63</v>
      </c>
      <c r="L13">
        <v>1429.2</v>
      </c>
      <c r="M13">
        <v>19.13</v>
      </c>
      <c r="N13">
        <v>590.20000000000005</v>
      </c>
      <c r="O13">
        <v>15282.98</v>
      </c>
      <c r="P13">
        <f t="shared" si="3"/>
        <v>795.78933612127571</v>
      </c>
    </row>
    <row r="14" spans="2:16" x14ac:dyDescent="0.3">
      <c r="B14">
        <v>12</v>
      </c>
      <c r="C14" t="s">
        <v>277</v>
      </c>
      <c r="D14">
        <v>2320.9</v>
      </c>
      <c r="E14">
        <v>4.75</v>
      </c>
      <c r="F14">
        <f t="shared" si="0"/>
        <v>11024.275</v>
      </c>
      <c r="G14">
        <v>131.37</v>
      </c>
      <c r="H14">
        <v>76.599999999999994</v>
      </c>
      <c r="I14">
        <f t="shared" si="1"/>
        <v>54.77000000000001</v>
      </c>
      <c r="J14">
        <f t="shared" si="2"/>
        <v>11079.045</v>
      </c>
      <c r="K14">
        <v>11077.67</v>
      </c>
      <c r="L14">
        <v>672.98</v>
      </c>
      <c r="M14">
        <v>43.85</v>
      </c>
      <c r="N14">
        <v>169.43</v>
      </c>
      <c r="O14">
        <v>11022.9</v>
      </c>
      <c r="P14">
        <f t="shared" si="3"/>
        <v>252.65781071835804</v>
      </c>
    </row>
    <row r="15" spans="2:16" x14ac:dyDescent="0.3">
      <c r="B15">
        <v>13</v>
      </c>
      <c r="C15" t="s">
        <v>276</v>
      </c>
      <c r="D15">
        <v>813.8</v>
      </c>
      <c r="E15">
        <v>11.97</v>
      </c>
      <c r="F15">
        <f t="shared" si="0"/>
        <v>9741.1859999999997</v>
      </c>
      <c r="G15">
        <v>1119.8</v>
      </c>
      <c r="H15">
        <v>367.22</v>
      </c>
      <c r="I15">
        <f t="shared" si="1"/>
        <v>752.57999999999993</v>
      </c>
      <c r="J15">
        <f t="shared" si="2"/>
        <v>10493.766</v>
      </c>
      <c r="K15">
        <v>10497.3</v>
      </c>
      <c r="L15">
        <v>6189.86</v>
      </c>
      <c r="M15">
        <v>18.13</v>
      </c>
      <c r="N15">
        <v>178.23</v>
      </c>
      <c r="O15">
        <v>9744.7199999999993</v>
      </c>
      <c r="P15">
        <f t="shared" si="3"/>
        <v>578.80672917815775</v>
      </c>
    </row>
    <row r="16" spans="2:16" x14ac:dyDescent="0.3">
      <c r="B16">
        <v>14</v>
      </c>
      <c r="C16" t="s">
        <v>278</v>
      </c>
      <c r="D16">
        <v>75</v>
      </c>
      <c r="E16">
        <v>122.03</v>
      </c>
      <c r="F16">
        <f t="shared" si="0"/>
        <v>9152.25</v>
      </c>
      <c r="G16">
        <v>5016.78</v>
      </c>
      <c r="H16">
        <v>773.06</v>
      </c>
      <c r="I16">
        <f t="shared" si="1"/>
        <v>4243.7199999999993</v>
      </c>
      <c r="J16">
        <f t="shared" si="2"/>
        <v>13395.97</v>
      </c>
      <c r="K16">
        <v>13395.72</v>
      </c>
      <c r="L16">
        <v>9395.32</v>
      </c>
      <c r="M16">
        <v>11.14</v>
      </c>
      <c r="N16">
        <v>-514.34</v>
      </c>
      <c r="O16">
        <v>9152</v>
      </c>
      <c r="P16">
        <f t="shared" si="3"/>
        <v>1202.5107719928185</v>
      </c>
    </row>
    <row r="17" spans="2:16" x14ac:dyDescent="0.3">
      <c r="B17">
        <v>15</v>
      </c>
      <c r="C17" t="s">
        <v>279</v>
      </c>
      <c r="D17">
        <v>50.95</v>
      </c>
      <c r="E17">
        <v>138.22999999999999</v>
      </c>
      <c r="F17">
        <f t="shared" si="0"/>
        <v>7042.8185000000003</v>
      </c>
      <c r="G17">
        <v>923.46</v>
      </c>
      <c r="H17">
        <v>130.68</v>
      </c>
      <c r="I17">
        <f t="shared" si="1"/>
        <v>792.78</v>
      </c>
      <c r="J17">
        <f t="shared" si="2"/>
        <v>7835.5985000000001</v>
      </c>
      <c r="K17">
        <v>7835.44</v>
      </c>
      <c r="L17">
        <v>7539.85</v>
      </c>
      <c r="M17">
        <v>-48.85</v>
      </c>
      <c r="N17">
        <v>-268.22000000000003</v>
      </c>
      <c r="O17">
        <v>7042.66</v>
      </c>
      <c r="P17">
        <f t="shared" si="3"/>
        <v>-160.4011975435005</v>
      </c>
    </row>
  </sheetData>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8297B8-D0EB-4B9A-BF74-8ED0975F74E5}">
  <sheetPr>
    <tabColor theme="6"/>
  </sheetPr>
  <dimension ref="B2:M1883"/>
  <sheetViews>
    <sheetView showGridLines="0" zoomScale="88" zoomScaleNormal="58" workbookViewId="0">
      <selection activeCell="E5" sqref="E5"/>
    </sheetView>
  </sheetViews>
  <sheetFormatPr defaultRowHeight="14.4" x14ac:dyDescent="0.3"/>
  <cols>
    <col min="1" max="1" width="1.88671875" customWidth="1"/>
    <col min="2" max="2" width="15.5546875" bestFit="1" customWidth="1"/>
    <col min="3" max="3" width="9.109375" bestFit="1" customWidth="1"/>
    <col min="4" max="4" width="8.6640625" bestFit="1" customWidth="1"/>
    <col min="5" max="5" width="15" bestFit="1" customWidth="1"/>
    <col min="6" max="6" width="15" customWidth="1"/>
    <col min="7" max="7" width="16.109375" bestFit="1" customWidth="1"/>
    <col min="8" max="8" width="1.88671875" customWidth="1"/>
    <col min="10" max="10" width="10.5546875" bestFit="1" customWidth="1"/>
    <col min="13" max="13" width="11.21875" bestFit="1" customWidth="1"/>
  </cols>
  <sheetData>
    <row r="2" spans="2:13" x14ac:dyDescent="0.3">
      <c r="B2" s="73" t="s">
        <v>420</v>
      </c>
      <c r="C2" s="73"/>
      <c r="D2" s="73"/>
      <c r="E2" s="176"/>
      <c r="F2" s="176"/>
      <c r="G2" s="176"/>
    </row>
    <row r="3" spans="2:13" ht="15" thickBot="1" x14ac:dyDescent="0.35"/>
    <row r="4" spans="2:13" ht="15" thickBot="1" x14ac:dyDescent="0.35">
      <c r="B4" s="172" t="s">
        <v>225</v>
      </c>
      <c r="C4" s="173" t="s">
        <v>419</v>
      </c>
      <c r="D4" s="175" t="s">
        <v>227</v>
      </c>
      <c r="E4" s="240" t="s">
        <v>427</v>
      </c>
      <c r="F4" s="177" t="s">
        <v>433</v>
      </c>
      <c r="G4" s="177" t="s">
        <v>434</v>
      </c>
      <c r="I4" s="73" t="s">
        <v>421</v>
      </c>
      <c r="J4" s="73"/>
      <c r="K4" s="73"/>
      <c r="L4" s="73"/>
      <c r="M4" s="73"/>
    </row>
    <row r="5" spans="2:13" ht="15" thickBot="1" x14ac:dyDescent="0.35">
      <c r="B5" s="170">
        <v>43476.645833333336</v>
      </c>
      <c r="C5" s="238">
        <v>1571.65</v>
      </c>
      <c r="D5" s="241">
        <f t="shared" ref="D5:D68" si="0">(C5-C6)/C6</f>
        <v>-0.65629715485380624</v>
      </c>
      <c r="E5" s="241">
        <v>0.12469586374695862</v>
      </c>
      <c r="F5" s="242">
        <v>1</v>
      </c>
      <c r="G5" s="243">
        <f ca="1">_xlfn.NORM.INV(RAND(),$M$7,$M$8)</f>
        <v>-1.8945212804488742E-2</v>
      </c>
      <c r="I5" s="67"/>
      <c r="J5" s="67"/>
      <c r="K5" s="67"/>
      <c r="L5" s="67"/>
      <c r="M5" s="67"/>
    </row>
    <row r="6" spans="2:13" ht="15" thickBot="1" x14ac:dyDescent="0.35">
      <c r="B6" s="170">
        <v>45576.645833333336</v>
      </c>
      <c r="C6" s="238">
        <v>4572.7</v>
      </c>
      <c r="D6" s="241">
        <f t="shared" si="0"/>
        <v>-0.14107536980511862</v>
      </c>
      <c r="E6" s="241">
        <v>9.30060235204129E-2</v>
      </c>
      <c r="F6" s="242">
        <v>2</v>
      </c>
      <c r="G6" s="243">
        <f t="shared" ref="G6:G69" ca="1" si="1">_xlfn.NORM.INV(RAND(),$M$7,$M$8)</f>
        <v>5.49944095797281E-3</v>
      </c>
      <c r="I6" s="2" t="s">
        <v>435</v>
      </c>
      <c r="J6" s="2"/>
    </row>
    <row r="7" spans="2:13" ht="15" thickBot="1" x14ac:dyDescent="0.35">
      <c r="B7" s="170">
        <v>44483.645833333336</v>
      </c>
      <c r="C7" s="238">
        <v>5323.75</v>
      </c>
      <c r="D7" s="241">
        <f t="shared" si="0"/>
        <v>0.34990364622952475</v>
      </c>
      <c r="E7" s="241">
        <v>8.6967618114255338E-2</v>
      </c>
      <c r="F7" s="242">
        <v>3</v>
      </c>
      <c r="G7" s="243">
        <f t="shared" ca="1" si="1"/>
        <v>1.4476411544407689E-2</v>
      </c>
      <c r="I7" t="s">
        <v>422</v>
      </c>
      <c r="M7" s="35">
        <f>AVERAGE(E5:E1882)</f>
        <v>-5.2670451650334413E-4</v>
      </c>
    </row>
    <row r="8" spans="2:13" ht="15" thickBot="1" x14ac:dyDescent="0.35">
      <c r="B8" s="170">
        <v>44686.645833333336</v>
      </c>
      <c r="C8" s="238">
        <v>3943.8</v>
      </c>
      <c r="D8" s="241">
        <f t="shared" si="0"/>
        <v>0.83744496470752694</v>
      </c>
      <c r="E8" s="241">
        <v>7.5718727838088584E-2</v>
      </c>
      <c r="F8" s="242">
        <v>4</v>
      </c>
      <c r="G8" s="243">
        <f t="shared" ca="1" si="1"/>
        <v>2.9224597003123964E-2</v>
      </c>
      <c r="I8" t="s">
        <v>423</v>
      </c>
      <c r="M8" s="35">
        <f>_xlfn.STDEV.S(E5:E1882)</f>
        <v>1.9828941812393478E-2</v>
      </c>
    </row>
    <row r="9" spans="2:13" ht="15" thickBot="1" x14ac:dyDescent="0.35">
      <c r="B9" s="170">
        <v>44027.645833333336</v>
      </c>
      <c r="C9" s="238">
        <v>2146.35</v>
      </c>
      <c r="D9" s="241">
        <f t="shared" si="0"/>
        <v>0.30231782052059947</v>
      </c>
      <c r="E9" s="241">
        <v>6.9405346154804287E-2</v>
      </c>
      <c r="F9" s="242">
        <v>5</v>
      </c>
      <c r="G9" s="243">
        <f t="shared" ca="1" si="1"/>
        <v>1.4923442689373656E-2</v>
      </c>
      <c r="I9" t="s">
        <v>424</v>
      </c>
      <c r="M9" s="35">
        <f>MAX(E5:E1882)</f>
        <v>0.12469586374695862</v>
      </c>
    </row>
    <row r="10" spans="2:13" ht="15" thickBot="1" x14ac:dyDescent="0.35">
      <c r="B10" s="170">
        <v>43455.645833333336</v>
      </c>
      <c r="C10" s="238">
        <v>1648.1</v>
      </c>
      <c r="D10" s="241">
        <f t="shared" si="0"/>
        <v>-0.61670310246988236</v>
      </c>
      <c r="E10" s="241">
        <v>6.6213812065340397E-2</v>
      </c>
      <c r="F10" s="242">
        <v>6</v>
      </c>
      <c r="G10" s="243">
        <f t="shared" ca="1" si="1"/>
        <v>-3.9279371893376609E-2</v>
      </c>
      <c r="I10" t="s">
        <v>425</v>
      </c>
      <c r="M10" s="35">
        <f>MIN(E5:E1882)</f>
        <v>-0.10287687568319585</v>
      </c>
    </row>
    <row r="11" spans="2:13" ht="15" thickBot="1" x14ac:dyDescent="0.35">
      <c r="B11" s="170">
        <v>44582.645833333336</v>
      </c>
      <c r="C11" s="238">
        <v>4299.8</v>
      </c>
      <c r="D11" s="241">
        <f t="shared" si="0"/>
        <v>0.16759897898224088</v>
      </c>
      <c r="E11" s="241">
        <v>6.5546551681411547E-2</v>
      </c>
      <c r="F11" s="242">
        <v>7</v>
      </c>
      <c r="G11" s="243">
        <f t="shared" ca="1" si="1"/>
        <v>-2.5716728421105558E-2</v>
      </c>
      <c r="I11" t="s">
        <v>428</v>
      </c>
      <c r="M11" s="174">
        <v>4608.1000000000004</v>
      </c>
    </row>
    <row r="12" spans="2:13" ht="15" thickBot="1" x14ac:dyDescent="0.35">
      <c r="B12" s="170">
        <v>44728.645833333336</v>
      </c>
      <c r="C12" s="238">
        <v>3682.6</v>
      </c>
      <c r="D12" s="241">
        <f t="shared" si="0"/>
        <v>1.6086278954452076</v>
      </c>
      <c r="E12" s="241">
        <v>6.4166100764329284E-2</v>
      </c>
      <c r="F12" s="242">
        <v>8</v>
      </c>
      <c r="G12" s="243">
        <f t="shared" ca="1" si="1"/>
        <v>-2.0458593136581157E-2</v>
      </c>
      <c r="M12" s="174"/>
    </row>
    <row r="13" spans="2:13" ht="15" thickBot="1" x14ac:dyDescent="0.35">
      <c r="B13" s="170">
        <v>43385.645833333336</v>
      </c>
      <c r="C13" s="238">
        <v>1411.7</v>
      </c>
      <c r="D13" s="241">
        <f t="shared" si="0"/>
        <v>7.8745271845031092E-2</v>
      </c>
      <c r="E13" s="241">
        <v>6.1628125587516486E-2</v>
      </c>
      <c r="F13" s="242">
        <v>9</v>
      </c>
      <c r="G13" s="243">
        <f t="shared" ca="1" si="1"/>
        <v>8.3533022902088378E-3</v>
      </c>
      <c r="I13" s="2" t="s">
        <v>436</v>
      </c>
      <c r="J13" s="2"/>
    </row>
    <row r="14" spans="2:13" ht="15" thickBot="1" x14ac:dyDescent="0.35">
      <c r="B14" s="170">
        <v>43390.645833333336</v>
      </c>
      <c r="C14" s="238">
        <v>1308.6500000000001</v>
      </c>
      <c r="D14" s="241">
        <f t="shared" si="0"/>
        <v>-8.6775994417306282E-2</v>
      </c>
      <c r="E14" s="241">
        <v>6.0279521976909126E-2</v>
      </c>
      <c r="F14" s="242">
        <v>10</v>
      </c>
      <c r="G14" s="243">
        <f t="shared" ca="1" si="1"/>
        <v>-1.5044706333124725E-2</v>
      </c>
      <c r="I14" t="s">
        <v>422</v>
      </c>
      <c r="M14" s="35">
        <f ca="1">AVERAGE(G5:G1883)</f>
        <v>-6.0678919238356182E-4</v>
      </c>
    </row>
    <row r="15" spans="2:13" ht="15" thickBot="1" x14ac:dyDescent="0.35">
      <c r="B15" s="170">
        <v>43650.645833333336</v>
      </c>
      <c r="C15" s="238">
        <v>1433</v>
      </c>
      <c r="D15" s="241">
        <f t="shared" si="0"/>
        <v>-0.43674704714737733</v>
      </c>
      <c r="E15" s="241">
        <v>5.6667772739003724E-2</v>
      </c>
      <c r="F15" s="242">
        <v>11</v>
      </c>
      <c r="G15" s="243">
        <f t="shared" ca="1" si="1"/>
        <v>-1.1961880211391536E-2</v>
      </c>
      <c r="I15" t="s">
        <v>423</v>
      </c>
      <c r="M15" s="35">
        <f ca="1">_xlfn.STDEV.S(G5:G1883)</f>
        <v>2.0170835629401595E-2</v>
      </c>
    </row>
    <row r="16" spans="2:13" ht="15" thickBot="1" x14ac:dyDescent="0.35">
      <c r="B16" s="170">
        <v>43874.645833333336</v>
      </c>
      <c r="C16" s="238">
        <v>2544.15</v>
      </c>
      <c r="D16" s="241">
        <f t="shared" si="0"/>
        <v>0.70177257525083614</v>
      </c>
      <c r="E16" s="241">
        <v>5.6387153030082918E-2</v>
      </c>
      <c r="F16" s="242">
        <v>12</v>
      </c>
      <c r="G16" s="243">
        <f t="shared" ca="1" si="1"/>
        <v>3.1568674989624283E-2</v>
      </c>
      <c r="I16" t="s">
        <v>424</v>
      </c>
      <c r="M16" s="35">
        <f ca="1">MAX(G5:G1883)</f>
        <v>5.3974120482053155E-2</v>
      </c>
    </row>
    <row r="17" spans="2:13" ht="15" thickBot="1" x14ac:dyDescent="0.35">
      <c r="B17" s="170">
        <v>43237.645833333336</v>
      </c>
      <c r="C17" s="238">
        <v>1495</v>
      </c>
      <c r="D17" s="241">
        <f t="shared" si="0"/>
        <v>-0.46501100395426648</v>
      </c>
      <c r="E17" s="241">
        <v>5.4896979960485433E-2</v>
      </c>
      <c r="F17" s="242">
        <v>13</v>
      </c>
      <c r="G17" s="243">
        <f t="shared" ca="1" si="1"/>
        <v>5.6760403918083282E-3</v>
      </c>
      <c r="I17" t="s">
        <v>425</v>
      </c>
      <c r="M17" s="35">
        <f ca="1">MIN(G5:G1883)</f>
        <v>-6.9892198061228913E-2</v>
      </c>
    </row>
    <row r="18" spans="2:13" ht="15" thickBot="1" x14ac:dyDescent="0.35">
      <c r="B18" s="170">
        <v>44224.645833333336</v>
      </c>
      <c r="C18" s="238">
        <v>2794.45</v>
      </c>
      <c r="D18" s="241">
        <f t="shared" si="0"/>
        <v>-0.37968656351972296</v>
      </c>
      <c r="E18" s="241">
        <v>5.3912879502168512E-2</v>
      </c>
      <c r="F18" s="242">
        <v>14</v>
      </c>
      <c r="G18" s="243">
        <f t="shared" ca="1" si="1"/>
        <v>3.3695526062934786E-2</v>
      </c>
      <c r="I18" t="s">
        <v>428</v>
      </c>
      <c r="M18" s="174">
        <v>4608.1000000000004</v>
      </c>
    </row>
    <row r="19" spans="2:13" ht="15" thickBot="1" x14ac:dyDescent="0.35">
      <c r="B19" s="170">
        <v>44572.645833333336</v>
      </c>
      <c r="C19" s="238">
        <v>4504.8999999999996</v>
      </c>
      <c r="D19" s="241">
        <f t="shared" si="0"/>
        <v>2.1787327123906293</v>
      </c>
      <c r="E19" s="241">
        <v>5.3506700030401359E-2</v>
      </c>
      <c r="F19" s="242">
        <v>15</v>
      </c>
      <c r="G19" s="243">
        <f t="shared" ca="1" si="1"/>
        <v>-3.477782451082163E-3</v>
      </c>
    </row>
    <row r="20" spans="2:13" ht="15" thickBot="1" x14ac:dyDescent="0.35">
      <c r="B20" s="170">
        <v>43238.645833333336</v>
      </c>
      <c r="C20" s="238">
        <v>1417.2</v>
      </c>
      <c r="D20" s="241">
        <f t="shared" si="0"/>
        <v>-0.26037263190856419</v>
      </c>
      <c r="E20" s="241">
        <v>5.3327882864469135E-2</v>
      </c>
      <c r="F20" s="242">
        <v>16</v>
      </c>
      <c r="G20" s="243">
        <f t="shared" ca="1" si="1"/>
        <v>-5.8119339733170277E-3</v>
      </c>
      <c r="I20" t="s">
        <v>426</v>
      </c>
      <c r="J20" t="s">
        <v>430</v>
      </c>
      <c r="K20" t="s">
        <v>431</v>
      </c>
      <c r="L20" t="s">
        <v>429</v>
      </c>
      <c r="M20" t="s">
        <v>432</v>
      </c>
    </row>
    <row r="21" spans="2:13" ht="15" thickBot="1" x14ac:dyDescent="0.35">
      <c r="B21" s="170">
        <v>43910.645833333336</v>
      </c>
      <c r="C21" s="238">
        <v>1916.1</v>
      </c>
      <c r="D21" s="241">
        <f t="shared" si="0"/>
        <v>-0.19917246567613323</v>
      </c>
      <c r="E21" s="241">
        <v>5.2628687578970476E-2</v>
      </c>
      <c r="F21" s="242">
        <v>17</v>
      </c>
      <c r="G21" s="243">
        <f t="shared" ca="1" si="1"/>
        <v>2.9468544749591146E-3</v>
      </c>
    </row>
    <row r="22" spans="2:13" ht="15" thickBot="1" x14ac:dyDescent="0.35">
      <c r="B22" s="170">
        <v>43930.645833333336</v>
      </c>
      <c r="C22" s="238">
        <v>2392.65</v>
      </c>
      <c r="D22" s="241">
        <f t="shared" si="0"/>
        <v>0.13398421763548912</v>
      </c>
      <c r="E22" s="241">
        <v>5.2616528452959638E-2</v>
      </c>
      <c r="F22" s="242">
        <v>18</v>
      </c>
      <c r="G22" s="243">
        <f t="shared" ca="1" si="1"/>
        <v>2.5335107168490596E-2</v>
      </c>
      <c r="I22" s="5">
        <v>0.05</v>
      </c>
      <c r="J22" s="5">
        <f>100%-I22</f>
        <v>0.95</v>
      </c>
      <c r="K22" s="114">
        <f ca="1">_xlfn.PERCENTILE.INC(G5:G1883,I22)</f>
        <v>-3.3788788364150481E-2</v>
      </c>
      <c r="L22">
        <f ca="1">$M$11*(1-K22)</f>
        <v>4763.8021156608429</v>
      </c>
      <c r="M22" s="161">
        <f ca="1">$M$11-L22</f>
        <v>-155.70211566084254</v>
      </c>
    </row>
    <row r="23" spans="2:13" ht="15" thickBot="1" x14ac:dyDescent="0.35">
      <c r="B23" s="170">
        <v>43901.645833333336</v>
      </c>
      <c r="C23" s="238">
        <v>2109.9499999999998</v>
      </c>
      <c r="D23" s="241">
        <f t="shared" si="0"/>
        <v>9.8417408506429133E-2</v>
      </c>
      <c r="E23" s="241">
        <v>5.2606635071089959E-2</v>
      </c>
      <c r="F23" s="242">
        <v>19</v>
      </c>
      <c r="G23" s="243">
        <f t="shared" ca="1" si="1"/>
        <v>-8.6135579721348062E-5</v>
      </c>
      <c r="I23" s="5">
        <v>0.01</v>
      </c>
      <c r="J23" s="5">
        <f t="shared" ref="J23:J24" si="2">100%-I23</f>
        <v>0.99</v>
      </c>
      <c r="K23" s="114">
        <f ca="1">_xlfn.PERCENTILE.INC(G5:G1884,I23)</f>
        <v>-4.4549862709945938E-2</v>
      </c>
      <c r="L23">
        <f t="shared" ref="L23:L24" ca="1" si="3">$M$11*(1-K23)</f>
        <v>4813.3902223537016</v>
      </c>
      <c r="M23" s="161">
        <f t="shared" ref="M23:M24" ca="1" si="4">$M$11-L23</f>
        <v>-205.29022235370121</v>
      </c>
    </row>
    <row r="24" spans="2:13" ht="15" thickBot="1" x14ac:dyDescent="0.35">
      <c r="B24" s="170">
        <v>43908.645833333336</v>
      </c>
      <c r="C24" s="238">
        <v>1920.9</v>
      </c>
      <c r="D24" s="241">
        <f t="shared" si="0"/>
        <v>-4.9976507826603005E-2</v>
      </c>
      <c r="E24" s="241">
        <v>5.2605622225875386E-2</v>
      </c>
      <c r="F24" s="242">
        <v>20</v>
      </c>
      <c r="G24" s="243">
        <f t="shared" ca="1" si="1"/>
        <v>-4.8285859581132162E-3</v>
      </c>
      <c r="I24" s="5">
        <v>5.0000000000000001E-3</v>
      </c>
      <c r="J24" s="5">
        <f t="shared" si="2"/>
        <v>0.995</v>
      </c>
      <c r="K24" s="114">
        <f ca="1">_xlfn.PERCENTILE.INC(G5:G1885,I24)</f>
        <v>-4.9474304890896249E-2</v>
      </c>
      <c r="L24">
        <f t="shared" ca="1" si="3"/>
        <v>4836.0825443677395</v>
      </c>
      <c r="M24" s="161">
        <f t="shared" ca="1" si="4"/>
        <v>-227.98254436773914</v>
      </c>
    </row>
    <row r="25" spans="2:13" ht="15" thickBot="1" x14ac:dyDescent="0.35">
      <c r="B25" s="170">
        <v>43907.645833333336</v>
      </c>
      <c r="C25" s="238">
        <v>2021.95</v>
      </c>
      <c r="D25" s="241">
        <f t="shared" si="0"/>
        <v>-3.7624940504521635E-2</v>
      </c>
      <c r="E25" s="241">
        <v>5.2605549482013611E-2</v>
      </c>
      <c r="F25" s="242">
        <v>21</v>
      </c>
      <c r="G25" s="243">
        <f t="shared" ca="1" si="1"/>
        <v>-2.8508751583276516E-2</v>
      </c>
    </row>
    <row r="26" spans="2:13" ht="15" thickBot="1" x14ac:dyDescent="0.35">
      <c r="B26" s="170">
        <v>43903.645833333336</v>
      </c>
      <c r="C26" s="238">
        <v>2101</v>
      </c>
      <c r="D26" s="241">
        <f t="shared" si="0"/>
        <v>-0.58649058237713791</v>
      </c>
      <c r="E26" s="241">
        <v>5.2447026999949929E-2</v>
      </c>
      <c r="F26" s="242">
        <v>22</v>
      </c>
      <c r="G26" s="243">
        <f t="shared" ca="1" si="1"/>
        <v>-2.382181833525714E-2</v>
      </c>
    </row>
    <row r="27" spans="2:13" ht="15" thickBot="1" x14ac:dyDescent="0.35">
      <c r="B27" s="170">
        <v>44518.645833333336</v>
      </c>
      <c r="C27" s="238">
        <v>5080.8999999999996</v>
      </c>
      <c r="D27" s="241">
        <f t="shared" si="0"/>
        <v>3.2632153045813053</v>
      </c>
      <c r="E27" s="241">
        <v>5.2316550338628386E-2</v>
      </c>
      <c r="F27" s="242">
        <v>23</v>
      </c>
      <c r="G27" s="243">
        <f t="shared" ca="1" si="1"/>
        <v>2.650751256060636E-3</v>
      </c>
    </row>
    <row r="28" spans="2:13" ht="15" thickBot="1" x14ac:dyDescent="0.35">
      <c r="B28" s="170">
        <v>43395.645833333336</v>
      </c>
      <c r="C28" s="238">
        <v>1191.8</v>
      </c>
      <c r="D28" s="241">
        <f t="shared" si="0"/>
        <v>-0.67669040352661913</v>
      </c>
      <c r="E28" s="241">
        <v>5.124812560642137E-2</v>
      </c>
      <c r="F28" s="242">
        <v>24</v>
      </c>
      <c r="G28" s="243">
        <f t="shared" ca="1" si="1"/>
        <v>2.329691235243625E-2</v>
      </c>
    </row>
    <row r="29" spans="2:13" ht="15" thickBot="1" x14ac:dyDescent="0.35">
      <c r="B29" s="170">
        <v>45667.645833333336</v>
      </c>
      <c r="C29" s="238">
        <v>3686.25</v>
      </c>
      <c r="D29" s="241">
        <f t="shared" si="0"/>
        <v>-4.592747884152492E-2</v>
      </c>
      <c r="E29" s="241">
        <v>5.0977205662233301E-2</v>
      </c>
      <c r="F29" s="242">
        <v>25</v>
      </c>
      <c r="G29" s="243">
        <f t="shared" ca="1" si="1"/>
        <v>-3.7625967550638456E-3</v>
      </c>
    </row>
    <row r="30" spans="2:13" ht="15" thickBot="1" x14ac:dyDescent="0.35">
      <c r="B30" s="170">
        <v>44939.645833333336</v>
      </c>
      <c r="C30" s="238">
        <v>3863.7</v>
      </c>
      <c r="D30" s="241">
        <f t="shared" si="0"/>
        <v>0.61101613642997099</v>
      </c>
      <c r="E30" s="241">
        <v>5.0389440917802793E-2</v>
      </c>
      <c r="F30" s="242">
        <v>26</v>
      </c>
      <c r="G30" s="243">
        <f t="shared" ca="1" si="1"/>
        <v>-7.4558733299874636E-3</v>
      </c>
    </row>
    <row r="31" spans="2:13" ht="15" thickBot="1" x14ac:dyDescent="0.35">
      <c r="B31" s="170">
        <v>43973.645833333336</v>
      </c>
      <c r="C31" s="238">
        <v>2398.3000000000002</v>
      </c>
      <c r="D31" s="241">
        <f t="shared" si="0"/>
        <v>9.6365714285714374E-2</v>
      </c>
      <c r="E31" s="241">
        <v>5.0388700317529914E-2</v>
      </c>
      <c r="F31" s="242">
        <v>27</v>
      </c>
      <c r="G31" s="243">
        <f t="shared" ca="1" si="1"/>
        <v>-5.5133602140750625E-3</v>
      </c>
    </row>
    <row r="32" spans="2:13" ht="15" thickBot="1" x14ac:dyDescent="0.35">
      <c r="B32" s="170">
        <v>43921.645833333336</v>
      </c>
      <c r="C32" s="238">
        <v>2187.5</v>
      </c>
      <c r="D32" s="241">
        <f t="shared" si="0"/>
        <v>-0.47692491630798661</v>
      </c>
      <c r="E32" s="241">
        <v>5.0319297066308249E-2</v>
      </c>
      <c r="F32" s="242">
        <v>28</v>
      </c>
      <c r="G32" s="243">
        <f t="shared" ca="1" si="1"/>
        <v>-1.9029391117598951E-2</v>
      </c>
    </row>
    <row r="33" spans="2:7" ht="15" thickBot="1" x14ac:dyDescent="0.35">
      <c r="B33" s="170">
        <v>44910.645833333336</v>
      </c>
      <c r="C33" s="238">
        <v>4182</v>
      </c>
      <c r="D33" s="241">
        <f t="shared" si="0"/>
        <v>0.41870918497158849</v>
      </c>
      <c r="E33" s="241">
        <v>4.8120300751879702E-2</v>
      </c>
      <c r="F33" s="242">
        <v>29</v>
      </c>
      <c r="G33" s="243">
        <f t="shared" ca="1" si="1"/>
        <v>2.8528327963550988E-2</v>
      </c>
    </row>
    <row r="34" spans="2:7" ht="15" thickBot="1" x14ac:dyDescent="0.35">
      <c r="B34" s="170">
        <v>44295.645833333336</v>
      </c>
      <c r="C34" s="238">
        <v>2947.75</v>
      </c>
      <c r="D34" s="241">
        <f t="shared" si="0"/>
        <v>-0.34868588220997165</v>
      </c>
      <c r="E34" s="241">
        <v>4.71952822480372E-2</v>
      </c>
      <c r="F34" s="242">
        <v>30</v>
      </c>
      <c r="G34" s="243">
        <f t="shared" ca="1" si="1"/>
        <v>-1.294597715781263E-2</v>
      </c>
    </row>
    <row r="35" spans="2:7" ht="15" thickBot="1" x14ac:dyDescent="0.35">
      <c r="B35" s="170">
        <v>44819.645833333336</v>
      </c>
      <c r="C35" s="238">
        <v>4525.8500000000004</v>
      </c>
      <c r="D35" s="241">
        <f t="shared" si="0"/>
        <v>0.23831347387717702</v>
      </c>
      <c r="E35" s="241">
        <v>4.5822694134094392E-2</v>
      </c>
      <c r="F35" s="242">
        <v>31</v>
      </c>
      <c r="G35" s="243">
        <f t="shared" ca="1" si="1"/>
        <v>-2.2188032180155099E-2</v>
      </c>
    </row>
    <row r="36" spans="2:7" ht="15" thickBot="1" x14ac:dyDescent="0.35">
      <c r="B36" s="170">
        <v>45021.645833333336</v>
      </c>
      <c r="C36" s="238">
        <v>3654.85</v>
      </c>
      <c r="D36" s="241">
        <f t="shared" si="0"/>
        <v>0.63006489307138225</v>
      </c>
      <c r="E36" s="241">
        <v>4.5407740053202139E-2</v>
      </c>
      <c r="F36" s="242">
        <v>32</v>
      </c>
      <c r="G36" s="243">
        <f t="shared" ca="1" si="1"/>
        <v>-3.7892954087487898E-2</v>
      </c>
    </row>
    <row r="37" spans="2:7" ht="15" thickBot="1" x14ac:dyDescent="0.35">
      <c r="B37" s="170">
        <v>43896.645833333336</v>
      </c>
      <c r="C37" s="238">
        <v>2242.15</v>
      </c>
      <c r="D37" s="241">
        <f t="shared" si="0"/>
        <v>-5.9362742013298928E-2</v>
      </c>
      <c r="E37" s="241">
        <v>4.4950365847975148E-2</v>
      </c>
      <c r="F37" s="242">
        <v>33</v>
      </c>
      <c r="G37" s="243">
        <f t="shared" ca="1" si="1"/>
        <v>-1.4726411346515629E-2</v>
      </c>
    </row>
    <row r="38" spans="2:7" ht="15" thickBot="1" x14ac:dyDescent="0.35">
      <c r="B38" s="170">
        <v>43951.645833333336</v>
      </c>
      <c r="C38" s="238">
        <v>2383.65</v>
      </c>
      <c r="D38" s="241">
        <f t="shared" si="0"/>
        <v>-0.50330794636438458</v>
      </c>
      <c r="E38" s="241">
        <v>4.4864770087230922E-2</v>
      </c>
      <c r="F38" s="242">
        <v>34</v>
      </c>
      <c r="G38" s="243">
        <f t="shared" ca="1" si="1"/>
        <v>-2.3508254001598505E-2</v>
      </c>
    </row>
    <row r="39" spans="2:7" ht="15" thickBot="1" x14ac:dyDescent="0.35">
      <c r="B39" s="170">
        <v>44533.645833333336</v>
      </c>
      <c r="C39" s="238">
        <v>4799.05</v>
      </c>
      <c r="D39" s="241">
        <f t="shared" si="0"/>
        <v>0.14441569590671174</v>
      </c>
      <c r="E39" s="241">
        <v>4.4759385646953899E-2</v>
      </c>
      <c r="F39" s="242">
        <v>35</v>
      </c>
      <c r="G39" s="243">
        <f t="shared" ca="1" si="1"/>
        <v>-2.0572201911388979E-3</v>
      </c>
    </row>
    <row r="40" spans="2:7" ht="15" thickBot="1" x14ac:dyDescent="0.35">
      <c r="B40" s="170">
        <v>44615.645833333336</v>
      </c>
      <c r="C40" s="238">
        <v>4193.45</v>
      </c>
      <c r="D40" s="241">
        <f t="shared" si="0"/>
        <v>0.14028361273130199</v>
      </c>
      <c r="E40" s="241">
        <v>4.4536883663582064E-2</v>
      </c>
      <c r="F40" s="242">
        <v>36</v>
      </c>
      <c r="G40" s="243">
        <f t="shared" ca="1" si="1"/>
        <v>1.1603547459655739E-2</v>
      </c>
    </row>
    <row r="41" spans="2:7" ht="15" thickBot="1" x14ac:dyDescent="0.35">
      <c r="B41" s="170">
        <v>45058.645833333336</v>
      </c>
      <c r="C41" s="238">
        <v>3677.55</v>
      </c>
      <c r="D41" s="241">
        <f t="shared" si="0"/>
        <v>-0.10376887177550054</v>
      </c>
      <c r="E41" s="241">
        <v>4.3750354770959891E-2</v>
      </c>
      <c r="F41" s="242">
        <v>37</v>
      </c>
      <c r="G41" s="243">
        <f t="shared" ca="1" si="1"/>
        <v>-1.5803452780978569E-2</v>
      </c>
    </row>
    <row r="42" spans="2:7" ht="15" thickBot="1" x14ac:dyDescent="0.35">
      <c r="B42" s="170">
        <v>45293.645833333336</v>
      </c>
      <c r="C42" s="238">
        <v>4103.3500000000004</v>
      </c>
      <c r="D42" s="241">
        <f t="shared" si="0"/>
        <v>-0.16979929591712861</v>
      </c>
      <c r="E42" s="241">
        <v>4.348544763309483E-2</v>
      </c>
      <c r="F42" s="242">
        <v>38</v>
      </c>
      <c r="G42" s="243">
        <f t="shared" ca="1" si="1"/>
        <v>1.7084960507847771E-2</v>
      </c>
    </row>
    <row r="43" spans="2:7" ht="15" thickBot="1" x14ac:dyDescent="0.35">
      <c r="B43" s="170">
        <v>45568.645833333336</v>
      </c>
      <c r="C43" s="238">
        <v>4942.6000000000004</v>
      </c>
      <c r="D43" s="241">
        <f t="shared" si="0"/>
        <v>0.10238538657983075</v>
      </c>
      <c r="E43" s="241">
        <v>4.3281865099049126E-2</v>
      </c>
      <c r="F43" s="242">
        <v>39</v>
      </c>
      <c r="G43" s="243">
        <f t="shared" ca="1" si="1"/>
        <v>1.8438114584947894E-2</v>
      </c>
    </row>
    <row r="44" spans="2:7" ht="15" thickBot="1" x14ac:dyDescent="0.35">
      <c r="B44" s="170">
        <v>44581.645833333336</v>
      </c>
      <c r="C44" s="238">
        <v>4483.55</v>
      </c>
      <c r="D44" s="241">
        <f t="shared" si="0"/>
        <v>0.92927988984272492</v>
      </c>
      <c r="E44" s="241">
        <v>4.2734545792827573E-2</v>
      </c>
      <c r="F44" s="242">
        <v>40</v>
      </c>
      <c r="G44" s="243">
        <f t="shared" ca="1" si="1"/>
        <v>2.0974935413661806E-2</v>
      </c>
    </row>
    <row r="45" spans="2:7" ht="15" thickBot="1" x14ac:dyDescent="0.35">
      <c r="B45" s="170">
        <v>43889.645833333336</v>
      </c>
      <c r="C45" s="238">
        <v>2323.9499999999998</v>
      </c>
      <c r="D45" s="241">
        <f t="shared" si="0"/>
        <v>-0.50946164156578833</v>
      </c>
      <c r="E45" s="241">
        <v>4.2620965028376596E-2</v>
      </c>
      <c r="F45" s="242">
        <v>41</v>
      </c>
      <c r="G45" s="243">
        <f t="shared" ca="1" si="1"/>
        <v>-1.0297858659168749E-2</v>
      </c>
    </row>
    <row r="46" spans="2:7" ht="15" thickBot="1" x14ac:dyDescent="0.35">
      <c r="B46" s="170">
        <v>45569.645833333336</v>
      </c>
      <c r="C46" s="238">
        <v>4737.55</v>
      </c>
      <c r="D46" s="241">
        <f t="shared" si="0"/>
        <v>1.0842260399023338</v>
      </c>
      <c r="E46" s="241">
        <v>4.2560214781642458E-2</v>
      </c>
      <c r="F46" s="242">
        <v>42</v>
      </c>
      <c r="G46" s="243">
        <f t="shared" ca="1" si="1"/>
        <v>-2.2835521186166624E-3</v>
      </c>
    </row>
    <row r="47" spans="2:7" ht="15" thickBot="1" x14ac:dyDescent="0.35">
      <c r="B47" s="170">
        <v>43934.645833333336</v>
      </c>
      <c r="C47" s="238">
        <v>2273.0500000000002</v>
      </c>
      <c r="D47" s="241">
        <f t="shared" si="0"/>
        <v>0.44674283168379852</v>
      </c>
      <c r="E47" s="241">
        <v>4.2253198220918012E-2</v>
      </c>
      <c r="F47" s="242">
        <v>43</v>
      </c>
      <c r="G47" s="243">
        <f t="shared" ca="1" si="1"/>
        <v>4.0297960226137646E-3</v>
      </c>
    </row>
    <row r="48" spans="2:7" ht="15" thickBot="1" x14ac:dyDescent="0.35">
      <c r="B48" s="170">
        <v>43707.645833333336</v>
      </c>
      <c r="C48" s="238">
        <v>1571.15</v>
      </c>
      <c r="D48" s="241">
        <f t="shared" si="0"/>
        <v>-0.57145000272761981</v>
      </c>
      <c r="E48" s="241">
        <v>4.1876657824933744E-2</v>
      </c>
      <c r="F48" s="242">
        <v>44</v>
      </c>
      <c r="G48" s="243">
        <f t="shared" ca="1" si="1"/>
        <v>-1.8500417395400787E-2</v>
      </c>
    </row>
    <row r="49" spans="2:7" ht="15" thickBot="1" x14ac:dyDescent="0.35">
      <c r="B49" s="170">
        <v>44687.645833333336</v>
      </c>
      <c r="C49" s="238">
        <v>3666.2</v>
      </c>
      <c r="D49" s="241">
        <f t="shared" si="0"/>
        <v>-0.11492546321443664</v>
      </c>
      <c r="E49" s="241">
        <v>4.1445331363804114E-2</v>
      </c>
      <c r="F49" s="242">
        <v>45</v>
      </c>
      <c r="G49" s="243">
        <f t="shared" ca="1" si="1"/>
        <v>-2.1305923763205184E-2</v>
      </c>
    </row>
    <row r="50" spans="2:7" ht="15" thickBot="1" x14ac:dyDescent="0.35">
      <c r="B50" s="170">
        <v>44603.645833333336</v>
      </c>
      <c r="C50" s="238">
        <v>4142.25</v>
      </c>
      <c r="D50" s="241">
        <f t="shared" si="0"/>
        <v>-3.139249386180288E-2</v>
      </c>
      <c r="E50" s="241">
        <v>4.0831710534581317E-2</v>
      </c>
      <c r="F50" s="242">
        <v>46</v>
      </c>
      <c r="G50" s="243">
        <f t="shared" ca="1" si="1"/>
        <v>-3.8202168502415282E-3</v>
      </c>
    </row>
    <row r="51" spans="2:7" ht="15" thickBot="1" x14ac:dyDescent="0.35">
      <c r="B51" s="170">
        <v>44623.645833333336</v>
      </c>
      <c r="C51" s="238">
        <v>4276.5</v>
      </c>
      <c r="D51" s="241">
        <f t="shared" si="0"/>
        <v>0.84117621733327608</v>
      </c>
      <c r="E51" s="241">
        <v>4.0460318232689453E-2</v>
      </c>
      <c r="F51" s="242">
        <v>47</v>
      </c>
      <c r="G51" s="243">
        <f t="shared" ca="1" si="1"/>
        <v>-1.0770836037971659E-3</v>
      </c>
    </row>
    <row r="52" spans="2:7" ht="15" thickBot="1" x14ac:dyDescent="0.35">
      <c r="B52" s="170">
        <v>44022.645833333336</v>
      </c>
      <c r="C52" s="238">
        <v>2322.6999999999998</v>
      </c>
      <c r="D52" s="241">
        <f t="shared" si="0"/>
        <v>0.73200104395809251</v>
      </c>
      <c r="E52" s="241">
        <v>3.9727836343696143E-2</v>
      </c>
      <c r="F52" s="242">
        <v>48</v>
      </c>
      <c r="G52" s="243">
        <f t="shared" ca="1" si="1"/>
        <v>-2.8970313861443813E-2</v>
      </c>
    </row>
    <row r="53" spans="2:7" ht="15" thickBot="1" x14ac:dyDescent="0.35">
      <c r="B53" s="170">
        <v>43609.645833333336</v>
      </c>
      <c r="C53" s="238">
        <v>1341.05</v>
      </c>
      <c r="D53" s="241">
        <f t="shared" si="0"/>
        <v>-0.1002381830990641</v>
      </c>
      <c r="E53" s="241">
        <v>3.9613938524748947E-2</v>
      </c>
      <c r="F53" s="242">
        <v>49</v>
      </c>
      <c r="G53" s="243">
        <f t="shared" ca="1" si="1"/>
        <v>-2.9918022471352338E-2</v>
      </c>
    </row>
    <row r="54" spans="2:7" ht="15" thickBot="1" x14ac:dyDescent="0.35">
      <c r="B54" s="170">
        <v>43683.645833333336</v>
      </c>
      <c r="C54" s="238">
        <v>1490.45</v>
      </c>
      <c r="D54" s="241">
        <f t="shared" si="0"/>
        <v>-0.69583273810738566</v>
      </c>
      <c r="E54" s="241">
        <v>3.9148016454019448E-2</v>
      </c>
      <c r="F54" s="242">
        <v>50</v>
      </c>
      <c r="G54" s="243">
        <f t="shared" ca="1" si="1"/>
        <v>-3.5372145581577911E-2</v>
      </c>
    </row>
    <row r="55" spans="2:7" ht="15" thickBot="1" x14ac:dyDescent="0.35">
      <c r="B55" s="170">
        <v>45470.645833333336</v>
      </c>
      <c r="C55" s="238">
        <v>4900.1000000000004</v>
      </c>
      <c r="D55" s="241">
        <f t="shared" si="0"/>
        <v>2.4736469003650798</v>
      </c>
      <c r="E55" s="241">
        <v>3.8872104733131997E-2</v>
      </c>
      <c r="F55" s="242">
        <v>51</v>
      </c>
      <c r="G55" s="243">
        <f t="shared" ca="1" si="1"/>
        <v>3.9433439282792219E-3</v>
      </c>
    </row>
    <row r="56" spans="2:7" ht="15" thickBot="1" x14ac:dyDescent="0.35">
      <c r="B56" s="170">
        <v>43571.645833333336</v>
      </c>
      <c r="C56" s="238">
        <v>1410.65</v>
      </c>
      <c r="D56" s="241">
        <f t="shared" si="0"/>
        <v>-0.33894889758429192</v>
      </c>
      <c r="E56" s="241">
        <v>3.8387927861612138E-2</v>
      </c>
      <c r="F56" s="242">
        <v>52</v>
      </c>
      <c r="G56" s="243">
        <f t="shared" ca="1" si="1"/>
        <v>2.1413546485520456E-2</v>
      </c>
    </row>
    <row r="57" spans="2:7" ht="15" thickBot="1" x14ac:dyDescent="0.35">
      <c r="B57" s="170">
        <v>43861.645833333336</v>
      </c>
      <c r="C57" s="238">
        <v>2133.9499999999998</v>
      </c>
      <c r="D57" s="241">
        <f t="shared" si="0"/>
        <v>-6.5389247782765877E-2</v>
      </c>
      <c r="E57" s="241">
        <v>3.8367962629555698E-2</v>
      </c>
      <c r="F57" s="242">
        <v>53</v>
      </c>
      <c r="G57" s="243">
        <f t="shared" ca="1" si="1"/>
        <v>-2.005965688080568E-2</v>
      </c>
    </row>
    <row r="58" spans="2:7" ht="15" thickBot="1" x14ac:dyDescent="0.35">
      <c r="B58" s="170">
        <v>43977.645833333336</v>
      </c>
      <c r="C58" s="238">
        <v>2283.25</v>
      </c>
      <c r="D58" s="241">
        <f t="shared" si="0"/>
        <v>8.5477578573612319E-4</v>
      </c>
      <c r="E58" s="241">
        <v>3.7746568493773378E-2</v>
      </c>
      <c r="F58" s="242">
        <v>54</v>
      </c>
      <c r="G58" s="243">
        <f t="shared" ca="1" si="1"/>
        <v>-2.023980942863815E-2</v>
      </c>
    </row>
    <row r="59" spans="2:7" ht="15" thickBot="1" x14ac:dyDescent="0.35">
      <c r="B59" s="170">
        <v>43955.645833333336</v>
      </c>
      <c r="C59" s="238">
        <v>2281.3000000000002</v>
      </c>
      <c r="D59" s="241">
        <f t="shared" si="0"/>
        <v>-0.53081392359504342</v>
      </c>
      <c r="E59" s="241">
        <v>3.7449691898406225E-2</v>
      </c>
      <c r="F59" s="242">
        <v>55</v>
      </c>
      <c r="G59" s="243">
        <f t="shared" ca="1" si="1"/>
        <v>-1.2591598530873235E-2</v>
      </c>
    </row>
    <row r="60" spans="2:7" ht="15" thickBot="1" x14ac:dyDescent="0.35">
      <c r="B60" s="170">
        <v>45448.645833333336</v>
      </c>
      <c r="C60" s="238">
        <v>4862.25</v>
      </c>
      <c r="D60" s="241">
        <f t="shared" si="0"/>
        <v>-6.5890285013790991E-3</v>
      </c>
      <c r="E60" s="241">
        <v>3.7379588440490247E-2</v>
      </c>
      <c r="F60" s="242">
        <v>56</v>
      </c>
      <c r="G60" s="243">
        <f t="shared" ca="1" si="1"/>
        <v>-1.1927962972055622E-2</v>
      </c>
    </row>
    <row r="61" spans="2:7" ht="15" thickBot="1" x14ac:dyDescent="0.35">
      <c r="B61" s="170">
        <v>44525.645833333336</v>
      </c>
      <c r="C61" s="238">
        <v>4894.5</v>
      </c>
      <c r="D61" s="241">
        <f t="shared" si="0"/>
        <v>0.970688301491756</v>
      </c>
      <c r="E61" s="241">
        <v>3.724503311258278E-2</v>
      </c>
      <c r="F61" s="242">
        <v>57</v>
      </c>
      <c r="G61" s="243">
        <f t="shared" ca="1" si="1"/>
        <v>-3.9738083355773902E-3</v>
      </c>
    </row>
    <row r="62" spans="2:7" ht="15" thickBot="1" x14ac:dyDescent="0.35">
      <c r="B62" s="170">
        <v>43871.645833333336</v>
      </c>
      <c r="C62" s="238">
        <v>2483.65</v>
      </c>
      <c r="D62" s="241">
        <f t="shared" si="0"/>
        <v>-0.423231889274642</v>
      </c>
      <c r="E62" s="241">
        <v>3.7231154729588677E-2</v>
      </c>
      <c r="F62" s="242">
        <v>58</v>
      </c>
      <c r="G62" s="243">
        <f t="shared" ca="1" si="1"/>
        <v>4.6024593604857389E-2</v>
      </c>
    </row>
    <row r="63" spans="2:7" ht="15" thickBot="1" x14ac:dyDescent="0.35">
      <c r="B63" s="170">
        <v>44848.645833333336</v>
      </c>
      <c r="C63" s="238">
        <v>4306.1499999999996</v>
      </c>
      <c r="D63" s="241">
        <f t="shared" si="0"/>
        <v>0.92759461939613685</v>
      </c>
      <c r="E63" s="241">
        <v>3.6764617366285814E-2</v>
      </c>
      <c r="F63" s="242">
        <v>59</v>
      </c>
      <c r="G63" s="243">
        <f t="shared" ca="1" si="1"/>
        <v>-4.6195397844428922E-2</v>
      </c>
    </row>
    <row r="64" spans="2:7" ht="15" thickBot="1" x14ac:dyDescent="0.35">
      <c r="B64" s="170">
        <v>44025.645833333336</v>
      </c>
      <c r="C64" s="238">
        <v>2233.9499999999998</v>
      </c>
      <c r="D64" s="241">
        <f t="shared" si="0"/>
        <v>-5.861654832388713E-2</v>
      </c>
      <c r="E64" s="241">
        <v>3.6707891500568447E-2</v>
      </c>
      <c r="F64" s="242">
        <v>60</v>
      </c>
      <c r="G64" s="243">
        <f t="shared" ca="1" si="1"/>
        <v>-9.5715214781048642E-3</v>
      </c>
    </row>
    <row r="65" spans="2:7" ht="15" thickBot="1" x14ac:dyDescent="0.35">
      <c r="B65" s="170">
        <v>44161.645833333336</v>
      </c>
      <c r="C65" s="238">
        <v>2373.0500000000002</v>
      </c>
      <c r="D65" s="241">
        <f t="shared" si="0"/>
        <v>-0.2349072267986394</v>
      </c>
      <c r="E65" s="241">
        <v>3.6628516512318875E-2</v>
      </c>
      <c r="F65" s="242">
        <v>61</v>
      </c>
      <c r="G65" s="243">
        <f t="shared" ca="1" si="1"/>
        <v>-4.3437638804456884E-2</v>
      </c>
    </row>
    <row r="66" spans="2:7" ht="15" thickBot="1" x14ac:dyDescent="0.35">
      <c r="B66" s="170">
        <v>44246.645833333336</v>
      </c>
      <c r="C66" s="238">
        <v>3101.65</v>
      </c>
      <c r="D66" s="241">
        <f t="shared" si="0"/>
        <v>1.2567302095459836</v>
      </c>
      <c r="E66" s="241">
        <v>3.6439885049789546E-2</v>
      </c>
      <c r="F66" s="242">
        <v>62</v>
      </c>
      <c r="G66" s="243">
        <f t="shared" ca="1" si="1"/>
        <v>3.6049685392770515E-2</v>
      </c>
    </row>
    <row r="67" spans="2:7" ht="15" thickBot="1" x14ac:dyDescent="0.35">
      <c r="B67" s="170">
        <v>43383.645833333336</v>
      </c>
      <c r="C67" s="238">
        <v>1374.4</v>
      </c>
      <c r="D67" s="241">
        <f t="shared" si="0"/>
        <v>1.9017608897127038E-2</v>
      </c>
      <c r="E67" s="241">
        <v>3.6422592564663438E-2</v>
      </c>
      <c r="F67" s="242">
        <v>63</v>
      </c>
      <c r="G67" s="243">
        <f t="shared" ca="1" si="1"/>
        <v>1.9516076941633077E-2</v>
      </c>
    </row>
    <row r="68" spans="2:7" ht="15" thickBot="1" x14ac:dyDescent="0.35">
      <c r="B68" s="170">
        <v>43374.645833333336</v>
      </c>
      <c r="C68" s="238">
        <v>1348.75</v>
      </c>
      <c r="D68" s="241">
        <f t="shared" si="0"/>
        <v>2.3253167437978981E-2</v>
      </c>
      <c r="E68" s="241">
        <v>3.6383894267711624E-2</v>
      </c>
      <c r="F68" s="242">
        <v>64</v>
      </c>
      <c r="G68" s="243">
        <f t="shared" ca="1" si="1"/>
        <v>-2.1114305157066337E-3</v>
      </c>
    </row>
    <row r="69" spans="2:7" ht="15" thickBot="1" x14ac:dyDescent="0.35">
      <c r="B69" s="170">
        <v>43605.645833333336</v>
      </c>
      <c r="C69" s="238">
        <v>1318.1</v>
      </c>
      <c r="D69" s="241">
        <f t="shared" ref="D69:D132" si="5">(C69-C70)/C70</f>
        <v>-0.64873615904275872</v>
      </c>
      <c r="E69" s="241">
        <v>3.6160679191887431E-2</v>
      </c>
      <c r="F69" s="242">
        <v>65</v>
      </c>
      <c r="G69" s="243">
        <f t="shared" ca="1" si="1"/>
        <v>3.2412312119685142E-2</v>
      </c>
    </row>
    <row r="70" spans="2:7" ht="15" thickBot="1" x14ac:dyDescent="0.35">
      <c r="B70" s="170">
        <v>45615.645833333336</v>
      </c>
      <c r="C70" s="238">
        <v>3752.45</v>
      </c>
      <c r="D70" s="241">
        <f t="shared" si="5"/>
        <v>2.0402673688474779</v>
      </c>
      <c r="E70" s="241">
        <v>3.5758646388252428E-2</v>
      </c>
      <c r="F70" s="242">
        <v>66</v>
      </c>
      <c r="G70" s="243">
        <f t="shared" ref="G70:G133" ca="1" si="6">_xlfn.NORM.INV(RAND(),$M$7,$M$8)</f>
        <v>-2.8172707034684101E-2</v>
      </c>
    </row>
    <row r="71" spans="2:7" ht="15" thickBot="1" x14ac:dyDescent="0.35">
      <c r="B71" s="170">
        <v>43392.645833333336</v>
      </c>
      <c r="C71" s="238">
        <v>1234.25</v>
      </c>
      <c r="D71" s="241">
        <f t="shared" si="5"/>
        <v>-0.44883559961595998</v>
      </c>
      <c r="E71" s="241">
        <v>3.5618392347709388E-2</v>
      </c>
      <c r="F71" s="242">
        <v>67</v>
      </c>
      <c r="G71" s="243">
        <f t="shared" ca="1" si="6"/>
        <v>2.1215516573459599E-2</v>
      </c>
    </row>
    <row r="72" spans="2:7" ht="15" thickBot="1" x14ac:dyDescent="0.35">
      <c r="B72" s="170">
        <v>44085.645833333336</v>
      </c>
      <c r="C72" s="238">
        <v>2239.35</v>
      </c>
      <c r="D72" s="241">
        <f t="shared" si="5"/>
        <v>0.82231354518452215</v>
      </c>
      <c r="E72" s="241">
        <v>3.5441808850048592E-2</v>
      </c>
      <c r="F72" s="242">
        <v>68</v>
      </c>
      <c r="G72" s="243">
        <f t="shared" ca="1" si="6"/>
        <v>-1.0847418440874598E-2</v>
      </c>
    </row>
    <row r="73" spans="2:7" ht="15" thickBot="1" x14ac:dyDescent="0.35">
      <c r="B73" s="170">
        <v>43115.645833333336</v>
      </c>
      <c r="C73" s="238">
        <v>1228.8499999999999</v>
      </c>
      <c r="D73" s="241">
        <f t="shared" si="5"/>
        <v>-0.43754577077993417</v>
      </c>
      <c r="E73" s="241">
        <v>3.5256950294860916E-2</v>
      </c>
      <c r="F73" s="242">
        <v>69</v>
      </c>
      <c r="G73" s="243">
        <f t="shared" ca="1" si="6"/>
        <v>-9.4652349643087035E-3</v>
      </c>
    </row>
    <row r="74" spans="2:7" ht="15" thickBot="1" x14ac:dyDescent="0.35">
      <c r="B74" s="170">
        <v>44105.645833333336</v>
      </c>
      <c r="C74" s="238">
        <v>2184.8000000000002</v>
      </c>
      <c r="D74" s="241">
        <f t="shared" si="5"/>
        <v>0.45473915504211493</v>
      </c>
      <c r="E74" s="241">
        <v>3.5229453434101908E-2</v>
      </c>
      <c r="F74" s="242">
        <v>70</v>
      </c>
      <c r="G74" s="243">
        <f t="shared" ca="1" si="6"/>
        <v>4.8541067016448586E-2</v>
      </c>
    </row>
    <row r="75" spans="2:7" ht="15" thickBot="1" x14ac:dyDescent="0.35">
      <c r="B75" s="170">
        <v>43364.645833333336</v>
      </c>
      <c r="C75" s="238">
        <v>1501.85</v>
      </c>
      <c r="D75" s="241">
        <f t="shared" si="5"/>
        <v>7.5862315985529463E-2</v>
      </c>
      <c r="E75" s="241">
        <v>3.5223160434258077E-2</v>
      </c>
      <c r="F75" s="242">
        <v>71</v>
      </c>
      <c r="G75" s="243">
        <f t="shared" ca="1" si="6"/>
        <v>1.0116042968282427E-2</v>
      </c>
    </row>
    <row r="76" spans="2:7" ht="15" thickBot="1" x14ac:dyDescent="0.35">
      <c r="B76" s="170">
        <v>43371.645833333336</v>
      </c>
      <c r="C76" s="238">
        <v>1395.95</v>
      </c>
      <c r="D76" s="241">
        <f t="shared" si="5"/>
        <v>-0.65624615233076411</v>
      </c>
      <c r="E76" s="241">
        <v>3.4995366079703466E-2</v>
      </c>
      <c r="F76" s="242">
        <v>72</v>
      </c>
      <c r="G76" s="243">
        <f t="shared" ca="1" si="6"/>
        <v>3.5563025298066257E-2</v>
      </c>
    </row>
    <row r="77" spans="2:7" ht="15" thickBot="1" x14ac:dyDescent="0.35">
      <c r="B77" s="170">
        <v>44929.645833333336</v>
      </c>
      <c r="C77" s="238">
        <v>4060.9</v>
      </c>
      <c r="D77" s="241">
        <f t="shared" si="5"/>
        <v>-3.3096026095859321E-2</v>
      </c>
      <c r="E77" s="241">
        <v>3.4835125630701867E-2</v>
      </c>
      <c r="F77" s="242">
        <v>73</v>
      </c>
      <c r="G77" s="243">
        <f t="shared" ca="1" si="6"/>
        <v>5.3974120482053155E-2</v>
      </c>
    </row>
    <row r="78" spans="2:7" ht="15" thickBot="1" x14ac:dyDescent="0.35">
      <c r="B78" s="170">
        <v>45777.645833333336</v>
      </c>
      <c r="C78" s="239">
        <v>4199.8999999999996</v>
      </c>
      <c r="D78" s="241">
        <f t="shared" si="5"/>
        <v>0.10123761078189718</v>
      </c>
      <c r="E78" s="241">
        <v>3.4662002364997987E-2</v>
      </c>
      <c r="F78" s="242">
        <v>74</v>
      </c>
      <c r="G78" s="243">
        <f t="shared" ca="1" si="6"/>
        <v>-5.6206070247067655E-2</v>
      </c>
    </row>
    <row r="79" spans="2:7" ht="15" thickBot="1" x14ac:dyDescent="0.35">
      <c r="B79" s="170">
        <v>45666.645833333336</v>
      </c>
      <c r="C79" s="238">
        <v>3813.8</v>
      </c>
      <c r="D79" s="241">
        <f t="shared" si="5"/>
        <v>2.2477220471770418</v>
      </c>
      <c r="E79" s="241">
        <v>3.460155985079693E-2</v>
      </c>
      <c r="F79" s="242">
        <v>75</v>
      </c>
      <c r="G79" s="243">
        <f t="shared" ca="1" si="6"/>
        <v>1.4581729951514301E-2</v>
      </c>
    </row>
    <row r="80" spans="2:7" ht="15" thickBot="1" x14ac:dyDescent="0.35">
      <c r="B80" s="170">
        <v>43132.645833333336</v>
      </c>
      <c r="C80" s="238">
        <v>1174.3</v>
      </c>
      <c r="D80" s="241">
        <f t="shared" si="5"/>
        <v>-0.75301553248993069</v>
      </c>
      <c r="E80" s="241">
        <v>3.4534402255307947E-2</v>
      </c>
      <c r="F80" s="242">
        <v>76</v>
      </c>
      <c r="G80" s="243">
        <f t="shared" ca="1" si="6"/>
        <v>5.3080671716950696E-2</v>
      </c>
    </row>
    <row r="81" spans="2:7" ht="15" thickBot="1" x14ac:dyDescent="0.35">
      <c r="B81" s="170">
        <v>44488.645833333336</v>
      </c>
      <c r="C81" s="238">
        <v>4754.55</v>
      </c>
      <c r="D81" s="241">
        <f t="shared" si="5"/>
        <v>1.2636941462137266</v>
      </c>
      <c r="E81" s="241">
        <v>3.4407362283526359E-2</v>
      </c>
      <c r="F81" s="242">
        <v>77</v>
      </c>
      <c r="G81" s="243">
        <f t="shared" ca="1" si="6"/>
        <v>3.4241123006907723E-2</v>
      </c>
    </row>
    <row r="82" spans="2:7" ht="15" thickBot="1" x14ac:dyDescent="0.35">
      <c r="B82" s="170">
        <v>44035.645833333336</v>
      </c>
      <c r="C82" s="238">
        <v>2100.35</v>
      </c>
      <c r="D82" s="241">
        <f t="shared" si="5"/>
        <v>0.37972147408526569</v>
      </c>
      <c r="E82" s="241">
        <v>3.3942108890420306E-2</v>
      </c>
      <c r="F82" s="242">
        <v>78</v>
      </c>
      <c r="G82" s="243">
        <f t="shared" ca="1" si="6"/>
        <v>3.7767946570597538E-2</v>
      </c>
    </row>
    <row r="83" spans="2:7" ht="15" thickBot="1" x14ac:dyDescent="0.35">
      <c r="B83" s="170">
        <v>43565.645833333336</v>
      </c>
      <c r="C83" s="238">
        <v>1522.3</v>
      </c>
      <c r="D83" s="241">
        <f t="shared" si="5"/>
        <v>-0.60343861934223375</v>
      </c>
      <c r="E83" s="241">
        <v>3.3749830232242324E-2</v>
      </c>
      <c r="F83" s="242">
        <v>79</v>
      </c>
      <c r="G83" s="243">
        <f t="shared" ca="1" si="6"/>
        <v>2.5890282796044398E-2</v>
      </c>
    </row>
    <row r="84" spans="2:7" ht="15" thickBot="1" x14ac:dyDescent="0.35">
      <c r="B84" s="170">
        <v>45121.645833333336</v>
      </c>
      <c r="C84" s="238">
        <v>3838.75</v>
      </c>
      <c r="D84" s="241">
        <f t="shared" si="5"/>
        <v>-8.7489303033184404E-2</v>
      </c>
      <c r="E84" s="241">
        <v>3.3714370346433951E-2</v>
      </c>
      <c r="F84" s="242">
        <v>80</v>
      </c>
      <c r="G84" s="243">
        <f t="shared" ca="1" si="6"/>
        <v>8.9922216094995722E-3</v>
      </c>
    </row>
    <row r="85" spans="2:7" ht="15" thickBot="1" x14ac:dyDescent="0.35">
      <c r="B85" s="170">
        <v>45796.645833333336</v>
      </c>
      <c r="C85" s="239">
        <v>4206.8</v>
      </c>
      <c r="D85" s="241">
        <f t="shared" si="5"/>
        <v>-5.3577655541682055E-2</v>
      </c>
      <c r="E85" s="241">
        <v>3.3230995947439564E-2</v>
      </c>
      <c r="F85" s="242">
        <v>81</v>
      </c>
      <c r="G85" s="243">
        <f t="shared" ca="1" si="6"/>
        <v>-4.4618209600150255E-2</v>
      </c>
    </row>
    <row r="86" spans="2:7" ht="15" thickBot="1" x14ac:dyDescent="0.35">
      <c r="B86" s="170">
        <v>45442.645833333336</v>
      </c>
      <c r="C86" s="238">
        <v>4444.95</v>
      </c>
      <c r="D86" s="241">
        <f t="shared" si="5"/>
        <v>-5.1136727505603628E-2</v>
      </c>
      <c r="E86" s="241">
        <v>3.3192705972595146E-2</v>
      </c>
      <c r="F86" s="242">
        <v>82</v>
      </c>
      <c r="G86" s="243">
        <f t="shared" ca="1" si="6"/>
        <v>7.5425791670868493E-3</v>
      </c>
    </row>
    <row r="87" spans="2:7" ht="15" thickBot="1" x14ac:dyDescent="0.35">
      <c r="B87" s="170">
        <v>45436.645833333336</v>
      </c>
      <c r="C87" s="238">
        <v>4684.5</v>
      </c>
      <c r="D87" s="241">
        <f t="shared" si="5"/>
        <v>-7.3815949464693567E-2</v>
      </c>
      <c r="E87" s="241">
        <v>3.2430824159476263E-2</v>
      </c>
      <c r="F87" s="242">
        <v>83</v>
      </c>
      <c r="G87" s="243">
        <f t="shared" ca="1" si="6"/>
        <v>1.9636636247773166E-2</v>
      </c>
    </row>
    <row r="88" spans="2:7" ht="15" thickBot="1" x14ac:dyDescent="0.35">
      <c r="B88" s="170">
        <v>45526.645833333336</v>
      </c>
      <c r="C88" s="238">
        <v>5057.8500000000004</v>
      </c>
      <c r="D88" s="241">
        <f t="shared" si="5"/>
        <v>0.63726854849151904</v>
      </c>
      <c r="E88" s="241">
        <v>3.1898398449454322E-2</v>
      </c>
      <c r="F88" s="242">
        <v>84</v>
      </c>
      <c r="G88" s="243">
        <f t="shared" ca="1" si="6"/>
        <v>2.0212576094453205E-2</v>
      </c>
    </row>
    <row r="89" spans="2:7" ht="15" thickBot="1" x14ac:dyDescent="0.35">
      <c r="B89" s="170">
        <v>44252.645833333336</v>
      </c>
      <c r="C89" s="238">
        <v>3089.2</v>
      </c>
      <c r="D89" s="241">
        <f t="shared" si="5"/>
        <v>-0.20086918281294464</v>
      </c>
      <c r="E89" s="241">
        <v>3.1728007481130187E-2</v>
      </c>
      <c r="F89" s="242">
        <v>85</v>
      </c>
      <c r="G89" s="243">
        <f t="shared" ca="1" si="6"/>
        <v>2.3600143790816186E-3</v>
      </c>
    </row>
    <row r="90" spans="2:7" ht="15" thickBot="1" x14ac:dyDescent="0.35">
      <c r="B90" s="170">
        <v>45693.645833333336</v>
      </c>
      <c r="C90" s="238">
        <v>3865.7</v>
      </c>
      <c r="D90" s="241">
        <f t="shared" si="5"/>
        <v>-0.11782291191236882</v>
      </c>
      <c r="E90" s="241">
        <v>3.1279595566167349E-2</v>
      </c>
      <c r="F90" s="242">
        <v>86</v>
      </c>
      <c r="G90" s="243">
        <f t="shared" ca="1" si="6"/>
        <v>1.400513967979904E-2</v>
      </c>
    </row>
    <row r="91" spans="2:7" ht="15" thickBot="1" x14ac:dyDescent="0.35">
      <c r="B91" s="170">
        <v>44792.645833333336</v>
      </c>
      <c r="C91" s="238">
        <v>4382</v>
      </c>
      <c r="D91" s="241">
        <f t="shared" si="5"/>
        <v>0.24478027440843103</v>
      </c>
      <c r="E91" s="241">
        <v>3.0876904075751339E-2</v>
      </c>
      <c r="F91" s="242">
        <v>87</v>
      </c>
      <c r="G91" s="243">
        <f t="shared" ca="1" si="6"/>
        <v>4.7156372090662028E-2</v>
      </c>
    </row>
    <row r="92" spans="2:7" ht="15" thickBot="1" x14ac:dyDescent="0.35">
      <c r="B92" s="170">
        <v>44690.645833333336</v>
      </c>
      <c r="C92" s="238">
        <v>3520.3</v>
      </c>
      <c r="D92" s="241">
        <f t="shared" si="5"/>
        <v>1.665985080843652</v>
      </c>
      <c r="E92" s="241">
        <v>3.0849646407707394E-2</v>
      </c>
      <c r="F92" s="242">
        <v>88</v>
      </c>
      <c r="G92" s="243">
        <f t="shared" ca="1" si="6"/>
        <v>1.3168688693603538E-3</v>
      </c>
    </row>
    <row r="93" spans="2:7" ht="15" thickBot="1" x14ac:dyDescent="0.35">
      <c r="B93" s="170">
        <v>43181.645833333336</v>
      </c>
      <c r="C93" s="238">
        <v>1320.45</v>
      </c>
      <c r="D93" s="241">
        <f t="shared" si="5"/>
        <v>-0.46380931110795282</v>
      </c>
      <c r="E93" s="241">
        <v>3.071579111700893E-2</v>
      </c>
      <c r="F93" s="242">
        <v>89</v>
      </c>
      <c r="G93" s="243">
        <f t="shared" ca="1" si="6"/>
        <v>2.6493716186495871E-2</v>
      </c>
    </row>
    <row r="94" spans="2:7" ht="15" thickBot="1" x14ac:dyDescent="0.35">
      <c r="B94" s="170">
        <v>43881.645833333336</v>
      </c>
      <c r="C94" s="238">
        <v>2462.65</v>
      </c>
      <c r="D94" s="241">
        <f t="shared" si="5"/>
        <v>-0.29783017791970795</v>
      </c>
      <c r="E94" s="241">
        <v>3.0526844373770883E-2</v>
      </c>
      <c r="F94" s="242">
        <v>90</v>
      </c>
      <c r="G94" s="243">
        <f t="shared" ca="1" si="6"/>
        <v>4.9667851237040865E-3</v>
      </c>
    </row>
    <row r="95" spans="2:7" ht="15" thickBot="1" x14ac:dyDescent="0.35">
      <c r="B95" s="170">
        <v>45715.645833333336</v>
      </c>
      <c r="C95" s="238">
        <v>3507.2</v>
      </c>
      <c r="D95" s="241">
        <f t="shared" si="5"/>
        <v>0.51211520220746731</v>
      </c>
      <c r="E95" s="241">
        <v>3.0332407937836925E-2</v>
      </c>
      <c r="F95" s="242">
        <v>91</v>
      </c>
      <c r="G95" s="243">
        <f t="shared" ca="1" si="6"/>
        <v>-3.2591246437523131E-3</v>
      </c>
    </row>
    <row r="96" spans="2:7" ht="15" thickBot="1" x14ac:dyDescent="0.35">
      <c r="B96" s="170">
        <v>44071.645833333336</v>
      </c>
      <c r="C96" s="238">
        <v>2319.4</v>
      </c>
      <c r="D96" s="241">
        <f t="shared" si="5"/>
        <v>0.59600894546705663</v>
      </c>
      <c r="E96" s="241">
        <v>3.0272071071626914E-2</v>
      </c>
      <c r="F96" s="242">
        <v>92</v>
      </c>
      <c r="G96" s="243">
        <f t="shared" ca="1" si="6"/>
        <v>-9.3246442062056289E-3</v>
      </c>
    </row>
    <row r="97" spans="2:7" ht="15" thickBot="1" x14ac:dyDescent="0.35">
      <c r="B97" s="170">
        <v>43570.645833333336</v>
      </c>
      <c r="C97" s="238">
        <v>1453.25</v>
      </c>
      <c r="D97" s="241">
        <f t="shared" si="5"/>
        <v>-0.69708497045366902</v>
      </c>
      <c r="E97" s="241">
        <v>3.019884450430646E-2</v>
      </c>
      <c r="F97" s="242">
        <v>93</v>
      </c>
      <c r="G97" s="243">
        <f t="shared" ca="1" si="6"/>
        <v>1.7681906923168515E-2</v>
      </c>
    </row>
    <row r="98" spans="2:7" ht="15" thickBot="1" x14ac:dyDescent="0.35">
      <c r="B98" s="170">
        <v>45406.645833333336</v>
      </c>
      <c r="C98" s="238">
        <v>4797.55</v>
      </c>
      <c r="D98" s="241">
        <f t="shared" si="5"/>
        <v>2.6213390700483092</v>
      </c>
      <c r="E98" s="241">
        <v>3.015825299005815E-2</v>
      </c>
      <c r="F98" s="242">
        <v>94</v>
      </c>
      <c r="G98" s="243">
        <f t="shared" ca="1" si="6"/>
        <v>-3.2582455774074794E-2</v>
      </c>
    </row>
    <row r="99" spans="2:7" ht="15" thickBot="1" x14ac:dyDescent="0.35">
      <c r="B99" s="170">
        <v>43577.645833333336</v>
      </c>
      <c r="C99" s="238">
        <v>1324.8</v>
      </c>
      <c r="D99" s="241">
        <f t="shared" si="5"/>
        <v>-0.72951120911429623</v>
      </c>
      <c r="E99" s="241">
        <v>3.0131021344426735E-2</v>
      </c>
      <c r="F99" s="242">
        <v>95</v>
      </c>
      <c r="G99" s="243">
        <f t="shared" ca="1" si="6"/>
        <v>-2.6177510329580295E-2</v>
      </c>
    </row>
    <row r="100" spans="2:7" ht="15" thickBot="1" x14ac:dyDescent="0.35">
      <c r="B100" s="170">
        <v>44487.645833333336</v>
      </c>
      <c r="C100" s="238">
        <v>4897.8</v>
      </c>
      <c r="D100" s="241">
        <f t="shared" si="5"/>
        <v>2.1988766246489457</v>
      </c>
      <c r="E100" s="241">
        <v>3.0129034293466257E-2</v>
      </c>
      <c r="F100" s="242">
        <v>96</v>
      </c>
      <c r="G100" s="243">
        <f t="shared" ca="1" si="6"/>
        <v>1.1137537304592013E-3</v>
      </c>
    </row>
    <row r="101" spans="2:7" ht="15" thickBot="1" x14ac:dyDescent="0.35">
      <c r="B101" s="170">
        <v>43252.645833333336</v>
      </c>
      <c r="C101" s="238">
        <v>1531.1</v>
      </c>
      <c r="D101" s="241">
        <f t="shared" si="5"/>
        <v>-7.4836097767304224E-2</v>
      </c>
      <c r="E101" s="241">
        <v>3.0072658772873934E-2</v>
      </c>
      <c r="F101" s="242">
        <v>97</v>
      </c>
      <c r="G101" s="243">
        <f t="shared" ca="1" si="6"/>
        <v>-1.9629285386049432E-2</v>
      </c>
    </row>
    <row r="102" spans="2:7" ht="15" thickBot="1" x14ac:dyDescent="0.35">
      <c r="B102" s="170">
        <v>43462.645833333336</v>
      </c>
      <c r="C102" s="238">
        <v>1654.95</v>
      </c>
      <c r="D102" s="241">
        <f t="shared" si="5"/>
        <v>-0.5845331191082882</v>
      </c>
      <c r="E102" s="241">
        <v>3.0062552516104908E-2</v>
      </c>
      <c r="F102" s="242">
        <v>98</v>
      </c>
      <c r="G102" s="243">
        <f t="shared" ca="1" si="6"/>
        <v>5.2829997108224823E-4</v>
      </c>
    </row>
    <row r="103" spans="2:7" ht="15" thickBot="1" x14ac:dyDescent="0.35">
      <c r="B103" s="170">
        <v>44683.645833333336</v>
      </c>
      <c r="C103" s="238">
        <v>3983.35</v>
      </c>
      <c r="D103" s="241">
        <f t="shared" si="5"/>
        <v>0.61252909624531926</v>
      </c>
      <c r="E103" s="241">
        <v>3.0047968141913246E-2</v>
      </c>
      <c r="F103" s="242">
        <v>99</v>
      </c>
      <c r="G103" s="243">
        <f t="shared" ca="1" si="6"/>
        <v>-3.378172836102531E-3</v>
      </c>
    </row>
    <row r="104" spans="2:7" ht="15" thickBot="1" x14ac:dyDescent="0.35">
      <c r="B104" s="170">
        <v>43972.645833333336</v>
      </c>
      <c r="C104" s="238">
        <v>2470.25</v>
      </c>
      <c r="D104" s="241">
        <f t="shared" si="5"/>
        <v>0.33994195980580949</v>
      </c>
      <c r="E104" s="241">
        <v>3.0000416962014682E-2</v>
      </c>
      <c r="F104" s="242">
        <v>100</v>
      </c>
      <c r="G104" s="243">
        <f t="shared" ca="1" si="6"/>
        <v>-1.2247240581416224E-2</v>
      </c>
    </row>
    <row r="105" spans="2:7" ht="15" thickBot="1" x14ac:dyDescent="0.35">
      <c r="B105" s="170">
        <v>43833.645833333336</v>
      </c>
      <c r="C105" s="238">
        <v>1843.55</v>
      </c>
      <c r="D105" s="241">
        <f t="shared" si="5"/>
        <v>-0.43898542345029062</v>
      </c>
      <c r="E105" s="241">
        <v>2.9973741549807174E-2</v>
      </c>
      <c r="F105" s="242">
        <v>101</v>
      </c>
      <c r="G105" s="243">
        <f t="shared" ca="1" si="6"/>
        <v>-1.8645561281726533E-3</v>
      </c>
    </row>
    <row r="106" spans="2:7" ht="15" thickBot="1" x14ac:dyDescent="0.35">
      <c r="B106" s="170">
        <v>44260.645833333336</v>
      </c>
      <c r="C106" s="238">
        <v>3286.1</v>
      </c>
      <c r="D106" s="241">
        <f t="shared" si="5"/>
        <v>-0.20050119215609943</v>
      </c>
      <c r="E106" s="241">
        <v>2.9754163859423661E-2</v>
      </c>
      <c r="F106" s="242">
        <v>102</v>
      </c>
      <c r="G106" s="243">
        <f t="shared" ca="1" si="6"/>
        <v>3.3343506654843424E-3</v>
      </c>
    </row>
    <row r="107" spans="2:7" ht="15" thickBot="1" x14ac:dyDescent="0.35">
      <c r="B107" s="170">
        <v>44624.645833333336</v>
      </c>
      <c r="C107" s="238">
        <v>4110.2</v>
      </c>
      <c r="D107" s="241">
        <f t="shared" si="5"/>
        <v>0.91792072046849094</v>
      </c>
      <c r="E107" s="241">
        <v>2.9699497701451711E-2</v>
      </c>
      <c r="F107" s="242">
        <v>103</v>
      </c>
      <c r="G107" s="243">
        <f t="shared" ca="1" si="6"/>
        <v>-1.9965310471706396E-2</v>
      </c>
    </row>
    <row r="108" spans="2:7" ht="15" thickBot="1" x14ac:dyDescent="0.35">
      <c r="B108" s="170">
        <v>44124.645833333336</v>
      </c>
      <c r="C108" s="238">
        <v>2143.0500000000002</v>
      </c>
      <c r="D108" s="241">
        <f t="shared" si="5"/>
        <v>-0.52973382194816876</v>
      </c>
      <c r="E108" s="241">
        <v>2.9644221298676471E-2</v>
      </c>
      <c r="F108" s="242">
        <v>104</v>
      </c>
      <c r="G108" s="243">
        <f t="shared" ca="1" si="6"/>
        <v>-3.2959381819612027E-2</v>
      </c>
    </row>
    <row r="109" spans="2:7" ht="15" thickBot="1" x14ac:dyDescent="0.35">
      <c r="B109" s="170">
        <v>44810.645833333336</v>
      </c>
      <c r="C109" s="238">
        <v>4557.1000000000004</v>
      </c>
      <c r="D109" s="241">
        <f t="shared" si="5"/>
        <v>0.52197581991850928</v>
      </c>
      <c r="E109" s="241">
        <v>2.9550640489799648E-2</v>
      </c>
      <c r="F109" s="242">
        <v>105</v>
      </c>
      <c r="G109" s="243">
        <f t="shared" ca="1" si="6"/>
        <v>9.641449226860788E-4</v>
      </c>
    </row>
    <row r="110" spans="2:7" ht="15" thickBot="1" x14ac:dyDescent="0.35">
      <c r="B110" s="170">
        <v>44253.645833333336</v>
      </c>
      <c r="C110" s="238">
        <v>2994.2</v>
      </c>
      <c r="D110" s="241">
        <f t="shared" si="5"/>
        <v>0.24325783212572921</v>
      </c>
      <c r="E110" s="241">
        <v>2.9483057986212591E-2</v>
      </c>
      <c r="F110" s="242">
        <v>106</v>
      </c>
      <c r="G110" s="243">
        <f t="shared" ca="1" si="6"/>
        <v>-1.1160560257486744E-2</v>
      </c>
    </row>
    <row r="111" spans="2:7" ht="15" thickBot="1" x14ac:dyDescent="0.35">
      <c r="B111" s="170">
        <v>43875.645833333336</v>
      </c>
      <c r="C111" s="238">
        <v>2408.35</v>
      </c>
      <c r="D111" s="241">
        <f t="shared" si="5"/>
        <v>-0.36902984097042107</v>
      </c>
      <c r="E111" s="241">
        <v>2.9451366774241851E-2</v>
      </c>
      <c r="F111" s="242">
        <v>107</v>
      </c>
      <c r="G111" s="243">
        <f t="shared" ca="1" si="6"/>
        <v>4.4221509147742615E-4</v>
      </c>
    </row>
    <row r="112" spans="2:7" ht="15" thickBot="1" x14ac:dyDescent="0.35">
      <c r="B112" s="170">
        <v>45636.645833333336</v>
      </c>
      <c r="C112" s="238">
        <v>3816.9</v>
      </c>
      <c r="D112" s="241">
        <f t="shared" si="5"/>
        <v>-8.1990475732358473E-2</v>
      </c>
      <c r="E112" s="241">
        <v>2.9285656500283124E-2</v>
      </c>
      <c r="F112" s="242">
        <v>108</v>
      </c>
      <c r="G112" s="243">
        <f t="shared" ca="1" si="6"/>
        <v>-7.6567867395812847E-3</v>
      </c>
    </row>
    <row r="113" spans="2:7" ht="15" thickBot="1" x14ac:dyDescent="0.35">
      <c r="B113" s="170">
        <v>45750.645833333336</v>
      </c>
      <c r="C113" s="239">
        <v>4157.8</v>
      </c>
      <c r="D113" s="241">
        <f t="shared" si="5"/>
        <v>0.69050620044724542</v>
      </c>
      <c r="E113" s="241">
        <v>2.9183890690363645E-2</v>
      </c>
      <c r="F113" s="242">
        <v>109</v>
      </c>
      <c r="G113" s="243">
        <f t="shared" ca="1" si="6"/>
        <v>-3.7041014830088051E-2</v>
      </c>
    </row>
    <row r="114" spans="2:7" ht="15" thickBot="1" x14ac:dyDescent="0.35">
      <c r="B114" s="170">
        <v>43990.645833333336</v>
      </c>
      <c r="C114" s="238">
        <v>2459.5</v>
      </c>
      <c r="D114" s="241">
        <f t="shared" si="5"/>
        <v>-0.36703811411071363</v>
      </c>
      <c r="E114" s="241">
        <v>2.9036441989874939E-2</v>
      </c>
      <c r="F114" s="242">
        <v>110</v>
      </c>
      <c r="G114" s="243">
        <f t="shared" ca="1" si="6"/>
        <v>-3.3903241896002648E-2</v>
      </c>
    </row>
    <row r="115" spans="2:7" ht="15" thickBot="1" x14ac:dyDescent="0.35">
      <c r="B115" s="170">
        <v>45607.645833333336</v>
      </c>
      <c r="C115" s="238">
        <v>3885.7</v>
      </c>
      <c r="D115" s="241">
        <f t="shared" si="5"/>
        <v>-0.23754488550517047</v>
      </c>
      <c r="E115" s="241">
        <v>2.8779454593592751E-2</v>
      </c>
      <c r="F115" s="242">
        <v>111</v>
      </c>
      <c r="G115" s="243">
        <f t="shared" ca="1" si="6"/>
        <v>1.0811182406923676E-2</v>
      </c>
    </row>
    <row r="116" spans="2:7" ht="15" thickBot="1" x14ac:dyDescent="0.35">
      <c r="B116" s="170">
        <v>45565.645833333336</v>
      </c>
      <c r="C116" s="238">
        <v>5096.3</v>
      </c>
      <c r="D116" s="241">
        <f t="shared" si="5"/>
        <v>9.9869430566196543E-2</v>
      </c>
      <c r="E116" s="241">
        <v>2.8651589007639713E-2</v>
      </c>
      <c r="F116" s="242">
        <v>112</v>
      </c>
      <c r="G116" s="243">
        <f t="shared" ca="1" si="6"/>
        <v>-1.4369243186708153E-2</v>
      </c>
    </row>
    <row r="117" spans="2:7" ht="15" thickBot="1" x14ac:dyDescent="0.35">
      <c r="B117" s="170">
        <v>44571.645833333336</v>
      </c>
      <c r="C117" s="238">
        <v>4633.55</v>
      </c>
      <c r="D117" s="241">
        <f t="shared" si="5"/>
        <v>2.9952431759580331E-2</v>
      </c>
      <c r="E117" s="241">
        <v>2.8557792625807578E-2</v>
      </c>
      <c r="F117" s="242">
        <v>113</v>
      </c>
      <c r="G117" s="243">
        <f t="shared" ca="1" si="6"/>
        <v>1.2635963898299024E-3</v>
      </c>
    </row>
    <row r="118" spans="2:7" ht="15" thickBot="1" x14ac:dyDescent="0.35">
      <c r="B118" s="170">
        <v>45771.645833333336</v>
      </c>
      <c r="C118" s="239">
        <v>4498.8</v>
      </c>
      <c r="D118" s="241">
        <f t="shared" si="5"/>
        <v>1.4481266835360378</v>
      </c>
      <c r="E118" s="241">
        <v>2.8250137136588124E-2</v>
      </c>
      <c r="F118" s="242">
        <v>114</v>
      </c>
      <c r="G118" s="243">
        <f t="shared" ca="1" si="6"/>
        <v>6.3907625489526328E-3</v>
      </c>
    </row>
    <row r="119" spans="2:7" ht="15" thickBot="1" x14ac:dyDescent="0.35">
      <c r="B119" s="170">
        <v>43794.645833333336</v>
      </c>
      <c r="C119" s="238">
        <v>1837.65</v>
      </c>
      <c r="D119" s="241">
        <f t="shared" si="5"/>
        <v>-0.53115193264446992</v>
      </c>
      <c r="E119" s="241">
        <v>2.8228513876454815E-2</v>
      </c>
      <c r="F119" s="242">
        <v>115</v>
      </c>
      <c r="G119" s="243">
        <f t="shared" ca="1" si="6"/>
        <v>-1.6389434272345946E-2</v>
      </c>
    </row>
    <row r="120" spans="2:7" ht="15" thickBot="1" x14ac:dyDescent="0.35">
      <c r="B120" s="170">
        <v>45098.645833333336</v>
      </c>
      <c r="C120" s="238">
        <v>3919.5</v>
      </c>
      <c r="D120" s="241">
        <f t="shared" si="5"/>
        <v>2.3576048314558617</v>
      </c>
      <c r="E120" s="241">
        <v>2.8159962226040398E-2</v>
      </c>
      <c r="F120" s="242">
        <v>116</v>
      </c>
      <c r="G120" s="243">
        <f t="shared" ca="1" si="6"/>
        <v>1.1377779748543552E-3</v>
      </c>
    </row>
    <row r="121" spans="2:7" ht="15" thickBot="1" x14ac:dyDescent="0.35">
      <c r="B121" s="170">
        <v>43117.645833333336</v>
      </c>
      <c r="C121" s="238">
        <v>1167.3499999999999</v>
      </c>
      <c r="D121" s="241">
        <f t="shared" si="5"/>
        <v>-0.7071999197361325</v>
      </c>
      <c r="E121" s="241">
        <v>2.8094588048791107E-2</v>
      </c>
      <c r="F121" s="242">
        <v>117</v>
      </c>
      <c r="G121" s="243">
        <f t="shared" ca="1" si="6"/>
        <v>-3.8938777476249672E-3</v>
      </c>
    </row>
    <row r="122" spans="2:7" ht="15" thickBot="1" x14ac:dyDescent="0.35">
      <c r="B122" s="170">
        <v>44753.645833333336</v>
      </c>
      <c r="C122" s="238">
        <v>3986.85</v>
      </c>
      <c r="D122" s="241">
        <f t="shared" si="5"/>
        <v>0.34677228659257497</v>
      </c>
      <c r="E122" s="241">
        <v>2.7962561881188071E-2</v>
      </c>
      <c r="F122" s="242">
        <v>118</v>
      </c>
      <c r="G122" s="243">
        <f t="shared" ca="1" si="6"/>
        <v>7.2002155050515607E-3</v>
      </c>
    </row>
    <row r="123" spans="2:7" ht="15" thickBot="1" x14ac:dyDescent="0.35">
      <c r="B123" s="170">
        <v>44274.645833333336</v>
      </c>
      <c r="C123" s="238">
        <v>2960.3</v>
      </c>
      <c r="D123" s="241">
        <f t="shared" si="5"/>
        <v>0.48717691090402165</v>
      </c>
      <c r="E123" s="241">
        <v>2.7846255338356402E-2</v>
      </c>
      <c r="F123" s="242">
        <v>119</v>
      </c>
      <c r="G123" s="243">
        <f t="shared" ca="1" si="6"/>
        <v>-1.2705775994564782E-2</v>
      </c>
    </row>
    <row r="124" spans="2:7" ht="15" thickBot="1" x14ac:dyDescent="0.35">
      <c r="B124" s="170">
        <v>43847.645833333336</v>
      </c>
      <c r="C124" s="238">
        <v>1990.55</v>
      </c>
      <c r="D124" s="241">
        <f t="shared" si="5"/>
        <v>-0.24228697588549902</v>
      </c>
      <c r="E124" s="241">
        <v>2.7831564815531902E-2</v>
      </c>
      <c r="F124" s="242">
        <v>120</v>
      </c>
      <c r="G124" s="243">
        <f t="shared" ca="1" si="6"/>
        <v>-1.5009352444017054E-3</v>
      </c>
    </row>
    <row r="125" spans="2:7" ht="15" thickBot="1" x14ac:dyDescent="0.35">
      <c r="B125" s="170">
        <v>44181.645833333336</v>
      </c>
      <c r="C125" s="238">
        <v>2627.05</v>
      </c>
      <c r="D125" s="241">
        <f t="shared" si="5"/>
        <v>-6.8735709601375303E-2</v>
      </c>
      <c r="E125" s="241">
        <v>2.7777234404647796E-2</v>
      </c>
      <c r="F125" s="242">
        <v>121</v>
      </c>
      <c r="G125" s="243">
        <f t="shared" ca="1" si="6"/>
        <v>1.3630997039007621E-2</v>
      </c>
    </row>
    <row r="126" spans="2:7" ht="15" thickBot="1" x14ac:dyDescent="0.35">
      <c r="B126" s="170">
        <v>44211.645833333336</v>
      </c>
      <c r="C126" s="238">
        <v>2820.95</v>
      </c>
      <c r="D126" s="241">
        <f t="shared" si="5"/>
        <v>-0.30953837869590761</v>
      </c>
      <c r="E126" s="241">
        <v>2.7705927356187737E-2</v>
      </c>
      <c r="F126" s="242">
        <v>122</v>
      </c>
      <c r="G126" s="243">
        <f t="shared" ca="1" si="6"/>
        <v>6.0351415740605616E-5</v>
      </c>
    </row>
    <row r="127" spans="2:7" ht="15" thickBot="1" x14ac:dyDescent="0.35">
      <c r="B127" s="170">
        <v>45093.645833333336</v>
      </c>
      <c r="C127" s="238">
        <v>4085.6</v>
      </c>
      <c r="D127" s="241">
        <f t="shared" si="5"/>
        <v>0.98561430793157079</v>
      </c>
      <c r="E127" s="241">
        <v>2.7642930804638199E-2</v>
      </c>
      <c r="F127" s="242">
        <v>123</v>
      </c>
      <c r="G127" s="243">
        <f t="shared" ca="1" si="6"/>
        <v>-2.4971749825853911E-2</v>
      </c>
    </row>
    <row r="128" spans="2:7" ht="15" thickBot="1" x14ac:dyDescent="0.35">
      <c r="B128" s="170">
        <v>44113.645833333336</v>
      </c>
      <c r="C128" s="238">
        <v>2057.6</v>
      </c>
      <c r="D128" s="241">
        <f t="shared" si="5"/>
        <v>-0.54492474759203358</v>
      </c>
      <c r="E128" s="241">
        <v>2.7464296414660944E-2</v>
      </c>
      <c r="F128" s="242">
        <v>124</v>
      </c>
      <c r="G128" s="243">
        <f t="shared" ca="1" si="6"/>
        <v>2.2508924748100376E-2</v>
      </c>
    </row>
    <row r="129" spans="2:7" ht="15" thickBot="1" x14ac:dyDescent="0.35">
      <c r="B129" s="170">
        <v>44491.645833333336</v>
      </c>
      <c r="C129" s="238">
        <v>4521.45</v>
      </c>
      <c r="D129" s="241">
        <f t="shared" si="5"/>
        <v>0.11915694112696615</v>
      </c>
      <c r="E129" s="241">
        <v>2.7462164250329373E-2</v>
      </c>
      <c r="F129" s="242">
        <v>125</v>
      </c>
      <c r="G129" s="243">
        <f t="shared" ca="1" si="6"/>
        <v>2.761843177507459E-2</v>
      </c>
    </row>
    <row r="130" spans="2:7" ht="15" thickBot="1" x14ac:dyDescent="0.35">
      <c r="B130" s="170">
        <v>44767.645833333336</v>
      </c>
      <c r="C130" s="238">
        <v>4040.05</v>
      </c>
      <c r="D130" s="241">
        <f t="shared" si="5"/>
        <v>0.37714110408535445</v>
      </c>
      <c r="E130" s="241">
        <v>2.7375139863696493E-2</v>
      </c>
      <c r="F130" s="242">
        <v>126</v>
      </c>
      <c r="G130" s="243">
        <f t="shared" ca="1" si="6"/>
        <v>1.3147451508915128E-3</v>
      </c>
    </row>
    <row r="131" spans="2:7" ht="15" thickBot="1" x14ac:dyDescent="0.35">
      <c r="B131" s="170">
        <v>44278.645833333336</v>
      </c>
      <c r="C131" s="238">
        <v>2933.65</v>
      </c>
      <c r="D131" s="241">
        <f t="shared" si="5"/>
        <v>-0.25442531291695786</v>
      </c>
      <c r="E131" s="241">
        <v>2.7332259420086911E-2</v>
      </c>
      <c r="F131" s="242">
        <v>127</v>
      </c>
      <c r="G131" s="243">
        <f t="shared" ca="1" si="6"/>
        <v>-1.8396399654550668E-2</v>
      </c>
    </row>
    <row r="132" spans="2:7" ht="15" thickBot="1" x14ac:dyDescent="0.35">
      <c r="B132" s="170">
        <v>45663.645833333336</v>
      </c>
      <c r="C132" s="238">
        <v>3934.75</v>
      </c>
      <c r="D132" s="241">
        <f t="shared" si="5"/>
        <v>0.63705768550685427</v>
      </c>
      <c r="E132" s="241">
        <v>2.726940448528831E-2</v>
      </c>
      <c r="F132" s="242">
        <v>128</v>
      </c>
      <c r="G132" s="243">
        <f t="shared" ca="1" si="6"/>
        <v>9.0770493163651854E-4</v>
      </c>
    </row>
    <row r="133" spans="2:7" ht="15" thickBot="1" x14ac:dyDescent="0.35">
      <c r="B133" s="170">
        <v>43998.645833333336</v>
      </c>
      <c r="C133" s="238">
        <v>2403.5500000000002</v>
      </c>
      <c r="D133" s="241">
        <f t="shared" ref="D133:D196" si="7">(C133-C134)/C134</f>
        <v>-0.42475408659024005</v>
      </c>
      <c r="E133" s="241">
        <v>2.6982567082550028E-2</v>
      </c>
      <c r="F133" s="242">
        <v>129</v>
      </c>
      <c r="G133" s="243">
        <f t="shared" ca="1" si="6"/>
        <v>1.1691515732966442E-2</v>
      </c>
    </row>
    <row r="134" spans="2:7" ht="15" thickBot="1" x14ac:dyDescent="0.35">
      <c r="B134" s="170">
        <v>44924.645833333336</v>
      </c>
      <c r="C134" s="238">
        <v>4178.3</v>
      </c>
      <c r="D134" s="241">
        <f t="shared" si="7"/>
        <v>1.6576980568011959</v>
      </c>
      <c r="E134" s="241">
        <v>2.6924731182795744E-2</v>
      </c>
      <c r="F134" s="242">
        <v>130</v>
      </c>
      <c r="G134" s="243">
        <f t="shared" ref="G134:G197" ca="1" si="8">_xlfn.NORM.INV(RAND(),$M$7,$M$8)</f>
        <v>-2.3485575718260522E-2</v>
      </c>
    </row>
    <row r="135" spans="2:7" ht="15" thickBot="1" x14ac:dyDescent="0.35">
      <c r="B135" s="170">
        <v>43251.645833333336</v>
      </c>
      <c r="C135" s="238">
        <v>1572.15</v>
      </c>
      <c r="D135" s="241">
        <f t="shared" si="7"/>
        <v>9.2225927469779062E-2</v>
      </c>
      <c r="E135" s="241">
        <v>2.681078962837188E-2</v>
      </c>
      <c r="F135" s="242">
        <v>131</v>
      </c>
      <c r="G135" s="243">
        <f t="shared" ca="1" si="8"/>
        <v>-8.2363270220747863E-3</v>
      </c>
    </row>
    <row r="136" spans="2:7" ht="15" thickBot="1" x14ac:dyDescent="0.35">
      <c r="B136" s="170">
        <v>43664.645833333336</v>
      </c>
      <c r="C136" s="238">
        <v>1439.4</v>
      </c>
      <c r="D136" s="241">
        <f t="shared" si="7"/>
        <v>-0.39542600331814259</v>
      </c>
      <c r="E136" s="241">
        <v>2.6639563496309075E-2</v>
      </c>
      <c r="F136" s="242">
        <v>132</v>
      </c>
      <c r="G136" s="243">
        <f t="shared" ca="1" si="8"/>
        <v>1.0868276002297525E-2</v>
      </c>
    </row>
    <row r="137" spans="2:7" ht="15" thickBot="1" x14ac:dyDescent="0.35">
      <c r="B137" s="170">
        <v>44070.645833333336</v>
      </c>
      <c r="C137" s="238">
        <v>2380.85</v>
      </c>
      <c r="D137" s="241">
        <f t="shared" si="7"/>
        <v>-0.1777555214035331</v>
      </c>
      <c r="E137" s="241">
        <v>2.6493920841596887E-2</v>
      </c>
      <c r="F137" s="242">
        <v>133</v>
      </c>
      <c r="G137" s="243">
        <f t="shared" ca="1" si="8"/>
        <v>3.2256744300180854E-3</v>
      </c>
    </row>
    <row r="138" spans="2:7" ht="15" thickBot="1" x14ac:dyDescent="0.35">
      <c r="B138" s="170">
        <v>44210.645833333336</v>
      </c>
      <c r="C138" s="238">
        <v>2895.55</v>
      </c>
      <c r="D138" s="241">
        <f t="shared" si="7"/>
        <v>-0.17226248159741575</v>
      </c>
      <c r="E138" s="241">
        <v>2.6444991935341063E-2</v>
      </c>
      <c r="F138" s="242">
        <v>134</v>
      </c>
      <c r="G138" s="243">
        <f t="shared" ca="1" si="8"/>
        <v>-7.8580114156649537E-3</v>
      </c>
    </row>
    <row r="139" spans="2:7" ht="15" thickBot="1" x14ac:dyDescent="0.35">
      <c r="B139" s="170">
        <v>45645.645833333336</v>
      </c>
      <c r="C139" s="238">
        <v>3498.15</v>
      </c>
      <c r="D139" s="241">
        <f t="shared" si="7"/>
        <v>0.82195312500000006</v>
      </c>
      <c r="E139" s="241">
        <v>2.6362116010914503E-2</v>
      </c>
      <c r="F139" s="242">
        <v>135</v>
      </c>
      <c r="G139" s="243">
        <f t="shared" ca="1" si="8"/>
        <v>7.362949932704573E-3</v>
      </c>
    </row>
    <row r="140" spans="2:7" ht="15" thickBot="1" x14ac:dyDescent="0.35">
      <c r="B140" s="170">
        <v>43783.645833333336</v>
      </c>
      <c r="C140" s="238">
        <v>1920</v>
      </c>
      <c r="D140" s="241">
        <f t="shared" si="7"/>
        <v>-0.55452436194895594</v>
      </c>
      <c r="E140" s="241">
        <v>2.6271480877675973E-2</v>
      </c>
      <c r="F140" s="242">
        <v>136</v>
      </c>
      <c r="G140" s="243">
        <f t="shared" ca="1" si="8"/>
        <v>-2.5419394998994687E-2</v>
      </c>
    </row>
    <row r="141" spans="2:7" ht="15" thickBot="1" x14ac:dyDescent="0.35">
      <c r="B141" s="170">
        <v>45776.645833333336</v>
      </c>
      <c r="C141" s="239">
        <v>4310</v>
      </c>
      <c r="D141" s="241">
        <f t="shared" si="7"/>
        <v>0.44091737291677108</v>
      </c>
      <c r="E141" s="241">
        <v>2.6214909878806727E-2</v>
      </c>
      <c r="F141" s="242">
        <v>137</v>
      </c>
      <c r="G141" s="243">
        <f t="shared" ca="1" si="8"/>
        <v>6.6660246014268506E-3</v>
      </c>
    </row>
    <row r="142" spans="2:7" ht="15" thickBot="1" x14ac:dyDescent="0.35">
      <c r="B142" s="170">
        <v>44201.645833333336</v>
      </c>
      <c r="C142" s="238">
        <v>2991.15</v>
      </c>
      <c r="D142" s="241">
        <f t="shared" si="7"/>
        <v>4.9250197316495693E-2</v>
      </c>
      <c r="E142" s="241">
        <v>2.6141100190397872E-2</v>
      </c>
      <c r="F142" s="242">
        <v>138</v>
      </c>
      <c r="G142" s="243">
        <f t="shared" ca="1" si="8"/>
        <v>2.5415785739641497E-2</v>
      </c>
    </row>
    <row r="143" spans="2:7" ht="15" thickBot="1" x14ac:dyDescent="0.35">
      <c r="B143" s="170">
        <v>44305.645833333336</v>
      </c>
      <c r="C143" s="238">
        <v>2850.75</v>
      </c>
      <c r="D143" s="241">
        <f t="shared" si="7"/>
        <v>0.87100055787090203</v>
      </c>
      <c r="E143" s="241">
        <v>2.6095563754161794E-2</v>
      </c>
      <c r="F143" s="242">
        <v>139</v>
      </c>
      <c r="G143" s="243">
        <f t="shared" ca="1" si="8"/>
        <v>1.8559719112140709E-3</v>
      </c>
    </row>
    <row r="144" spans="2:7" ht="15" thickBot="1" x14ac:dyDescent="0.35">
      <c r="B144" s="170">
        <v>43269.645833333336</v>
      </c>
      <c r="C144" s="238">
        <v>1523.65</v>
      </c>
      <c r="D144" s="241">
        <f t="shared" si="7"/>
        <v>0.13017839261209804</v>
      </c>
      <c r="E144" s="241">
        <v>2.5992390828591724E-2</v>
      </c>
      <c r="F144" s="242">
        <v>140</v>
      </c>
      <c r="G144" s="243">
        <f t="shared" ca="1" si="8"/>
        <v>-2.0318549993028085E-3</v>
      </c>
    </row>
    <row r="145" spans="2:7" ht="15" thickBot="1" x14ac:dyDescent="0.35">
      <c r="B145" s="170">
        <v>43159.645833333336</v>
      </c>
      <c r="C145" s="238">
        <v>1348.15</v>
      </c>
      <c r="D145" s="241">
        <f t="shared" si="7"/>
        <v>-0.67662508994962822</v>
      </c>
      <c r="E145" s="241">
        <v>2.5794179189651961E-2</v>
      </c>
      <c r="F145" s="242">
        <v>141</v>
      </c>
      <c r="G145" s="243">
        <f t="shared" ca="1" si="8"/>
        <v>-1.1192175548731281E-2</v>
      </c>
    </row>
    <row r="146" spans="2:7" ht="15" thickBot="1" x14ac:dyDescent="0.35">
      <c r="B146" s="170">
        <v>45848.645833333336</v>
      </c>
      <c r="C146" s="239">
        <v>4169</v>
      </c>
      <c r="D146" s="241">
        <f t="shared" si="7"/>
        <v>0.11006084166522437</v>
      </c>
      <c r="E146" s="241">
        <v>2.5786132572215979E-2</v>
      </c>
      <c r="F146" s="242">
        <v>142</v>
      </c>
      <c r="G146" s="243">
        <f t="shared" ca="1" si="8"/>
        <v>2.5525288637123274E-2</v>
      </c>
    </row>
    <row r="147" spans="2:7" ht="15" thickBot="1" x14ac:dyDescent="0.35">
      <c r="B147" s="170">
        <v>44722.645833333336</v>
      </c>
      <c r="C147" s="238">
        <v>3755.65</v>
      </c>
      <c r="D147" s="241">
        <f t="shared" si="7"/>
        <v>0.9822394637531997</v>
      </c>
      <c r="E147" s="241">
        <v>2.5685492680795331E-2</v>
      </c>
      <c r="F147" s="242">
        <v>143</v>
      </c>
      <c r="G147" s="243">
        <f t="shared" ca="1" si="8"/>
        <v>-2.1157014629107247E-2</v>
      </c>
    </row>
    <row r="148" spans="2:7" ht="15" thickBot="1" x14ac:dyDescent="0.35">
      <c r="B148" s="170">
        <v>43742.645833333336</v>
      </c>
      <c r="C148" s="238">
        <v>1894.65</v>
      </c>
      <c r="D148" s="241">
        <f t="shared" si="7"/>
        <v>0.42390650834210147</v>
      </c>
      <c r="E148" s="241">
        <v>2.5632003464515853E-2</v>
      </c>
      <c r="F148" s="242">
        <v>144</v>
      </c>
      <c r="G148" s="243">
        <f t="shared" ca="1" si="8"/>
        <v>1.0376480940587289E-2</v>
      </c>
    </row>
    <row r="149" spans="2:7" ht="15" thickBot="1" x14ac:dyDescent="0.35">
      <c r="B149" s="170">
        <v>43630.645833333336</v>
      </c>
      <c r="C149" s="238">
        <v>1330.6</v>
      </c>
      <c r="D149" s="241">
        <f t="shared" si="7"/>
        <v>-0.66507249295207416</v>
      </c>
      <c r="E149" s="241">
        <v>2.5510597302504746E-2</v>
      </c>
      <c r="F149" s="242">
        <v>145</v>
      </c>
      <c r="G149" s="243">
        <f t="shared" ca="1" si="8"/>
        <v>9.2151730209022811E-4</v>
      </c>
    </row>
    <row r="150" spans="2:7" ht="15" thickBot="1" x14ac:dyDescent="0.35">
      <c r="B150" s="170">
        <v>44712.645833333336</v>
      </c>
      <c r="C150" s="238">
        <v>3972.8</v>
      </c>
      <c r="D150" s="241">
        <f t="shared" si="7"/>
        <v>1.9244019138755981</v>
      </c>
      <c r="E150" s="241">
        <v>2.5490120158490469E-2</v>
      </c>
      <c r="F150" s="242">
        <v>146</v>
      </c>
      <c r="G150" s="243">
        <f t="shared" ca="1" si="8"/>
        <v>-3.449940866662065E-2</v>
      </c>
    </row>
    <row r="151" spans="2:7" ht="15" thickBot="1" x14ac:dyDescent="0.35">
      <c r="B151" s="170">
        <v>43573.645833333336</v>
      </c>
      <c r="C151" s="238">
        <v>1358.5</v>
      </c>
      <c r="D151" s="241">
        <f t="shared" si="7"/>
        <v>-0.66766152114881228</v>
      </c>
      <c r="E151" s="241">
        <v>2.5437801932367186E-2</v>
      </c>
      <c r="F151" s="242">
        <v>147</v>
      </c>
      <c r="G151" s="243">
        <f t="shared" ca="1" si="8"/>
        <v>1.5130503793826041E-2</v>
      </c>
    </row>
    <row r="152" spans="2:7" ht="15" thickBot="1" x14ac:dyDescent="0.35">
      <c r="B152" s="170">
        <v>45582.645833333336</v>
      </c>
      <c r="C152" s="238">
        <v>4087.7</v>
      </c>
      <c r="D152" s="241">
        <f t="shared" si="7"/>
        <v>1.2957513127966076</v>
      </c>
      <c r="E152" s="241">
        <v>2.5334236335816593E-2</v>
      </c>
      <c r="F152" s="242">
        <v>148</v>
      </c>
      <c r="G152" s="243">
        <f t="shared" ca="1" si="8"/>
        <v>-3.9626537317214695E-2</v>
      </c>
    </row>
    <row r="153" spans="2:7" ht="15" thickBot="1" x14ac:dyDescent="0.35">
      <c r="B153" s="170">
        <v>43808.645833333336</v>
      </c>
      <c r="C153" s="238">
        <v>1780.55</v>
      </c>
      <c r="D153" s="241">
        <f t="shared" si="7"/>
        <v>-0.41325051077572</v>
      </c>
      <c r="E153" s="241">
        <v>2.5308073246573793E-2</v>
      </c>
      <c r="F153" s="242">
        <v>149</v>
      </c>
      <c r="G153" s="243">
        <f t="shared" ca="1" si="8"/>
        <v>2.9859858071552003E-2</v>
      </c>
    </row>
    <row r="154" spans="2:7" ht="15" thickBot="1" x14ac:dyDescent="0.35">
      <c r="B154" s="170">
        <v>44273.645833333336</v>
      </c>
      <c r="C154" s="238">
        <v>3034.6</v>
      </c>
      <c r="D154" s="241">
        <f t="shared" si="7"/>
        <v>0.26986651044064114</v>
      </c>
      <c r="E154" s="241">
        <v>2.5098807553288423E-2</v>
      </c>
      <c r="F154" s="242">
        <v>150</v>
      </c>
      <c r="G154" s="243">
        <f t="shared" ca="1" si="8"/>
        <v>-2.9586806576957212E-3</v>
      </c>
    </row>
    <row r="155" spans="2:7" ht="15" thickBot="1" x14ac:dyDescent="0.35">
      <c r="B155" s="170">
        <v>43885.645833333336</v>
      </c>
      <c r="C155" s="238">
        <v>2389.6999999999998</v>
      </c>
      <c r="D155" s="241">
        <f t="shared" si="7"/>
        <v>-0.20295510639717165</v>
      </c>
      <c r="E155" s="241">
        <v>2.4852578535434683E-2</v>
      </c>
      <c r="F155" s="242">
        <v>151</v>
      </c>
      <c r="G155" s="243">
        <f t="shared" ca="1" si="8"/>
        <v>-2.6698981265254099E-3</v>
      </c>
    </row>
    <row r="156" spans="2:7" ht="15" thickBot="1" x14ac:dyDescent="0.35">
      <c r="B156" s="170">
        <v>44208.645833333336</v>
      </c>
      <c r="C156" s="238">
        <v>2998.2</v>
      </c>
      <c r="D156" s="241">
        <f t="shared" si="7"/>
        <v>0.39512807984923548</v>
      </c>
      <c r="E156" s="241">
        <v>2.4640306209630536E-2</v>
      </c>
      <c r="F156" s="242">
        <v>152</v>
      </c>
      <c r="G156" s="243">
        <f t="shared" ca="1" si="8"/>
        <v>9.2138213353698591E-3</v>
      </c>
    </row>
    <row r="157" spans="2:7" ht="15" thickBot="1" x14ac:dyDescent="0.35">
      <c r="B157" s="170">
        <v>44092.645833333336</v>
      </c>
      <c r="C157" s="238">
        <v>2149.0500000000002</v>
      </c>
      <c r="D157" s="241">
        <f t="shared" si="7"/>
        <v>0.14095723500836199</v>
      </c>
      <c r="E157" s="241">
        <v>2.4601301580490773E-2</v>
      </c>
      <c r="F157" s="242">
        <v>153</v>
      </c>
      <c r="G157" s="243">
        <f t="shared" ca="1" si="8"/>
        <v>2.1789719069600266E-2</v>
      </c>
    </row>
    <row r="158" spans="2:7" ht="15" thickBot="1" x14ac:dyDescent="0.35">
      <c r="B158" s="170">
        <v>43829.645833333336</v>
      </c>
      <c r="C158" s="238">
        <v>1883.55</v>
      </c>
      <c r="D158" s="241">
        <f t="shared" si="7"/>
        <v>-0.54929290995668922</v>
      </c>
      <c r="E158" s="241">
        <v>2.4587265754616939E-2</v>
      </c>
      <c r="F158" s="242">
        <v>154</v>
      </c>
      <c r="G158" s="243">
        <f t="shared" ca="1" si="8"/>
        <v>1.1185219983117198E-2</v>
      </c>
    </row>
    <row r="159" spans="2:7" ht="15" thickBot="1" x14ac:dyDescent="0.35">
      <c r="B159" s="170">
        <v>45817.645833333336</v>
      </c>
      <c r="C159" s="239">
        <v>4179.1000000000004</v>
      </c>
      <c r="D159" s="241">
        <f t="shared" si="7"/>
        <v>0.43124764546731059</v>
      </c>
      <c r="E159" s="241">
        <v>2.4289215686274599E-2</v>
      </c>
      <c r="F159" s="242">
        <v>155</v>
      </c>
      <c r="G159" s="243">
        <f t="shared" ca="1" si="8"/>
        <v>-1.0957060812667802E-2</v>
      </c>
    </row>
    <row r="160" spans="2:7" ht="15" thickBot="1" x14ac:dyDescent="0.35">
      <c r="B160" s="170">
        <v>44302.645833333336</v>
      </c>
      <c r="C160" s="238">
        <v>2919.9</v>
      </c>
      <c r="D160" s="241">
        <f t="shared" si="7"/>
        <v>0.97484021507558094</v>
      </c>
      <c r="E160" s="241">
        <v>2.425677453301766E-2</v>
      </c>
      <c r="F160" s="242">
        <v>156</v>
      </c>
      <c r="G160" s="243">
        <f t="shared" ca="1" si="8"/>
        <v>-3.2075670935635091E-2</v>
      </c>
    </row>
    <row r="161" spans="2:7" ht="15" thickBot="1" x14ac:dyDescent="0.35">
      <c r="B161" s="170">
        <v>43558.645833333336</v>
      </c>
      <c r="C161" s="238">
        <v>1478.55</v>
      </c>
      <c r="D161" s="241">
        <f t="shared" si="7"/>
        <v>-0.63845655389957323</v>
      </c>
      <c r="E161" s="241">
        <v>2.4210307564422311E-2</v>
      </c>
      <c r="F161" s="242">
        <v>157</v>
      </c>
      <c r="G161" s="243">
        <f t="shared" ca="1" si="8"/>
        <v>-1.568791571776728E-2</v>
      </c>
    </row>
    <row r="162" spans="2:7" ht="15" thickBot="1" x14ac:dyDescent="0.35">
      <c r="B162" s="170">
        <v>44915.645833333336</v>
      </c>
      <c r="C162" s="238">
        <v>4089.55</v>
      </c>
      <c r="D162" s="241">
        <f t="shared" si="7"/>
        <v>0.68145468001562404</v>
      </c>
      <c r="E162" s="241">
        <v>2.4128518481418504E-2</v>
      </c>
      <c r="F162" s="242">
        <v>158</v>
      </c>
      <c r="G162" s="243">
        <f t="shared" ca="1" si="8"/>
        <v>-5.9942509747923905E-3</v>
      </c>
    </row>
    <row r="163" spans="2:7" ht="15" thickBot="1" x14ac:dyDescent="0.35">
      <c r="B163" s="170">
        <v>44152.645833333336</v>
      </c>
      <c r="C163" s="238">
        <v>2432.15</v>
      </c>
      <c r="D163" s="241">
        <f t="shared" si="7"/>
        <v>0.87738324971053649</v>
      </c>
      <c r="E163" s="241">
        <v>2.4041599124228923E-2</v>
      </c>
      <c r="F163" s="242">
        <v>159</v>
      </c>
      <c r="G163" s="243">
        <f t="shared" ca="1" si="8"/>
        <v>3.0194127082143071E-2</v>
      </c>
    </row>
    <row r="164" spans="2:7" ht="15" thickBot="1" x14ac:dyDescent="0.35">
      <c r="B164" s="170">
        <v>43585.645833333336</v>
      </c>
      <c r="C164" s="238">
        <v>1295.5</v>
      </c>
      <c r="D164" s="241">
        <f t="shared" si="7"/>
        <v>-0.75971213680920713</v>
      </c>
      <c r="E164" s="241">
        <v>2.3948782801138123E-2</v>
      </c>
      <c r="F164" s="242">
        <v>160</v>
      </c>
      <c r="G164" s="243">
        <f t="shared" ca="1" si="8"/>
        <v>7.9522019519410406E-3</v>
      </c>
    </row>
    <row r="165" spans="2:7" ht="15" thickBot="1" x14ac:dyDescent="0.35">
      <c r="B165" s="170">
        <v>45559.645833333336</v>
      </c>
      <c r="C165" s="238">
        <v>5391.45</v>
      </c>
      <c r="D165" s="241">
        <f t="shared" si="7"/>
        <v>0.28589827678731139</v>
      </c>
      <c r="E165" s="241">
        <v>2.3919855664229384E-2</v>
      </c>
      <c r="F165" s="242">
        <v>161</v>
      </c>
      <c r="G165" s="243">
        <f t="shared" ca="1" si="8"/>
        <v>-7.9320781822834162E-3</v>
      </c>
    </row>
    <row r="166" spans="2:7" ht="15" thickBot="1" x14ac:dyDescent="0.35">
      <c r="B166" s="170">
        <v>44637.645833333336</v>
      </c>
      <c r="C166" s="238">
        <v>4192.75</v>
      </c>
      <c r="D166" s="241">
        <f t="shared" si="7"/>
        <v>2.5859989736572015</v>
      </c>
      <c r="E166" s="241">
        <v>2.3820570423910965E-2</v>
      </c>
      <c r="F166" s="242">
        <v>162</v>
      </c>
      <c r="G166" s="243">
        <f t="shared" ca="1" si="8"/>
        <v>7.0984519956182029E-3</v>
      </c>
    </row>
    <row r="167" spans="2:7" ht="15" thickBot="1" x14ac:dyDescent="0.35">
      <c r="B167" s="170">
        <v>43123.645833333336</v>
      </c>
      <c r="C167" s="238">
        <v>1169.2</v>
      </c>
      <c r="D167" s="241">
        <f t="shared" si="7"/>
        <v>-0.71867856885060521</v>
      </c>
      <c r="E167" s="241">
        <v>2.3683404106290724E-2</v>
      </c>
      <c r="F167" s="242">
        <v>163</v>
      </c>
      <c r="G167" s="243">
        <f t="shared" ca="1" si="8"/>
        <v>1.5688386283316848E-2</v>
      </c>
    </row>
    <row r="168" spans="2:7" ht="15" thickBot="1" x14ac:dyDescent="0.35">
      <c r="B168" s="170">
        <v>45588.645833333336</v>
      </c>
      <c r="C168" s="238">
        <v>4156.1000000000004</v>
      </c>
      <c r="D168" s="241">
        <f t="shared" si="7"/>
        <v>2.0050251256281411</v>
      </c>
      <c r="E168" s="241">
        <v>2.3644737814339661E-2</v>
      </c>
      <c r="F168" s="242">
        <v>164</v>
      </c>
      <c r="G168" s="243">
        <f t="shared" ca="1" si="8"/>
        <v>2.5731425403172824E-2</v>
      </c>
    </row>
    <row r="169" spans="2:7" ht="15" thickBot="1" x14ac:dyDescent="0.35">
      <c r="B169" s="170">
        <v>43483.645833333336</v>
      </c>
      <c r="C169" s="238">
        <v>1383.05</v>
      </c>
      <c r="D169" s="241">
        <f t="shared" si="7"/>
        <v>-0.34060406684307132</v>
      </c>
      <c r="E169" s="241">
        <v>2.3495892843928071E-2</v>
      </c>
      <c r="F169" s="242">
        <v>165</v>
      </c>
      <c r="G169" s="243">
        <f t="shared" ca="1" si="8"/>
        <v>3.1861708516073131E-2</v>
      </c>
    </row>
    <row r="170" spans="2:7" ht="15" thickBot="1" x14ac:dyDescent="0.35">
      <c r="B170" s="170">
        <v>44095.645833333336</v>
      </c>
      <c r="C170" s="238">
        <v>2097.4499999999998</v>
      </c>
      <c r="D170" s="241">
        <f t="shared" si="7"/>
        <v>-0.42513566847557971</v>
      </c>
      <c r="E170" s="241">
        <v>2.3495827843653751E-2</v>
      </c>
      <c r="F170" s="242">
        <v>166</v>
      </c>
      <c r="G170" s="243">
        <f t="shared" ca="1" si="8"/>
        <v>-1.5672884031765873E-2</v>
      </c>
    </row>
    <row r="171" spans="2:7" ht="15" thickBot="1" x14ac:dyDescent="0.35">
      <c r="B171" s="170">
        <v>44944.645833333336</v>
      </c>
      <c r="C171" s="238">
        <v>3648.6</v>
      </c>
      <c r="D171" s="241">
        <f t="shared" si="7"/>
        <v>0.17841224727084817</v>
      </c>
      <c r="E171" s="241">
        <v>2.3421502903144372E-2</v>
      </c>
      <c r="F171" s="242">
        <v>167</v>
      </c>
      <c r="G171" s="243">
        <f t="shared" ca="1" si="8"/>
        <v>-1.38767263174125E-2</v>
      </c>
    </row>
    <row r="172" spans="2:7" ht="15" thickBot="1" x14ac:dyDescent="0.35">
      <c r="B172" s="170">
        <v>44342.645833333336</v>
      </c>
      <c r="C172" s="238">
        <v>3096.2</v>
      </c>
      <c r="D172" s="241">
        <f t="shared" si="7"/>
        <v>-0.26918673952297212</v>
      </c>
      <c r="E172" s="241">
        <v>2.3368038340770062E-2</v>
      </c>
      <c r="F172" s="242">
        <v>168</v>
      </c>
      <c r="G172" s="243">
        <f t="shared" ca="1" si="8"/>
        <v>-1.5534642024608513E-2</v>
      </c>
    </row>
    <row r="173" spans="2:7" ht="15" thickBot="1" x14ac:dyDescent="0.35">
      <c r="B173" s="170">
        <v>44594.645833333336</v>
      </c>
      <c r="C173" s="238">
        <v>4236.6499999999996</v>
      </c>
      <c r="D173" s="241">
        <f t="shared" si="7"/>
        <v>-0.11617694610466159</v>
      </c>
      <c r="E173" s="241">
        <v>2.3345410628019234E-2</v>
      </c>
      <c r="F173" s="242">
        <v>169</v>
      </c>
      <c r="G173" s="243">
        <f t="shared" ca="1" si="8"/>
        <v>-8.5352928358699912E-3</v>
      </c>
    </row>
    <row r="174" spans="2:7" ht="15" thickBot="1" x14ac:dyDescent="0.35">
      <c r="B174" s="170">
        <v>45435.645833333336</v>
      </c>
      <c r="C174" s="238">
        <v>4793.55</v>
      </c>
      <c r="D174" s="241">
        <f t="shared" si="7"/>
        <v>0.37775382625565862</v>
      </c>
      <c r="E174" s="241">
        <v>2.3278898495036861E-2</v>
      </c>
      <c r="F174" s="242">
        <v>170</v>
      </c>
      <c r="G174" s="243">
        <f t="shared" ca="1" si="8"/>
        <v>8.2688041892610038E-3</v>
      </c>
    </row>
    <row r="175" spans="2:7" ht="15" thickBot="1" x14ac:dyDescent="0.35">
      <c r="B175" s="170">
        <v>45062.645833333336</v>
      </c>
      <c r="C175" s="238">
        <v>3479.25</v>
      </c>
      <c r="D175" s="241">
        <f t="shared" si="7"/>
        <v>1.3173371519914745</v>
      </c>
      <c r="E175" s="241">
        <v>2.3248632433386325E-2</v>
      </c>
      <c r="F175" s="242">
        <v>171</v>
      </c>
      <c r="G175" s="243">
        <f t="shared" ca="1" si="8"/>
        <v>1.9811394433978217E-2</v>
      </c>
    </row>
    <row r="176" spans="2:7" ht="15" thickBot="1" x14ac:dyDescent="0.35">
      <c r="B176" s="170">
        <v>43537.645833333336</v>
      </c>
      <c r="C176" s="238">
        <v>1501.4</v>
      </c>
      <c r="D176" s="241">
        <f t="shared" si="7"/>
        <v>-0.57270722162931342</v>
      </c>
      <c r="E176" s="241">
        <v>2.3239964560757949E-2</v>
      </c>
      <c r="F176" s="242">
        <v>172</v>
      </c>
      <c r="G176" s="243">
        <f t="shared" ca="1" si="8"/>
        <v>-9.0227341927145432E-3</v>
      </c>
    </row>
    <row r="177" spans="2:7" ht="15" thickBot="1" x14ac:dyDescent="0.35">
      <c r="B177" s="170">
        <v>44946.645833333336</v>
      </c>
      <c r="C177" s="238">
        <v>3513.75</v>
      </c>
      <c r="D177" s="241">
        <f t="shared" si="7"/>
        <v>0.20635492841693281</v>
      </c>
      <c r="E177" s="241">
        <v>2.3223645894001166E-2</v>
      </c>
      <c r="F177" s="242">
        <v>173</v>
      </c>
      <c r="G177" s="243">
        <f t="shared" ca="1" si="8"/>
        <v>-1.6084570672674887E-2</v>
      </c>
    </row>
    <row r="178" spans="2:7" ht="15" thickBot="1" x14ac:dyDescent="0.35">
      <c r="B178" s="170">
        <v>44287.645833333336</v>
      </c>
      <c r="C178" s="238">
        <v>2912.7</v>
      </c>
      <c r="D178" s="241">
        <f t="shared" si="7"/>
        <v>-0.27638378217231441</v>
      </c>
      <c r="E178" s="241">
        <v>2.3094891023727148E-2</v>
      </c>
      <c r="F178" s="242">
        <v>174</v>
      </c>
      <c r="G178" s="243">
        <f t="shared" ca="1" si="8"/>
        <v>-5.4997514443568072E-3</v>
      </c>
    </row>
    <row r="179" spans="2:7" ht="15" thickBot="1" x14ac:dyDescent="0.35">
      <c r="B179" s="170">
        <v>45660.645833333336</v>
      </c>
      <c r="C179" s="238">
        <v>4025.2</v>
      </c>
      <c r="D179" s="241">
        <f t="shared" si="7"/>
        <v>1.9701889020070837</v>
      </c>
      <c r="E179" s="241">
        <v>2.2987483321684939E-2</v>
      </c>
      <c r="F179" s="242">
        <v>175</v>
      </c>
      <c r="G179" s="243">
        <f t="shared" ca="1" si="8"/>
        <v>2.0359734636865696E-2</v>
      </c>
    </row>
    <row r="180" spans="2:7" ht="15" thickBot="1" x14ac:dyDescent="0.35">
      <c r="B180" s="170">
        <v>43186.645833333336</v>
      </c>
      <c r="C180" s="238">
        <v>1355.2</v>
      </c>
      <c r="D180" s="241">
        <f t="shared" si="7"/>
        <v>-0.42536095151271014</v>
      </c>
      <c r="E180" s="241">
        <v>2.2946859903381713E-2</v>
      </c>
      <c r="F180" s="242">
        <v>176</v>
      </c>
      <c r="G180" s="243">
        <f t="shared" ca="1" si="8"/>
        <v>-2.2535332720523747E-2</v>
      </c>
    </row>
    <row r="181" spans="2:7" ht="15" thickBot="1" x14ac:dyDescent="0.35">
      <c r="B181" s="170">
        <v>44006.645833333336</v>
      </c>
      <c r="C181" s="238">
        <v>2358.35</v>
      </c>
      <c r="D181" s="241">
        <f t="shared" si="7"/>
        <v>-0.38264705112431613</v>
      </c>
      <c r="E181" s="241">
        <v>2.2901260003036033E-2</v>
      </c>
      <c r="F181" s="242">
        <v>177</v>
      </c>
      <c r="G181" s="243">
        <f t="shared" ca="1" si="8"/>
        <v>7.025096626657977E-3</v>
      </c>
    </row>
    <row r="182" spans="2:7" ht="15" thickBot="1" x14ac:dyDescent="0.35">
      <c r="B182" s="170">
        <v>44715.645833333336</v>
      </c>
      <c r="C182" s="238">
        <v>3820.1</v>
      </c>
      <c r="D182" s="241">
        <f t="shared" si="7"/>
        <v>-0.17972558029675129</v>
      </c>
      <c r="E182" s="241">
        <v>2.2852935270098376E-2</v>
      </c>
      <c r="F182" s="242">
        <v>178</v>
      </c>
      <c r="G182" s="243">
        <f t="shared" ca="1" si="8"/>
        <v>-1.4541962726256555E-2</v>
      </c>
    </row>
    <row r="183" spans="2:7" ht="15" thickBot="1" x14ac:dyDescent="0.35">
      <c r="B183" s="170">
        <v>45407.645833333336</v>
      </c>
      <c r="C183" s="238">
        <v>4657.1000000000004</v>
      </c>
      <c r="D183" s="241">
        <f t="shared" si="7"/>
        <v>0.28514266791765552</v>
      </c>
      <c r="E183" s="241">
        <v>2.2830348220462919E-2</v>
      </c>
      <c r="F183" s="242">
        <v>179</v>
      </c>
      <c r="G183" s="243">
        <f t="shared" ca="1" si="8"/>
        <v>-8.9823567285116472E-3</v>
      </c>
    </row>
    <row r="184" spans="2:7" ht="15" thickBot="1" x14ac:dyDescent="0.35">
      <c r="B184" s="170">
        <v>45642.645833333336</v>
      </c>
      <c r="C184" s="238">
        <v>3623.8</v>
      </c>
      <c r="D184" s="241">
        <f t="shared" si="7"/>
        <v>1.3211632077888806</v>
      </c>
      <c r="E184" s="241">
        <v>2.2819966412170753E-2</v>
      </c>
      <c r="F184" s="242">
        <v>180</v>
      </c>
      <c r="G184" s="243">
        <f t="shared" ca="1" si="8"/>
        <v>-2.7229177422189988E-2</v>
      </c>
    </row>
    <row r="185" spans="2:7" ht="15" thickBot="1" x14ac:dyDescent="0.35">
      <c r="B185" s="170">
        <v>43350.645833333336</v>
      </c>
      <c r="C185" s="238">
        <v>1561.2</v>
      </c>
      <c r="D185" s="241">
        <f t="shared" si="7"/>
        <v>-0.16551300211133971</v>
      </c>
      <c r="E185" s="241">
        <v>2.2798742138364747E-2</v>
      </c>
      <c r="F185" s="242">
        <v>181</v>
      </c>
      <c r="G185" s="243">
        <f t="shared" ca="1" si="8"/>
        <v>2.3074509512082685E-2</v>
      </c>
    </row>
    <row r="186" spans="2:7" ht="15" thickBot="1" x14ac:dyDescent="0.35">
      <c r="B186" s="170">
        <v>43784.645833333336</v>
      </c>
      <c r="C186" s="238">
        <v>1870.85</v>
      </c>
      <c r="D186" s="241">
        <f t="shared" si="7"/>
        <v>-0.45215888958842737</v>
      </c>
      <c r="E186" s="241">
        <v>2.2629752111290202E-2</v>
      </c>
      <c r="F186" s="242">
        <v>182</v>
      </c>
      <c r="G186" s="243">
        <f t="shared" ca="1" si="8"/>
        <v>-1.3436782094636163E-2</v>
      </c>
    </row>
    <row r="187" spans="2:7" ht="15" thickBot="1" x14ac:dyDescent="0.35">
      <c r="B187" s="170">
        <v>44691.645833333336</v>
      </c>
      <c r="C187" s="238">
        <v>3414.95</v>
      </c>
      <c r="D187" s="241">
        <f t="shared" si="7"/>
        <v>1.2974636706135627</v>
      </c>
      <c r="E187" s="241">
        <v>2.2531963948857682E-2</v>
      </c>
      <c r="F187" s="242">
        <v>183</v>
      </c>
      <c r="G187" s="243">
        <f t="shared" ca="1" si="8"/>
        <v>1.3438373333892924E-2</v>
      </c>
    </row>
    <row r="188" spans="2:7" ht="15" thickBot="1" x14ac:dyDescent="0.35">
      <c r="B188" s="170">
        <v>43255.645833333336</v>
      </c>
      <c r="C188" s="238">
        <v>1486.4</v>
      </c>
      <c r="D188" s="241">
        <f t="shared" si="7"/>
        <v>-0.65136624838747503</v>
      </c>
      <c r="E188" s="241">
        <v>2.2459157351676761E-2</v>
      </c>
      <c r="F188" s="242">
        <v>184</v>
      </c>
      <c r="G188" s="243">
        <f t="shared" ca="1" si="8"/>
        <v>5.3461342728375796E-3</v>
      </c>
    </row>
    <row r="189" spans="2:7" ht="15" thickBot="1" x14ac:dyDescent="0.35">
      <c r="B189" s="170">
        <v>45876.645833333336</v>
      </c>
      <c r="C189" s="239">
        <v>4263.5</v>
      </c>
      <c r="D189" s="241">
        <f t="shared" si="7"/>
        <v>0.53459911814991457</v>
      </c>
      <c r="E189" s="241">
        <v>2.2397544423395033E-2</v>
      </c>
      <c r="F189" s="242">
        <v>185</v>
      </c>
      <c r="G189" s="243">
        <f t="shared" ca="1" si="8"/>
        <v>1.106640411627508E-2</v>
      </c>
    </row>
    <row r="190" spans="2:7" ht="15" thickBot="1" x14ac:dyDescent="0.35">
      <c r="B190" s="170">
        <v>44306.645833333336</v>
      </c>
      <c r="C190" s="238">
        <v>2778.25</v>
      </c>
      <c r="D190" s="241">
        <f t="shared" si="7"/>
        <v>0.44283451481394931</v>
      </c>
      <c r="E190" s="241">
        <v>2.2317486017073923E-2</v>
      </c>
      <c r="F190" s="242">
        <v>186</v>
      </c>
      <c r="G190" s="243">
        <f t="shared" ca="1" si="8"/>
        <v>3.232138839558195E-3</v>
      </c>
    </row>
    <row r="191" spans="2:7" ht="15" thickBot="1" x14ac:dyDescent="0.35">
      <c r="B191" s="170">
        <v>43826.645833333336</v>
      </c>
      <c r="C191" s="238">
        <v>1925.55</v>
      </c>
      <c r="D191" s="241">
        <f t="shared" si="7"/>
        <v>-0.52091808173166632</v>
      </c>
      <c r="E191" s="241">
        <v>2.2298319662339732E-2</v>
      </c>
      <c r="F191" s="242">
        <v>187</v>
      </c>
      <c r="G191" s="243">
        <f t="shared" ca="1" si="8"/>
        <v>-1.7537007280111504E-2</v>
      </c>
    </row>
    <row r="192" spans="2:7" ht="15" thickBot="1" x14ac:dyDescent="0.35">
      <c r="B192" s="170">
        <v>45365.645833333336</v>
      </c>
      <c r="C192" s="238">
        <v>4019.25</v>
      </c>
      <c r="D192" s="241">
        <f t="shared" si="7"/>
        <v>1.672906829819778</v>
      </c>
      <c r="E192" s="241">
        <v>2.2163729304951578E-2</v>
      </c>
      <c r="F192" s="242">
        <v>188</v>
      </c>
      <c r="G192" s="243">
        <f t="shared" ca="1" si="8"/>
        <v>1.7919610625375924E-2</v>
      </c>
    </row>
    <row r="193" spans="2:7" ht="15" thickBot="1" x14ac:dyDescent="0.35">
      <c r="B193" s="170">
        <v>43546.645833333336</v>
      </c>
      <c r="C193" s="238">
        <v>1503.7</v>
      </c>
      <c r="D193" s="241">
        <f t="shared" si="7"/>
        <v>-0.68652018012008009</v>
      </c>
      <c r="E193" s="241">
        <v>2.2090810222947253E-2</v>
      </c>
      <c r="F193" s="242">
        <v>189</v>
      </c>
      <c r="G193" s="243">
        <f t="shared" ca="1" si="8"/>
        <v>-2.2407249554885132E-2</v>
      </c>
    </row>
    <row r="194" spans="2:7" ht="15" thickBot="1" x14ac:dyDescent="0.35">
      <c r="B194" s="170">
        <v>45422.645833333336</v>
      </c>
      <c r="C194" s="238">
        <v>4796.8</v>
      </c>
      <c r="D194" s="241">
        <f t="shared" si="7"/>
        <v>0.27931724229897326</v>
      </c>
      <c r="E194" s="241">
        <v>2.1965613481901351E-2</v>
      </c>
      <c r="F194" s="242">
        <v>190</v>
      </c>
      <c r="G194" s="243">
        <f t="shared" ca="1" si="8"/>
        <v>6.817584178673955E-4</v>
      </c>
    </row>
    <row r="195" spans="2:7" ht="15" thickBot="1" x14ac:dyDescent="0.35">
      <c r="B195" s="170">
        <v>45219.645833333336</v>
      </c>
      <c r="C195" s="238">
        <v>3749.5</v>
      </c>
      <c r="D195" s="241">
        <f t="shared" si="7"/>
        <v>1.8252269901668987</v>
      </c>
      <c r="E195" s="241">
        <v>2.1954510145954616E-2</v>
      </c>
      <c r="F195" s="242">
        <v>191</v>
      </c>
      <c r="G195" s="243">
        <f t="shared" ca="1" si="8"/>
        <v>8.3464917664960812E-3</v>
      </c>
    </row>
    <row r="196" spans="2:7" ht="15" thickBot="1" x14ac:dyDescent="0.35">
      <c r="B196" s="170">
        <v>43165.645833333336</v>
      </c>
      <c r="C196" s="238">
        <v>1327.15</v>
      </c>
      <c r="D196" s="241">
        <f t="shared" si="7"/>
        <v>-0.61986938962564087</v>
      </c>
      <c r="E196" s="241">
        <v>2.1827841084077718E-2</v>
      </c>
      <c r="F196" s="242">
        <v>192</v>
      </c>
      <c r="G196" s="243">
        <f t="shared" ca="1" si="8"/>
        <v>1.5243199140731906E-2</v>
      </c>
    </row>
    <row r="197" spans="2:7" ht="15" thickBot="1" x14ac:dyDescent="0.35">
      <c r="B197" s="170">
        <v>44984.645833333336</v>
      </c>
      <c r="C197" s="238">
        <v>3491.3</v>
      </c>
      <c r="D197" s="241">
        <f t="shared" ref="D197:D260" si="9">(C197-C198)/C198</f>
        <v>1.3842791777641197</v>
      </c>
      <c r="E197" s="241">
        <v>2.1759171190681856E-2</v>
      </c>
      <c r="F197" s="242">
        <v>193</v>
      </c>
      <c r="G197" s="243">
        <f t="shared" ca="1" si="8"/>
        <v>-2.3990326462989119E-2</v>
      </c>
    </row>
    <row r="198" spans="2:7" ht="15" thickBot="1" x14ac:dyDescent="0.35">
      <c r="B198" s="170">
        <v>43511.645833333336</v>
      </c>
      <c r="C198" s="238">
        <v>1464.3</v>
      </c>
      <c r="D198" s="241">
        <f t="shared" si="9"/>
        <v>9.5254123190844767E-2</v>
      </c>
      <c r="E198" s="241">
        <v>2.1628409963022396E-2</v>
      </c>
      <c r="F198" s="242">
        <v>194</v>
      </c>
      <c r="G198" s="243">
        <f t="shared" ref="G198:G261" ca="1" si="10">_xlfn.NORM.INV(RAND(),$M$7,$M$8)</f>
        <v>-1.4324235671473746E-2</v>
      </c>
    </row>
    <row r="199" spans="2:7" ht="15" thickBot="1" x14ac:dyDescent="0.35">
      <c r="B199" s="170">
        <v>43389.645833333336</v>
      </c>
      <c r="C199" s="238">
        <v>1336.95</v>
      </c>
      <c r="D199" s="241">
        <f t="shared" si="9"/>
        <v>-0.14762511954096266</v>
      </c>
      <c r="E199" s="241">
        <v>2.162533908990177E-2</v>
      </c>
      <c r="F199" s="242">
        <v>195</v>
      </c>
      <c r="G199" s="243">
        <f t="shared" ca="1" si="10"/>
        <v>1.4872824003513259E-2</v>
      </c>
    </row>
    <row r="200" spans="2:7" ht="15" thickBot="1" x14ac:dyDescent="0.35">
      <c r="B200" s="170">
        <v>43265.645833333336</v>
      </c>
      <c r="C200" s="238">
        <v>1568.5</v>
      </c>
      <c r="D200" s="241">
        <f t="shared" si="9"/>
        <v>-0.41526245153593799</v>
      </c>
      <c r="E200" s="241">
        <v>2.1591168137558271E-2</v>
      </c>
      <c r="F200" s="242">
        <v>196</v>
      </c>
      <c r="G200" s="243">
        <f t="shared" ca="1" si="10"/>
        <v>-1.2274926073032082E-2</v>
      </c>
    </row>
    <row r="201" spans="2:7" ht="15" thickBot="1" x14ac:dyDescent="0.35">
      <c r="B201" s="170">
        <v>44186.645833333336</v>
      </c>
      <c r="C201" s="238">
        <v>2682.4</v>
      </c>
      <c r="D201" s="241">
        <f t="shared" si="9"/>
        <v>-0.38692203963156813</v>
      </c>
      <c r="E201" s="241">
        <v>2.1574788155765055E-2</v>
      </c>
      <c r="F201" s="242">
        <v>197</v>
      </c>
      <c r="G201" s="243">
        <f t="shared" ca="1" si="10"/>
        <v>-6.8316369670512163E-3</v>
      </c>
    </row>
    <row r="202" spans="2:7" ht="15" thickBot="1" x14ac:dyDescent="0.35">
      <c r="B202" s="170">
        <v>44830.645833333336</v>
      </c>
      <c r="C202" s="238">
        <v>4375.3</v>
      </c>
      <c r="D202" s="241">
        <f t="shared" si="9"/>
        <v>0.29364457519625092</v>
      </c>
      <c r="E202" s="241">
        <v>2.1502614867388956E-2</v>
      </c>
      <c r="F202" s="242">
        <v>198</v>
      </c>
      <c r="G202" s="243">
        <f t="shared" ca="1" si="10"/>
        <v>4.1035011450087068E-2</v>
      </c>
    </row>
    <row r="203" spans="2:7" ht="15" thickBot="1" x14ac:dyDescent="0.35">
      <c r="B203" s="170">
        <v>45001.645833333336</v>
      </c>
      <c r="C203" s="238">
        <v>3382.15</v>
      </c>
      <c r="D203" s="241">
        <f t="shared" si="9"/>
        <v>-0.32884527612962117</v>
      </c>
      <c r="E203" s="241">
        <v>2.1396430404976869E-2</v>
      </c>
      <c r="F203" s="242">
        <v>199</v>
      </c>
      <c r="G203" s="243">
        <f t="shared" ca="1" si="10"/>
        <v>4.4454112722066598E-2</v>
      </c>
    </row>
    <row r="204" spans="2:7" ht="15" thickBot="1" x14ac:dyDescent="0.35">
      <c r="B204" s="170">
        <v>45461.645833333336</v>
      </c>
      <c r="C204" s="238">
        <v>5039.3</v>
      </c>
      <c r="D204" s="241">
        <f t="shared" si="9"/>
        <v>0.7647079422888361</v>
      </c>
      <c r="E204" s="241">
        <v>2.1362411074403728E-2</v>
      </c>
      <c r="F204" s="242">
        <v>200</v>
      </c>
      <c r="G204" s="243">
        <f t="shared" ca="1" si="10"/>
        <v>-2.3008229296423294E-2</v>
      </c>
    </row>
    <row r="205" spans="2:7" ht="15" thickBot="1" x14ac:dyDescent="0.35">
      <c r="B205" s="170">
        <v>44279.645833333336</v>
      </c>
      <c r="C205" s="238">
        <v>2855.6</v>
      </c>
      <c r="D205" s="241">
        <f t="shared" si="9"/>
        <v>-0.14495313950354821</v>
      </c>
      <c r="E205" s="241">
        <v>2.1316165951359052E-2</v>
      </c>
      <c r="F205" s="242">
        <v>201</v>
      </c>
      <c r="G205" s="243">
        <f t="shared" ca="1" si="10"/>
        <v>6.7289016304390489E-3</v>
      </c>
    </row>
    <row r="206" spans="2:7" ht="15" thickBot="1" x14ac:dyDescent="0.35">
      <c r="B206" s="170">
        <v>44692.645833333336</v>
      </c>
      <c r="C206" s="238">
        <v>3339.7</v>
      </c>
      <c r="D206" s="241">
        <f t="shared" si="9"/>
        <v>-0.29413380958922936</v>
      </c>
      <c r="E206" s="241">
        <v>2.1174456114601968E-2</v>
      </c>
      <c r="F206" s="242">
        <v>202</v>
      </c>
      <c r="G206" s="243">
        <f t="shared" ca="1" si="10"/>
        <v>1.5870913682674288E-3</v>
      </c>
    </row>
    <row r="207" spans="2:7" ht="15" thickBot="1" x14ac:dyDescent="0.35">
      <c r="B207" s="170">
        <v>44568.645833333336</v>
      </c>
      <c r="C207" s="238">
        <v>4731.3500000000004</v>
      </c>
      <c r="D207" s="241">
        <f t="shared" si="9"/>
        <v>0.13358330538118746</v>
      </c>
      <c r="E207" s="241">
        <v>2.1106926654509001E-2</v>
      </c>
      <c r="F207" s="242">
        <v>203</v>
      </c>
      <c r="G207" s="243">
        <f t="shared" ca="1" si="10"/>
        <v>-1.7652080772519344E-2</v>
      </c>
    </row>
    <row r="208" spans="2:7" ht="15" thickBot="1" x14ac:dyDescent="0.35">
      <c r="B208" s="170">
        <v>45581.645833333336</v>
      </c>
      <c r="C208" s="238">
        <v>4173.8</v>
      </c>
      <c r="D208" s="241">
        <f t="shared" si="9"/>
        <v>-0.11076549417304038</v>
      </c>
      <c r="E208" s="241">
        <v>2.1063189568706207E-2</v>
      </c>
      <c r="F208" s="242">
        <v>204</v>
      </c>
      <c r="G208" s="243">
        <f t="shared" ca="1" si="10"/>
        <v>6.9307508891019174E-3</v>
      </c>
    </row>
    <row r="209" spans="2:7" ht="15" thickBot="1" x14ac:dyDescent="0.35">
      <c r="B209" s="170">
        <v>45425.645833333336</v>
      </c>
      <c r="C209" s="238">
        <v>4693.7</v>
      </c>
      <c r="D209" s="241">
        <f t="shared" si="9"/>
        <v>1.9566614173228345</v>
      </c>
      <c r="E209" s="241">
        <v>2.1024352573933203E-2</v>
      </c>
      <c r="F209" s="242">
        <v>205</v>
      </c>
      <c r="G209" s="243">
        <f t="shared" ca="1" si="10"/>
        <v>-3.0425339195603446E-3</v>
      </c>
    </row>
    <row r="210" spans="2:7" ht="15" thickBot="1" x14ac:dyDescent="0.35">
      <c r="B210" s="170">
        <v>43333.645833333336</v>
      </c>
      <c r="C210" s="238">
        <v>1587.5</v>
      </c>
      <c r="D210" s="241">
        <f t="shared" si="9"/>
        <v>-0.19003035791729384</v>
      </c>
      <c r="E210" s="241">
        <v>2.0998810174614975E-2</v>
      </c>
      <c r="F210" s="242">
        <v>206</v>
      </c>
      <c r="G210" s="243">
        <f t="shared" ca="1" si="10"/>
        <v>2.2140228299270825E-4</v>
      </c>
    </row>
    <row r="211" spans="2:7" ht="15" thickBot="1" x14ac:dyDescent="0.35">
      <c r="B211" s="170">
        <v>43782.645833333336</v>
      </c>
      <c r="C211" s="238">
        <v>1959.95</v>
      </c>
      <c r="D211" s="241">
        <f t="shared" si="9"/>
        <v>-0.56170403086040144</v>
      </c>
      <c r="E211" s="241">
        <v>2.0807291666666689E-2</v>
      </c>
      <c r="F211" s="242">
        <v>207</v>
      </c>
      <c r="G211" s="243">
        <f t="shared" ca="1" si="10"/>
        <v>-1.2879352124816846E-2</v>
      </c>
    </row>
    <row r="212" spans="2:7" ht="15" thickBot="1" x14ac:dyDescent="0.35">
      <c r="B212" s="170">
        <v>44844.645833333336</v>
      </c>
      <c r="C212" s="238">
        <v>4471.75</v>
      </c>
      <c r="D212" s="241">
        <f t="shared" si="9"/>
        <v>2.3671548510974736</v>
      </c>
      <c r="E212" s="241">
        <v>2.0691150624272358E-2</v>
      </c>
      <c r="F212" s="242">
        <v>208</v>
      </c>
      <c r="G212" s="243">
        <f t="shared" ca="1" si="10"/>
        <v>-7.2561418768687077E-3</v>
      </c>
    </row>
    <row r="213" spans="2:7" ht="15" thickBot="1" x14ac:dyDescent="0.35">
      <c r="B213" s="170">
        <v>43580.645833333336</v>
      </c>
      <c r="C213" s="238">
        <v>1328.05</v>
      </c>
      <c r="D213" s="241">
        <f t="shared" si="9"/>
        <v>-0.69460988341343388</v>
      </c>
      <c r="E213" s="241">
        <v>2.0674019136917236E-2</v>
      </c>
      <c r="F213" s="242">
        <v>209</v>
      </c>
      <c r="G213" s="243">
        <f t="shared" ca="1" si="10"/>
        <v>-5.0597532439931852E-3</v>
      </c>
    </row>
    <row r="214" spans="2:7" ht="15" thickBot="1" x14ac:dyDescent="0.35">
      <c r="B214" s="170">
        <v>45841.645833333336</v>
      </c>
      <c r="C214" s="239">
        <v>4348.7</v>
      </c>
      <c r="D214" s="241">
        <f t="shared" si="9"/>
        <v>0.10489474954584141</v>
      </c>
      <c r="E214" s="241">
        <v>2.0558071859378902E-2</v>
      </c>
      <c r="F214" s="242">
        <v>210</v>
      </c>
      <c r="G214" s="243">
        <f t="shared" ca="1" si="10"/>
        <v>2.4438016121257809E-2</v>
      </c>
    </row>
    <row r="215" spans="2:7" ht="15" thickBot="1" x14ac:dyDescent="0.35">
      <c r="B215" s="170">
        <v>45212.645833333336</v>
      </c>
      <c r="C215" s="238">
        <v>3935.85</v>
      </c>
      <c r="D215" s="241">
        <f t="shared" si="9"/>
        <v>-2.2039731150066535E-2</v>
      </c>
      <c r="E215" s="241">
        <v>2.0496266334785244E-2</v>
      </c>
      <c r="F215" s="242">
        <v>211</v>
      </c>
      <c r="G215" s="243">
        <f t="shared" ca="1" si="10"/>
        <v>3.9366744056217678E-2</v>
      </c>
    </row>
    <row r="216" spans="2:7" ht="15" thickBot="1" x14ac:dyDescent="0.35">
      <c r="B216" s="170">
        <v>44679.645833333336</v>
      </c>
      <c r="C216" s="238">
        <v>4024.55</v>
      </c>
      <c r="D216" s="241">
        <f t="shared" si="9"/>
        <v>0.34852901755796811</v>
      </c>
      <c r="E216" s="241">
        <v>2.0358750079229306E-2</v>
      </c>
      <c r="F216" s="242">
        <v>212</v>
      </c>
      <c r="G216" s="243">
        <f t="shared" ca="1" si="10"/>
        <v>-7.042846528412838E-3</v>
      </c>
    </row>
    <row r="217" spans="2:7" ht="15" thickBot="1" x14ac:dyDescent="0.35">
      <c r="B217" s="170">
        <v>44235.645833333336</v>
      </c>
      <c r="C217" s="238">
        <v>2984.4</v>
      </c>
      <c r="D217" s="241">
        <f t="shared" si="9"/>
        <v>-0.28459104420366288</v>
      </c>
      <c r="E217" s="241">
        <v>2.0307692307692339E-2</v>
      </c>
      <c r="F217" s="242">
        <v>213</v>
      </c>
      <c r="G217" s="243">
        <f t="shared" ca="1" si="10"/>
        <v>-8.7231552715545529E-3</v>
      </c>
    </row>
    <row r="218" spans="2:7" ht="15" thickBot="1" x14ac:dyDescent="0.35">
      <c r="B218" s="170">
        <v>44662.645833333336</v>
      </c>
      <c r="C218" s="238">
        <v>4171.6000000000004</v>
      </c>
      <c r="D218" s="241">
        <f t="shared" si="9"/>
        <v>2.1337139423076925</v>
      </c>
      <c r="E218" s="241">
        <v>2.0275393156749224E-2</v>
      </c>
      <c r="F218" s="242">
        <v>214</v>
      </c>
      <c r="G218" s="243">
        <f t="shared" ca="1" si="10"/>
        <v>3.793003915125566E-2</v>
      </c>
    </row>
    <row r="219" spans="2:7" ht="15" thickBot="1" x14ac:dyDescent="0.35">
      <c r="B219" s="170">
        <v>43378.645833333336</v>
      </c>
      <c r="C219" s="238">
        <v>1331.2</v>
      </c>
      <c r="D219" s="241">
        <f t="shared" si="9"/>
        <v>-8.4393699704243791E-2</v>
      </c>
      <c r="E219" s="241">
        <v>2.0154801134186492E-2</v>
      </c>
      <c r="F219" s="242">
        <v>215</v>
      </c>
      <c r="G219" s="243">
        <f t="shared" ca="1" si="10"/>
        <v>-7.3716411704144772E-4</v>
      </c>
    </row>
    <row r="220" spans="2:7" ht="15" thickBot="1" x14ac:dyDescent="0.35">
      <c r="B220" s="170">
        <v>43231.645833333336</v>
      </c>
      <c r="C220" s="238">
        <v>1453.9</v>
      </c>
      <c r="D220" s="241">
        <f t="shared" si="9"/>
        <v>-0.3333486175432161</v>
      </c>
      <c r="E220" s="241">
        <v>2.013752455795681E-2</v>
      </c>
      <c r="F220" s="242">
        <v>216</v>
      </c>
      <c r="G220" s="243">
        <f t="shared" ca="1" si="10"/>
        <v>-2.5802722363450853E-2</v>
      </c>
    </row>
    <row r="221" spans="2:7" ht="15" thickBot="1" x14ac:dyDescent="0.35">
      <c r="B221" s="170">
        <v>43936.645833333336</v>
      </c>
      <c r="C221" s="238">
        <v>2180.9</v>
      </c>
      <c r="D221" s="241">
        <f t="shared" si="9"/>
        <v>0.44939190536319534</v>
      </c>
      <c r="E221" s="241">
        <v>2.0137053581869721E-2</v>
      </c>
      <c r="F221" s="242">
        <v>217</v>
      </c>
      <c r="G221" s="243">
        <f t="shared" ca="1" si="10"/>
        <v>2.4633682354818767E-3</v>
      </c>
    </row>
    <row r="222" spans="2:7" ht="15" thickBot="1" x14ac:dyDescent="0.35">
      <c r="B222" s="170">
        <v>43696.645833333336</v>
      </c>
      <c r="C222" s="238">
        <v>1504.7</v>
      </c>
      <c r="D222" s="241">
        <f t="shared" si="9"/>
        <v>-0.65295908482863607</v>
      </c>
      <c r="E222" s="241">
        <v>2.0135593220339015E-2</v>
      </c>
      <c r="F222" s="242">
        <v>218</v>
      </c>
      <c r="G222" s="243">
        <f t="shared" ca="1" si="10"/>
        <v>-3.6732438179078966E-2</v>
      </c>
    </row>
    <row r="223" spans="2:7" ht="15" thickBot="1" x14ac:dyDescent="0.35">
      <c r="B223" s="170">
        <v>45831.645833333336</v>
      </c>
      <c r="C223" s="239">
        <v>4335.8</v>
      </c>
      <c r="D223" s="241">
        <f t="shared" si="9"/>
        <v>0.35907844212835988</v>
      </c>
      <c r="E223" s="241">
        <v>2.0044229050016425E-2</v>
      </c>
      <c r="F223" s="242">
        <v>219</v>
      </c>
      <c r="G223" s="243">
        <f t="shared" ca="1" si="10"/>
        <v>-2.7177747774650807E-2</v>
      </c>
    </row>
    <row r="224" spans="2:7" ht="15" thickBot="1" x14ac:dyDescent="0.35">
      <c r="B224" s="170">
        <v>44244.645833333336</v>
      </c>
      <c r="C224" s="238">
        <v>3190.25</v>
      </c>
      <c r="D224" s="241">
        <f t="shared" si="9"/>
        <v>-0.16711266594436539</v>
      </c>
      <c r="E224" s="241">
        <v>1.9982415474382544E-2</v>
      </c>
      <c r="F224" s="242">
        <v>220</v>
      </c>
      <c r="G224" s="243">
        <f t="shared" ca="1" si="10"/>
        <v>2.4051749669567416E-2</v>
      </c>
    </row>
    <row r="225" spans="2:7" ht="15" thickBot="1" x14ac:dyDescent="0.35">
      <c r="B225" s="170">
        <v>44721.645833333336</v>
      </c>
      <c r="C225" s="238">
        <v>3830.35</v>
      </c>
      <c r="D225" s="241">
        <f t="shared" si="9"/>
        <v>-6.1924471003134779E-2</v>
      </c>
      <c r="E225" s="241">
        <v>1.989003235125739E-2</v>
      </c>
      <c r="F225" s="242">
        <v>221</v>
      </c>
      <c r="G225" s="243">
        <f t="shared" ca="1" si="10"/>
        <v>3.5798132229362387E-2</v>
      </c>
    </row>
    <row r="226" spans="2:7" ht="15" thickBot="1" x14ac:dyDescent="0.35">
      <c r="B226" s="170">
        <v>45744.645833333336</v>
      </c>
      <c r="C226" s="238">
        <v>4083.2</v>
      </c>
      <c r="D226" s="241">
        <f t="shared" si="9"/>
        <v>1.5446047424672045</v>
      </c>
      <c r="E226" s="241">
        <v>1.9882106104505921E-2</v>
      </c>
      <c r="F226" s="242">
        <v>222</v>
      </c>
      <c r="G226" s="243">
        <f t="shared" ca="1" si="10"/>
        <v>-4.1158907367697575E-2</v>
      </c>
    </row>
    <row r="227" spans="2:7" ht="15" thickBot="1" x14ac:dyDescent="0.35">
      <c r="B227" s="170">
        <v>43346.645833333336</v>
      </c>
      <c r="C227" s="238">
        <v>1604.65</v>
      </c>
      <c r="D227" s="241">
        <f t="shared" si="9"/>
        <v>-0.68970384909162985</v>
      </c>
      <c r="E227" s="241">
        <v>1.9861446548875047E-2</v>
      </c>
      <c r="F227" s="242">
        <v>223</v>
      </c>
      <c r="G227" s="243">
        <f t="shared" ca="1" si="10"/>
        <v>-2.2380924919391449E-3</v>
      </c>
    </row>
    <row r="228" spans="2:7" ht="15" thickBot="1" x14ac:dyDescent="0.35">
      <c r="B228" s="170">
        <v>45498.645833333336</v>
      </c>
      <c r="C228" s="238">
        <v>5171.3500000000004</v>
      </c>
      <c r="D228" s="241">
        <f t="shared" si="9"/>
        <v>0.41419293088124709</v>
      </c>
      <c r="E228" s="241">
        <v>1.9668349238898965E-2</v>
      </c>
      <c r="F228" s="242">
        <v>224</v>
      </c>
      <c r="G228" s="243">
        <f t="shared" ca="1" si="10"/>
        <v>-5.2028865837276318E-2</v>
      </c>
    </row>
    <row r="229" spans="2:7" ht="15" thickBot="1" x14ac:dyDescent="0.35">
      <c r="B229" s="170">
        <v>44705.645833333336</v>
      </c>
      <c r="C229" s="238">
        <v>3656.75</v>
      </c>
      <c r="D229" s="241">
        <f t="shared" si="9"/>
        <v>1.3564570176569144</v>
      </c>
      <c r="E229" s="241">
        <v>1.9601555856069423E-2</v>
      </c>
      <c r="F229" s="242">
        <v>225</v>
      </c>
      <c r="G229" s="243">
        <f t="shared" ca="1" si="10"/>
        <v>2.1101944605477756E-2</v>
      </c>
    </row>
    <row r="230" spans="2:7" ht="15" thickBot="1" x14ac:dyDescent="0.35">
      <c r="B230" s="170">
        <v>43299.645833333336</v>
      </c>
      <c r="C230" s="238">
        <v>1551.8</v>
      </c>
      <c r="D230" s="241">
        <f t="shared" si="9"/>
        <v>-2.4485305673424513E-2</v>
      </c>
      <c r="E230" s="241">
        <v>1.9579500657030194E-2</v>
      </c>
      <c r="F230" s="242">
        <v>226</v>
      </c>
      <c r="G230" s="243">
        <f t="shared" ca="1" si="10"/>
        <v>3.2154876261108627E-2</v>
      </c>
    </row>
    <row r="231" spans="2:7" ht="15" thickBot="1" x14ac:dyDescent="0.35">
      <c r="B231" s="170">
        <v>43466.645833333336</v>
      </c>
      <c r="C231" s="238">
        <v>1590.75</v>
      </c>
      <c r="D231" s="241">
        <f t="shared" si="9"/>
        <v>-0.17018779342723006</v>
      </c>
      <c r="E231" s="241">
        <v>1.954814933504246E-2</v>
      </c>
      <c r="F231" s="242">
        <v>227</v>
      </c>
      <c r="G231" s="243">
        <f t="shared" ca="1" si="10"/>
        <v>1.7618361726292917E-2</v>
      </c>
    </row>
    <row r="232" spans="2:7" ht="15" thickBot="1" x14ac:dyDescent="0.35">
      <c r="B232" s="170">
        <v>43731.645833333336</v>
      </c>
      <c r="C232" s="238">
        <v>1917</v>
      </c>
      <c r="D232" s="241">
        <f t="shared" si="9"/>
        <v>0.34620786516853935</v>
      </c>
      <c r="E232" s="241">
        <v>1.9545273234942161E-2</v>
      </c>
      <c r="F232" s="242">
        <v>228</v>
      </c>
      <c r="G232" s="243">
        <f t="shared" ca="1" si="10"/>
        <v>4.4918060642531885E-2</v>
      </c>
    </row>
    <row r="233" spans="2:7" ht="15" thickBot="1" x14ac:dyDescent="0.35">
      <c r="B233" s="170">
        <v>43410.645833333336</v>
      </c>
      <c r="C233" s="238">
        <v>1424</v>
      </c>
      <c r="D233" s="241">
        <f t="shared" si="9"/>
        <v>-0.70996191213312421</v>
      </c>
      <c r="E233" s="241">
        <v>1.950957580096653E-2</v>
      </c>
      <c r="F233" s="242">
        <v>229</v>
      </c>
      <c r="G233" s="243">
        <f t="shared" ca="1" si="10"/>
        <v>-3.888163471922587E-3</v>
      </c>
    </row>
    <row r="234" spans="2:7" ht="15" thickBot="1" x14ac:dyDescent="0.35">
      <c r="B234" s="170">
        <v>45506.645833333336</v>
      </c>
      <c r="C234" s="238">
        <v>4909.7</v>
      </c>
      <c r="D234" s="241">
        <f t="shared" si="9"/>
        <v>0.23869714401049549</v>
      </c>
      <c r="E234" s="241">
        <v>1.9149134915774944E-2</v>
      </c>
      <c r="F234" s="242">
        <v>230</v>
      </c>
      <c r="G234" s="243">
        <f t="shared" ca="1" si="10"/>
        <v>-2.3683758105553575E-2</v>
      </c>
    </row>
    <row r="235" spans="2:7" ht="15" thickBot="1" x14ac:dyDescent="0.35">
      <c r="B235" s="170">
        <v>45105.645833333336</v>
      </c>
      <c r="C235" s="238">
        <v>3963.6</v>
      </c>
      <c r="D235" s="241">
        <f t="shared" si="9"/>
        <v>0.17481771296460955</v>
      </c>
      <c r="E235" s="241">
        <v>1.912989817957423E-2</v>
      </c>
      <c r="F235" s="242">
        <v>231</v>
      </c>
      <c r="G235" s="243">
        <f t="shared" ca="1" si="10"/>
        <v>-5.0866672738405609E-3</v>
      </c>
    </row>
    <row r="236" spans="2:7" ht="15" thickBot="1" x14ac:dyDescent="0.35">
      <c r="B236" s="170">
        <v>44369.645833333336</v>
      </c>
      <c r="C236" s="238">
        <v>3373.8</v>
      </c>
      <c r="D236" s="241">
        <f t="shared" si="9"/>
        <v>1.4244906758650429</v>
      </c>
      <c r="E236" s="241">
        <v>1.8997855567972483E-2</v>
      </c>
      <c r="F236" s="242">
        <v>232</v>
      </c>
      <c r="G236" s="243">
        <f t="shared" ca="1" si="10"/>
        <v>-1.6196276475135378E-2</v>
      </c>
    </row>
    <row r="237" spans="2:7" ht="15" thickBot="1" x14ac:dyDescent="0.35">
      <c r="B237" s="170">
        <v>43489.645833333336</v>
      </c>
      <c r="C237" s="238">
        <v>1391.55</v>
      </c>
      <c r="D237" s="241">
        <f t="shared" si="9"/>
        <v>-4.6948839120608148E-2</v>
      </c>
      <c r="E237" s="241">
        <v>1.8928022259647001E-2</v>
      </c>
      <c r="F237" s="242">
        <v>233</v>
      </c>
      <c r="G237" s="243">
        <f t="shared" ca="1" si="10"/>
        <v>-6.2186740056480441E-3</v>
      </c>
    </row>
    <row r="238" spans="2:7" ht="15" thickBot="1" x14ac:dyDescent="0.35">
      <c r="B238" s="170">
        <v>43649.645833333336</v>
      </c>
      <c r="C238" s="238">
        <v>1460.1</v>
      </c>
      <c r="D238" s="241">
        <f t="shared" si="9"/>
        <v>-0.71910620328777142</v>
      </c>
      <c r="E238" s="241">
        <v>1.8911374738311171E-2</v>
      </c>
      <c r="F238" s="242">
        <v>234</v>
      </c>
      <c r="G238" s="243">
        <f t="shared" ca="1" si="10"/>
        <v>-5.7353792727097537E-3</v>
      </c>
    </row>
    <row r="239" spans="2:7" ht="15" thickBot="1" x14ac:dyDescent="0.35">
      <c r="B239" s="170">
        <v>45561.645833333336</v>
      </c>
      <c r="C239" s="238">
        <v>5198.05</v>
      </c>
      <c r="D239" s="241">
        <f t="shared" si="9"/>
        <v>0.5599453814296862</v>
      </c>
      <c r="E239" s="241">
        <v>1.8766046684828411E-2</v>
      </c>
      <c r="F239" s="242">
        <v>235</v>
      </c>
      <c r="G239" s="243">
        <f t="shared" ca="1" si="10"/>
        <v>3.0979748326720749E-2</v>
      </c>
    </row>
    <row r="240" spans="2:7" ht="15" thickBot="1" x14ac:dyDescent="0.35">
      <c r="B240" s="170">
        <v>44375.645833333336</v>
      </c>
      <c r="C240" s="238">
        <v>3332.2</v>
      </c>
      <c r="D240" s="241">
        <f t="shared" si="9"/>
        <v>0.14652399057236737</v>
      </c>
      <c r="E240" s="241">
        <v>1.8756592323096417E-2</v>
      </c>
      <c r="F240" s="242">
        <v>236</v>
      </c>
      <c r="G240" s="243">
        <f t="shared" ca="1" si="10"/>
        <v>-1.3659567228032066E-2</v>
      </c>
    </row>
    <row r="241" spans="2:7" ht="15" thickBot="1" x14ac:dyDescent="0.35">
      <c r="B241" s="170">
        <v>44315.645833333336</v>
      </c>
      <c r="C241" s="238">
        <v>2906.35</v>
      </c>
      <c r="D241" s="241">
        <f t="shared" si="9"/>
        <v>-5.3614457831325332E-2</v>
      </c>
      <c r="E241" s="241">
        <v>1.8735321953100289E-2</v>
      </c>
      <c r="F241" s="242">
        <v>237</v>
      </c>
      <c r="G241" s="243">
        <f t="shared" ca="1" si="10"/>
        <v>-1.6805028086419333E-2</v>
      </c>
    </row>
    <row r="242" spans="2:7" ht="15" thickBot="1" x14ac:dyDescent="0.35">
      <c r="B242" s="170">
        <v>44271.645833333336</v>
      </c>
      <c r="C242" s="238">
        <v>3071</v>
      </c>
      <c r="D242" s="241">
        <f t="shared" si="9"/>
        <v>-0.38912316995544238</v>
      </c>
      <c r="E242" s="241">
        <v>1.8624475512877953E-2</v>
      </c>
      <c r="F242" s="242">
        <v>238</v>
      </c>
      <c r="G242" s="243">
        <f t="shared" ca="1" si="10"/>
        <v>-8.0509120979360901E-3</v>
      </c>
    </row>
    <row r="243" spans="2:7" ht="15" thickBot="1" x14ac:dyDescent="0.35">
      <c r="B243" s="170">
        <v>45503.645833333336</v>
      </c>
      <c r="C243" s="238">
        <v>5027.2</v>
      </c>
      <c r="D243" s="241">
        <f t="shared" si="9"/>
        <v>2.6082540821819484</v>
      </c>
      <c r="E243" s="241">
        <v>1.8486816114425795E-2</v>
      </c>
      <c r="F243" s="242">
        <v>239</v>
      </c>
      <c r="G243" s="243">
        <f t="shared" ca="1" si="10"/>
        <v>-8.4794920152331203E-3</v>
      </c>
    </row>
    <row r="244" spans="2:7" ht="15" thickBot="1" x14ac:dyDescent="0.35">
      <c r="B244" s="170">
        <v>43481.645833333336</v>
      </c>
      <c r="C244" s="238">
        <v>1393.25</v>
      </c>
      <c r="D244" s="241">
        <f t="shared" si="9"/>
        <v>-4.7350427350427347E-2</v>
      </c>
      <c r="E244" s="241">
        <v>1.8457602339181287E-2</v>
      </c>
      <c r="F244" s="242">
        <v>240</v>
      </c>
      <c r="G244" s="243">
        <f t="shared" ca="1" si="10"/>
        <v>6.0588096049134354E-3</v>
      </c>
    </row>
    <row r="245" spans="2:7" ht="15" thickBot="1" x14ac:dyDescent="0.35">
      <c r="B245" s="170">
        <v>43406.645833333336</v>
      </c>
      <c r="C245" s="238">
        <v>1462.5</v>
      </c>
      <c r="D245" s="241">
        <f t="shared" si="9"/>
        <v>-0.6149187708997077</v>
      </c>
      <c r="E245" s="241">
        <v>1.8418578740294591E-2</v>
      </c>
      <c r="F245" s="242">
        <v>241</v>
      </c>
      <c r="G245" s="243">
        <f t="shared" ca="1" si="10"/>
        <v>-3.1599381600341314E-2</v>
      </c>
    </row>
    <row r="246" spans="2:7" ht="15" thickBot="1" x14ac:dyDescent="0.35">
      <c r="B246" s="170">
        <v>45187.645833333336</v>
      </c>
      <c r="C246" s="238">
        <v>3797.9</v>
      </c>
      <c r="D246" s="241">
        <f t="shared" si="9"/>
        <v>-0.12047983511457443</v>
      </c>
      <c r="E246" s="241">
        <v>1.8367565828283368E-2</v>
      </c>
      <c r="F246" s="242">
        <v>242</v>
      </c>
      <c r="G246" s="243">
        <f t="shared" ca="1" si="10"/>
        <v>-1.5301402803403768E-2</v>
      </c>
    </row>
    <row r="247" spans="2:7" ht="15" thickBot="1" x14ac:dyDescent="0.35">
      <c r="B247" s="170">
        <v>44832.645833333336</v>
      </c>
      <c r="C247" s="238">
        <v>4318.1499999999996</v>
      </c>
      <c r="D247" s="241">
        <f t="shared" si="9"/>
        <v>8.1375838926174449E-2</v>
      </c>
      <c r="E247" s="241">
        <v>1.8299513034865631E-2</v>
      </c>
      <c r="F247" s="242">
        <v>243</v>
      </c>
      <c r="G247" s="243">
        <f t="shared" ca="1" si="10"/>
        <v>5.327040053586856E-2</v>
      </c>
    </row>
    <row r="248" spans="2:7" ht="15" thickBot="1" x14ac:dyDescent="0.35">
      <c r="B248" s="170">
        <v>44916.645833333336</v>
      </c>
      <c r="C248" s="238">
        <v>3993.2</v>
      </c>
      <c r="D248" s="241">
        <f t="shared" si="9"/>
        <v>1.1077300678261326</v>
      </c>
      <c r="E248" s="241">
        <v>1.8270836786474641E-2</v>
      </c>
      <c r="F248" s="242">
        <v>244</v>
      </c>
      <c r="G248" s="243">
        <f t="shared" ca="1" si="10"/>
        <v>2.9640451190611601E-2</v>
      </c>
    </row>
    <row r="249" spans="2:7" ht="15" thickBot="1" x14ac:dyDescent="0.35">
      <c r="B249" s="170">
        <v>43735.645833333336</v>
      </c>
      <c r="C249" s="238">
        <v>1894.55</v>
      </c>
      <c r="D249" s="241">
        <f t="shared" si="9"/>
        <v>-0.50302322836194802</v>
      </c>
      <c r="E249" s="241">
        <v>1.824680210684728E-2</v>
      </c>
      <c r="F249" s="242">
        <v>245</v>
      </c>
      <c r="G249" s="243">
        <f t="shared" ca="1" si="10"/>
        <v>-1.1164712436405218E-2</v>
      </c>
    </row>
    <row r="250" spans="2:7" ht="15" thickBot="1" x14ac:dyDescent="0.35">
      <c r="B250" s="170">
        <v>45099.645833333336</v>
      </c>
      <c r="C250" s="238">
        <v>3812.15</v>
      </c>
      <c r="D250" s="241">
        <f t="shared" si="9"/>
        <v>0.61415505779734958</v>
      </c>
      <c r="E250" s="241">
        <v>1.8188859657322927E-2</v>
      </c>
      <c r="F250" s="242">
        <v>246</v>
      </c>
      <c r="G250" s="243">
        <f t="shared" ca="1" si="10"/>
        <v>2.0093575529047832E-2</v>
      </c>
    </row>
    <row r="251" spans="2:7" ht="15" thickBot="1" x14ac:dyDescent="0.35">
      <c r="B251" s="170">
        <v>44019.645833333336</v>
      </c>
      <c r="C251" s="238">
        <v>2361.6999999999998</v>
      </c>
      <c r="D251" s="241">
        <f t="shared" si="9"/>
        <v>-0.41474717186861121</v>
      </c>
      <c r="E251" s="241">
        <v>1.8171628117522636E-2</v>
      </c>
      <c r="F251" s="242">
        <v>247</v>
      </c>
      <c r="G251" s="243">
        <f t="shared" ca="1" si="10"/>
        <v>6.2657683110630795E-3</v>
      </c>
    </row>
    <row r="252" spans="2:7" ht="15" thickBot="1" x14ac:dyDescent="0.35">
      <c r="B252" s="170">
        <v>44763.645833333336</v>
      </c>
      <c r="C252" s="238">
        <v>4035.35</v>
      </c>
      <c r="D252" s="241">
        <f t="shared" si="9"/>
        <v>1.6975166282295528</v>
      </c>
      <c r="E252" s="241">
        <v>1.8153605490235609E-2</v>
      </c>
      <c r="F252" s="242">
        <v>248</v>
      </c>
      <c r="G252" s="243">
        <f t="shared" ca="1" si="10"/>
        <v>-2.1573457829749555E-2</v>
      </c>
    </row>
    <row r="253" spans="2:7" ht="15" thickBot="1" x14ac:dyDescent="0.35">
      <c r="B253" s="170">
        <v>43521.645833333336</v>
      </c>
      <c r="C253" s="238">
        <v>1495.95</v>
      </c>
      <c r="D253" s="241">
        <f t="shared" si="9"/>
        <v>-5.0793147208121801E-2</v>
      </c>
      <c r="E253" s="241">
        <v>1.8103242930547617E-2</v>
      </c>
      <c r="F253" s="242">
        <v>249</v>
      </c>
      <c r="G253" s="243">
        <f t="shared" ca="1" si="10"/>
        <v>9.4313103747155329E-3</v>
      </c>
    </row>
    <row r="254" spans="2:7" ht="15" thickBot="1" x14ac:dyDescent="0.35">
      <c r="B254" s="170">
        <v>43294.645833333336</v>
      </c>
      <c r="C254" s="238">
        <v>1576</v>
      </c>
      <c r="D254" s="241">
        <f t="shared" si="9"/>
        <v>6.6666666666666666E-2</v>
      </c>
      <c r="E254" s="241">
        <v>1.8054972384612931E-2</v>
      </c>
      <c r="F254" s="242">
        <v>250</v>
      </c>
      <c r="G254" s="243">
        <f t="shared" ca="1" si="10"/>
        <v>-1.9447958614466545E-2</v>
      </c>
    </row>
    <row r="255" spans="2:7" ht="15" thickBot="1" x14ac:dyDescent="0.35">
      <c r="B255" s="170">
        <v>43504.645833333336</v>
      </c>
      <c r="C255" s="238">
        <v>1477.5</v>
      </c>
      <c r="D255" s="241">
        <f t="shared" si="9"/>
        <v>-0.66879252177226822</v>
      </c>
      <c r="E255" s="241">
        <v>1.8052780265968474E-2</v>
      </c>
      <c r="F255" s="242">
        <v>251</v>
      </c>
      <c r="G255" s="243">
        <f t="shared" ca="1" si="10"/>
        <v>-5.1078414411733133E-3</v>
      </c>
    </row>
    <row r="256" spans="2:7" ht="15" thickBot="1" x14ac:dyDescent="0.35">
      <c r="B256" s="170">
        <v>44791.645833333336</v>
      </c>
      <c r="C256" s="238">
        <v>4460.95</v>
      </c>
      <c r="D256" s="241">
        <f t="shared" si="9"/>
        <v>2.2444452525546383</v>
      </c>
      <c r="E256" s="241">
        <v>1.8016887266088504E-2</v>
      </c>
      <c r="F256" s="242">
        <v>252</v>
      </c>
      <c r="G256" s="243">
        <f t="shared" ca="1" si="10"/>
        <v>3.2952984261958237E-2</v>
      </c>
    </row>
    <row r="257" spans="2:7" ht="15" thickBot="1" x14ac:dyDescent="0.35">
      <c r="B257" s="170">
        <v>43655.645833333336</v>
      </c>
      <c r="C257" s="238">
        <v>1374.95</v>
      </c>
      <c r="D257" s="241">
        <f t="shared" si="9"/>
        <v>-0.69742416073413072</v>
      </c>
      <c r="E257" s="241">
        <v>1.7878294344092459E-2</v>
      </c>
      <c r="F257" s="242">
        <v>253</v>
      </c>
      <c r="G257" s="243">
        <f t="shared" ca="1" si="10"/>
        <v>-2.7626381820759091E-2</v>
      </c>
    </row>
    <row r="258" spans="2:7" ht="15" thickBot="1" x14ac:dyDescent="0.35">
      <c r="B258" s="170">
        <v>45572.645833333336</v>
      </c>
      <c r="C258" s="238">
        <v>4544.1499999999996</v>
      </c>
      <c r="D258" s="241">
        <f t="shared" si="9"/>
        <v>1.8474793996929535</v>
      </c>
      <c r="E258" s="241">
        <v>1.7624203607699073E-2</v>
      </c>
      <c r="F258" s="242">
        <v>254</v>
      </c>
      <c r="G258" s="243">
        <f t="shared" ca="1" si="10"/>
        <v>-2.4080009835647866E-2</v>
      </c>
    </row>
    <row r="259" spans="2:7" ht="15" thickBot="1" x14ac:dyDescent="0.35">
      <c r="B259" s="170">
        <v>43264.645833333336</v>
      </c>
      <c r="C259" s="238">
        <v>1595.85</v>
      </c>
      <c r="D259" s="241">
        <f t="shared" si="9"/>
        <v>0.16843608141748423</v>
      </c>
      <c r="E259" s="241">
        <v>1.7437041759642911E-2</v>
      </c>
      <c r="F259" s="242">
        <v>255</v>
      </c>
      <c r="G259" s="243">
        <f t="shared" ca="1" si="10"/>
        <v>-1.8706140332603222E-4</v>
      </c>
    </row>
    <row r="260" spans="2:7" ht="15" thickBot="1" x14ac:dyDescent="0.35">
      <c r="B260" s="170">
        <v>43175.645833333336</v>
      </c>
      <c r="C260" s="238">
        <v>1365.8</v>
      </c>
      <c r="D260" s="241">
        <f t="shared" si="9"/>
        <v>-0.68390844499988424</v>
      </c>
      <c r="E260" s="241">
        <v>1.7317790771293435E-2</v>
      </c>
      <c r="F260" s="242">
        <v>256</v>
      </c>
      <c r="G260" s="243">
        <f t="shared" ca="1" si="10"/>
        <v>-9.9720890967307328E-3</v>
      </c>
    </row>
    <row r="261" spans="2:7" ht="15" thickBot="1" x14ac:dyDescent="0.35">
      <c r="B261" s="170">
        <v>44865.645833333336</v>
      </c>
      <c r="C261" s="238">
        <v>4320.8999999999996</v>
      </c>
      <c r="D261" s="241">
        <f t="shared" ref="D261:D324" si="11">(C261-C262)/C262</f>
        <v>0.87177543373259114</v>
      </c>
      <c r="E261" s="241">
        <v>1.7280753384343647E-2</v>
      </c>
      <c r="F261" s="242">
        <v>257</v>
      </c>
      <c r="G261" s="243">
        <f t="shared" ca="1" si="10"/>
        <v>-7.9042717905680737E-4</v>
      </c>
    </row>
    <row r="262" spans="2:7" ht="15" thickBot="1" x14ac:dyDescent="0.35">
      <c r="B262" s="170">
        <v>43979.645833333336</v>
      </c>
      <c r="C262" s="238">
        <v>2308.4499999999998</v>
      </c>
      <c r="D262" s="241">
        <f t="shared" si="11"/>
        <v>-0.41173997247846694</v>
      </c>
      <c r="E262" s="241">
        <v>1.7229603190340809E-2</v>
      </c>
      <c r="F262" s="242">
        <v>258</v>
      </c>
      <c r="G262" s="243">
        <f t="shared" ref="G262:G325" ca="1" si="12">_xlfn.NORM.INV(RAND(),$M$7,$M$8)</f>
        <v>-3.7895658505796875E-2</v>
      </c>
    </row>
    <row r="263" spans="2:7" ht="15" thickBot="1" x14ac:dyDescent="0.35">
      <c r="B263" s="170">
        <v>44930.645833333336</v>
      </c>
      <c r="C263" s="238">
        <v>3924.2</v>
      </c>
      <c r="D263" s="241">
        <f t="shared" si="11"/>
        <v>-1.5726504301587767E-2</v>
      </c>
      <c r="E263" s="241">
        <v>1.7211882420032049E-2</v>
      </c>
      <c r="F263" s="242">
        <v>259</v>
      </c>
      <c r="G263" s="243">
        <f t="shared" ca="1" si="12"/>
        <v>1.8446065980044814E-2</v>
      </c>
    </row>
    <row r="264" spans="2:7" ht="15" thickBot="1" x14ac:dyDescent="0.35">
      <c r="B264" s="170">
        <v>45097.645833333336</v>
      </c>
      <c r="C264" s="238">
        <v>3986.9</v>
      </c>
      <c r="D264" s="241">
        <f t="shared" si="11"/>
        <v>-0.20163002122632065</v>
      </c>
      <c r="E264" s="241">
        <v>1.7196070927414233E-2</v>
      </c>
      <c r="F264" s="242">
        <v>260</v>
      </c>
      <c r="G264" s="243">
        <f t="shared" ca="1" si="12"/>
        <v>4.912506979316323E-3</v>
      </c>
    </row>
    <row r="265" spans="2:7" ht="15" thickBot="1" x14ac:dyDescent="0.35">
      <c r="B265" s="170">
        <v>45505.645833333336</v>
      </c>
      <c r="C265" s="238">
        <v>4993.8</v>
      </c>
      <c r="D265" s="241">
        <f t="shared" si="11"/>
        <v>-3.9889903865331687E-3</v>
      </c>
      <c r="E265" s="241">
        <v>1.712935617247497E-2</v>
      </c>
      <c r="F265" s="242">
        <v>261</v>
      </c>
      <c r="G265" s="243">
        <f t="shared" ca="1" si="12"/>
        <v>-1.241948189816066E-2</v>
      </c>
    </row>
    <row r="266" spans="2:7" ht="15" thickBot="1" x14ac:dyDescent="0.35">
      <c r="B266" s="170">
        <v>45516.645833333336</v>
      </c>
      <c r="C266" s="238">
        <v>5013.8</v>
      </c>
      <c r="D266" s="241">
        <f t="shared" si="11"/>
        <v>6.7265528545276509E-2</v>
      </c>
      <c r="E266" s="241">
        <v>1.7101125874835213E-2</v>
      </c>
      <c r="F266" s="242">
        <v>262</v>
      </c>
      <c r="G266" s="243">
        <f t="shared" ca="1" si="12"/>
        <v>-3.0553602251372759E-2</v>
      </c>
    </row>
    <row r="267" spans="2:7" ht="15" thickBot="1" x14ac:dyDescent="0.35">
      <c r="B267" s="170">
        <v>44547.645833333336</v>
      </c>
      <c r="C267" s="238">
        <v>4697.8</v>
      </c>
      <c r="D267" s="241">
        <f t="shared" si="11"/>
        <v>-8.1177816677586889E-2</v>
      </c>
      <c r="E267" s="241">
        <v>1.7070979335130358E-2</v>
      </c>
      <c r="F267" s="242">
        <v>263</v>
      </c>
      <c r="G267" s="243">
        <f t="shared" ca="1" si="12"/>
        <v>1.5112681055208721E-2</v>
      </c>
    </row>
    <row r="268" spans="2:7" ht="15" thickBot="1" x14ac:dyDescent="0.35">
      <c r="B268" s="170">
        <v>45502.645833333336</v>
      </c>
      <c r="C268" s="238">
        <v>5112.8500000000004</v>
      </c>
      <c r="D268" s="241">
        <f t="shared" si="11"/>
        <v>0.19811829216853372</v>
      </c>
      <c r="E268" s="241">
        <v>1.7037316995544349E-2</v>
      </c>
      <c r="F268" s="242">
        <v>264</v>
      </c>
      <c r="G268" s="243">
        <f t="shared" ca="1" si="12"/>
        <v>2.6890303892941388E-2</v>
      </c>
    </row>
    <row r="269" spans="2:7" ht="15" thickBot="1" x14ac:dyDescent="0.35">
      <c r="B269" s="170">
        <v>45869.645833333336</v>
      </c>
      <c r="C269" s="239">
        <v>4267.3999999999996</v>
      </c>
      <c r="D269" s="241">
        <f t="shared" si="11"/>
        <v>1.5911712915173959</v>
      </c>
      <c r="E269" s="241">
        <v>1.7016205910390762E-2</v>
      </c>
      <c r="F269" s="242">
        <v>265</v>
      </c>
      <c r="G269" s="243">
        <f t="shared" ca="1" si="12"/>
        <v>7.6129375435043537E-3</v>
      </c>
    </row>
    <row r="270" spans="2:7" ht="15" thickBot="1" x14ac:dyDescent="0.35">
      <c r="B270" s="170">
        <v>43726.645833333336</v>
      </c>
      <c r="C270" s="238">
        <v>1646.9</v>
      </c>
      <c r="D270" s="241">
        <f t="shared" si="11"/>
        <v>0.12508539417953282</v>
      </c>
      <c r="E270" s="241">
        <v>1.7012999042825938E-2</v>
      </c>
      <c r="F270" s="242">
        <v>266</v>
      </c>
      <c r="G270" s="243">
        <f t="shared" ca="1" si="12"/>
        <v>2.3661751229547012E-2</v>
      </c>
    </row>
    <row r="271" spans="2:7" ht="15" thickBot="1" x14ac:dyDescent="0.35">
      <c r="B271" s="170">
        <v>43663.645833333336</v>
      </c>
      <c r="C271" s="238">
        <v>1463.8</v>
      </c>
      <c r="D271" s="241">
        <f t="shared" si="11"/>
        <v>-0.31779838747261963</v>
      </c>
      <c r="E271" s="241">
        <v>1.6951507572599597E-2</v>
      </c>
      <c r="F271" s="242">
        <v>267</v>
      </c>
      <c r="G271" s="243">
        <f t="shared" ca="1" si="12"/>
        <v>1.3827061924840576E-2</v>
      </c>
    </row>
    <row r="272" spans="2:7" ht="15" thickBot="1" x14ac:dyDescent="0.35">
      <c r="B272" s="170">
        <v>43899.645833333336</v>
      </c>
      <c r="C272" s="238">
        <v>2145.6999999999998</v>
      </c>
      <c r="D272" s="241">
        <f t="shared" si="11"/>
        <v>-0.41772048846675719</v>
      </c>
      <c r="E272" s="241">
        <v>1.6943529467522929E-2</v>
      </c>
      <c r="F272" s="242">
        <v>268</v>
      </c>
      <c r="G272" s="243">
        <f t="shared" ca="1" si="12"/>
        <v>-9.8068006414017451E-3</v>
      </c>
    </row>
    <row r="273" spans="2:7" ht="15" thickBot="1" x14ac:dyDescent="0.35">
      <c r="B273" s="170">
        <v>45707.645833333336</v>
      </c>
      <c r="C273" s="238">
        <v>3685</v>
      </c>
      <c r="D273" s="241">
        <f t="shared" si="11"/>
        <v>6.3812743540654388E-4</v>
      </c>
      <c r="E273" s="241">
        <v>1.6888349246647116E-2</v>
      </c>
      <c r="F273" s="242">
        <v>269</v>
      </c>
      <c r="G273" s="243">
        <f t="shared" ca="1" si="12"/>
        <v>1.5503323065060774E-2</v>
      </c>
    </row>
    <row r="274" spans="2:7" ht="15" thickBot="1" x14ac:dyDescent="0.35">
      <c r="B274" s="170">
        <v>45702.645833333336</v>
      </c>
      <c r="C274" s="238">
        <v>3682.65</v>
      </c>
      <c r="D274" s="241">
        <f t="shared" si="11"/>
        <v>0.33190473607117682</v>
      </c>
      <c r="E274" s="241">
        <v>1.6885268535137398E-2</v>
      </c>
      <c r="F274" s="242">
        <v>270</v>
      </c>
      <c r="G274" s="243">
        <f t="shared" ca="1" si="12"/>
        <v>-2.04342568016164E-2</v>
      </c>
    </row>
    <row r="275" spans="2:7" ht="15" thickBot="1" x14ac:dyDescent="0.35">
      <c r="B275" s="170">
        <v>44216.645833333336</v>
      </c>
      <c r="C275" s="238">
        <v>2764.95</v>
      </c>
      <c r="D275" s="241">
        <f t="shared" si="11"/>
        <v>-0.26256200992158751</v>
      </c>
      <c r="E275" s="241">
        <v>1.6843498887519896E-2</v>
      </c>
      <c r="F275" s="242">
        <v>271</v>
      </c>
      <c r="G275" s="243">
        <f t="shared" ca="1" si="12"/>
        <v>-1.1683835034627913E-2</v>
      </c>
    </row>
    <row r="276" spans="2:7" ht="15" thickBot="1" x14ac:dyDescent="0.35">
      <c r="B276" s="170">
        <v>45320.645833333336</v>
      </c>
      <c r="C276" s="238">
        <v>3749.4</v>
      </c>
      <c r="D276" s="241">
        <f t="shared" si="11"/>
        <v>2.1587194608256111</v>
      </c>
      <c r="E276" s="241">
        <v>1.6841591408347546E-2</v>
      </c>
      <c r="F276" s="242">
        <v>272</v>
      </c>
      <c r="G276" s="243">
        <f t="shared" ca="1" si="12"/>
        <v>-2.7159313707689627E-2</v>
      </c>
    </row>
    <row r="277" spans="2:7" ht="15" thickBot="1" x14ac:dyDescent="0.35">
      <c r="B277" s="170">
        <v>43116.645833333336</v>
      </c>
      <c r="C277" s="238">
        <v>1187</v>
      </c>
      <c r="D277" s="241">
        <f t="shared" si="11"/>
        <v>-0.26462844221416848</v>
      </c>
      <c r="E277" s="241">
        <v>1.683299781556525E-2</v>
      </c>
      <c r="F277" s="242">
        <v>273</v>
      </c>
      <c r="G277" s="243">
        <f t="shared" ca="1" si="12"/>
        <v>6.6435499627861081E-3</v>
      </c>
    </row>
    <row r="278" spans="2:7" ht="15" thickBot="1" x14ac:dyDescent="0.35">
      <c r="B278" s="170">
        <v>43332.645833333336</v>
      </c>
      <c r="C278" s="238">
        <v>1614.15</v>
      </c>
      <c r="D278" s="241">
        <f t="shared" si="11"/>
        <v>-0.60087778945416326</v>
      </c>
      <c r="E278" s="241">
        <v>1.6787401574803205E-2</v>
      </c>
      <c r="F278" s="242">
        <v>274</v>
      </c>
      <c r="G278" s="243">
        <f t="shared" ca="1" si="12"/>
        <v>1.450309852503614E-3</v>
      </c>
    </row>
    <row r="279" spans="2:7" ht="15" thickBot="1" x14ac:dyDescent="0.35">
      <c r="B279" s="170">
        <v>44677.645833333336</v>
      </c>
      <c r="C279" s="238">
        <v>4044.25</v>
      </c>
      <c r="D279" s="241">
        <f t="shared" si="11"/>
        <v>-0.15126808742825368</v>
      </c>
      <c r="E279" s="241">
        <v>1.6730774065414733E-2</v>
      </c>
      <c r="F279" s="242">
        <v>275</v>
      </c>
      <c r="G279" s="243">
        <f t="shared" ca="1" si="12"/>
        <v>-6.8965616227528951E-3</v>
      </c>
    </row>
    <row r="280" spans="2:7" ht="15" thickBot="1" x14ac:dyDescent="0.35">
      <c r="B280" s="170">
        <v>45394.645833333336</v>
      </c>
      <c r="C280" s="238">
        <v>4765.05</v>
      </c>
      <c r="D280" s="241">
        <f t="shared" si="11"/>
        <v>1.0204587856173677</v>
      </c>
      <c r="E280" s="241">
        <v>1.6695826576768796E-2</v>
      </c>
      <c r="F280" s="242">
        <v>276</v>
      </c>
      <c r="G280" s="243">
        <f t="shared" ca="1" si="12"/>
        <v>7.8429467251870458E-3</v>
      </c>
    </row>
    <row r="281" spans="2:7" ht="15" thickBot="1" x14ac:dyDescent="0.35">
      <c r="B281" s="170">
        <v>43887.645833333336</v>
      </c>
      <c r="C281" s="238">
        <v>2358.4</v>
      </c>
      <c r="D281" s="241">
        <f t="shared" si="11"/>
        <v>-0.48690279349055776</v>
      </c>
      <c r="E281" s="241">
        <v>1.6683191792042192E-2</v>
      </c>
      <c r="F281" s="242">
        <v>277</v>
      </c>
      <c r="G281" s="243">
        <f t="shared" ca="1" si="12"/>
        <v>8.9178508808340936E-4</v>
      </c>
    </row>
    <row r="282" spans="2:7" ht="15" thickBot="1" x14ac:dyDescent="0.35">
      <c r="B282" s="170">
        <v>44489.645833333336</v>
      </c>
      <c r="C282" s="238">
        <v>4596.3999999999996</v>
      </c>
      <c r="D282" s="241">
        <f t="shared" si="11"/>
        <v>2.168292262622781</v>
      </c>
      <c r="E282" s="241">
        <v>1.6621509538291321E-2</v>
      </c>
      <c r="F282" s="242">
        <v>278</v>
      </c>
      <c r="G282" s="243">
        <f t="shared" ca="1" si="12"/>
        <v>2.2281011051997302E-2</v>
      </c>
    </row>
    <row r="283" spans="2:7" ht="15" thickBot="1" x14ac:dyDescent="0.35">
      <c r="B283" s="170">
        <v>43367.645833333336</v>
      </c>
      <c r="C283" s="238">
        <v>1450.75</v>
      </c>
      <c r="D283" s="241">
        <f t="shared" si="11"/>
        <v>-0.71035976681041368</v>
      </c>
      <c r="E283" s="241">
        <v>1.653645377150258E-2</v>
      </c>
      <c r="F283" s="242">
        <v>279</v>
      </c>
      <c r="G283" s="243">
        <f t="shared" ca="1" si="12"/>
        <v>-6.3654509475406518E-3</v>
      </c>
    </row>
    <row r="284" spans="2:7" ht="15" thickBot="1" x14ac:dyDescent="0.35">
      <c r="B284" s="170">
        <v>45533.645833333336</v>
      </c>
      <c r="C284" s="238">
        <v>5008.8</v>
      </c>
      <c r="D284" s="241">
        <f t="shared" si="11"/>
        <v>4.8216976393772093E-2</v>
      </c>
      <c r="E284" s="241">
        <v>1.6509553623070831E-2</v>
      </c>
      <c r="F284" s="242">
        <v>280</v>
      </c>
      <c r="G284" s="243">
        <f t="shared" ca="1" si="12"/>
        <v>-3.4208982555481676E-3</v>
      </c>
    </row>
    <row r="285" spans="2:7" ht="15" thickBot="1" x14ac:dyDescent="0.35">
      <c r="B285" s="170">
        <v>45453.645833333336</v>
      </c>
      <c r="C285" s="238">
        <v>4778.3999999999996</v>
      </c>
      <c r="D285" s="241">
        <f t="shared" si="11"/>
        <v>0.5219288467050992</v>
      </c>
      <c r="E285" s="241">
        <v>1.6367290942156106E-2</v>
      </c>
      <c r="F285" s="242">
        <v>281</v>
      </c>
      <c r="G285" s="243">
        <f t="shared" ca="1" si="12"/>
        <v>-1.6038258457942325E-3</v>
      </c>
    </row>
    <row r="286" spans="2:7" ht="15" thickBot="1" x14ac:dyDescent="0.35">
      <c r="B286" s="170">
        <v>44251.645833333336</v>
      </c>
      <c r="C286" s="238">
        <v>3139.7</v>
      </c>
      <c r="D286" s="241">
        <f t="shared" si="11"/>
        <v>-0.20875493000340226</v>
      </c>
      <c r="E286" s="241">
        <v>1.6347274375242783E-2</v>
      </c>
      <c r="F286" s="242">
        <v>282</v>
      </c>
      <c r="G286" s="243">
        <f t="shared" ca="1" si="12"/>
        <v>1.6320751444993585E-2</v>
      </c>
    </row>
    <row r="287" spans="2:7" ht="15" thickBot="1" x14ac:dyDescent="0.35">
      <c r="B287" s="170">
        <v>44889.645833333336</v>
      </c>
      <c r="C287" s="238">
        <v>3968.05</v>
      </c>
      <c r="D287" s="241">
        <f t="shared" si="11"/>
        <v>-2.0766497211391254E-2</v>
      </c>
      <c r="E287" s="241">
        <v>1.6289106020054137E-2</v>
      </c>
      <c r="F287" s="242">
        <v>283</v>
      </c>
      <c r="G287" s="243">
        <f t="shared" ca="1" si="12"/>
        <v>2.3584722640206206E-2</v>
      </c>
    </row>
    <row r="288" spans="2:7" ht="15" thickBot="1" x14ac:dyDescent="0.35">
      <c r="B288" s="170">
        <v>45590.645833333336</v>
      </c>
      <c r="C288" s="238">
        <v>4052.2</v>
      </c>
      <c r="D288" s="241">
        <f t="shared" si="11"/>
        <v>-7.6053126603203597E-2</v>
      </c>
      <c r="E288" s="241">
        <v>1.6225705329153559E-2</v>
      </c>
      <c r="F288" s="242">
        <v>284</v>
      </c>
      <c r="G288" s="243">
        <f t="shared" ca="1" si="12"/>
        <v>2.068073612406782E-2</v>
      </c>
    </row>
    <row r="289" spans="2:7" ht="15" thickBot="1" x14ac:dyDescent="0.35">
      <c r="B289" s="170">
        <v>44466.645833333336</v>
      </c>
      <c r="C289" s="238">
        <v>4385.75</v>
      </c>
      <c r="D289" s="241">
        <f t="shared" si="11"/>
        <v>1.8964139479593185</v>
      </c>
      <c r="E289" s="241">
        <v>1.6219660545675724E-2</v>
      </c>
      <c r="F289" s="242">
        <v>285</v>
      </c>
      <c r="G289" s="243">
        <f t="shared" ca="1" si="12"/>
        <v>-3.0817938853674374E-2</v>
      </c>
    </row>
    <row r="290" spans="2:7" ht="15" thickBot="1" x14ac:dyDescent="0.35">
      <c r="B290" s="170">
        <v>43679.645833333336</v>
      </c>
      <c r="C290" s="238">
        <v>1514.2</v>
      </c>
      <c r="D290" s="241">
        <f t="shared" si="11"/>
        <v>0.14916707775205854</v>
      </c>
      <c r="E290" s="241">
        <v>1.6207509815106939E-2</v>
      </c>
      <c r="F290" s="242">
        <v>286</v>
      </c>
      <c r="G290" s="243">
        <f t="shared" ca="1" si="12"/>
        <v>3.2074130063489498E-2</v>
      </c>
    </row>
    <row r="291" spans="2:7" ht="15" thickBot="1" x14ac:dyDescent="0.35">
      <c r="B291" s="170">
        <v>43622.645833333336</v>
      </c>
      <c r="C291" s="238">
        <v>1317.65</v>
      </c>
      <c r="D291" s="241">
        <f t="shared" si="11"/>
        <v>-0.70609818660361789</v>
      </c>
      <c r="E291" s="241">
        <v>1.6195580920063238E-2</v>
      </c>
      <c r="F291" s="242">
        <v>287</v>
      </c>
      <c r="G291" s="243">
        <f t="shared" ca="1" si="12"/>
        <v>-4.359202375156436E-2</v>
      </c>
    </row>
    <row r="292" spans="2:7" ht="15" thickBot="1" x14ac:dyDescent="0.35">
      <c r="B292" s="170">
        <v>45383.645833333336</v>
      </c>
      <c r="C292" s="238">
        <v>4483.3</v>
      </c>
      <c r="D292" s="241">
        <f t="shared" si="11"/>
        <v>0.11201230250266646</v>
      </c>
      <c r="E292" s="241">
        <v>1.619502022960885E-2</v>
      </c>
      <c r="F292" s="242">
        <v>288</v>
      </c>
      <c r="G292" s="243">
        <f t="shared" ca="1" si="12"/>
        <v>-4.286580808046764E-3</v>
      </c>
    </row>
    <row r="293" spans="2:7" ht="15" thickBot="1" x14ac:dyDescent="0.35">
      <c r="B293" s="170">
        <v>45363.645833333336</v>
      </c>
      <c r="C293" s="238">
        <v>4031.7</v>
      </c>
      <c r="D293" s="241">
        <f t="shared" si="11"/>
        <v>0.6133253301320527</v>
      </c>
      <c r="E293" s="241">
        <v>1.610464237108716E-2</v>
      </c>
      <c r="F293" s="242">
        <v>289</v>
      </c>
      <c r="G293" s="243">
        <f t="shared" ca="1" si="12"/>
        <v>3.8840435979051596E-2</v>
      </c>
    </row>
    <row r="294" spans="2:7" ht="15" thickBot="1" x14ac:dyDescent="0.35">
      <c r="B294" s="170">
        <v>43987.645833333336</v>
      </c>
      <c r="C294" s="238">
        <v>2499</v>
      </c>
      <c r="D294" s="241">
        <f t="shared" si="11"/>
        <v>0.81014812936872993</v>
      </c>
      <c r="E294" s="241">
        <v>1.6060174832282986E-2</v>
      </c>
      <c r="F294" s="242">
        <v>290</v>
      </c>
      <c r="G294" s="243">
        <f t="shared" ca="1" si="12"/>
        <v>-7.6786959117001357E-3</v>
      </c>
    </row>
    <row r="295" spans="2:7" ht="15" thickBot="1" x14ac:dyDescent="0.35">
      <c r="B295" s="170">
        <v>43242.645833333336</v>
      </c>
      <c r="C295" s="238">
        <v>1380.55</v>
      </c>
      <c r="D295" s="241">
        <f t="shared" si="11"/>
        <v>0.21623645493789098</v>
      </c>
      <c r="E295" s="241">
        <v>1.604415823367062E-2</v>
      </c>
      <c r="F295" s="242">
        <v>291</v>
      </c>
      <c r="G295" s="243">
        <f t="shared" ca="1" si="12"/>
        <v>-7.5550336579140029E-3</v>
      </c>
    </row>
    <row r="296" spans="2:7" ht="15" thickBot="1" x14ac:dyDescent="0.35">
      <c r="B296" s="170">
        <v>43133.645833333336</v>
      </c>
      <c r="C296" s="238">
        <v>1135.0999999999999</v>
      </c>
      <c r="D296" s="241">
        <f t="shared" si="11"/>
        <v>-9.4672196522571417E-2</v>
      </c>
      <c r="E296" s="241">
        <v>1.5931262865837247E-2</v>
      </c>
      <c r="F296" s="242">
        <v>292</v>
      </c>
      <c r="G296" s="243">
        <f t="shared" ca="1" si="12"/>
        <v>-7.7469434651028218E-3</v>
      </c>
    </row>
    <row r="297" spans="2:7" ht="15" thickBot="1" x14ac:dyDescent="0.35">
      <c r="B297" s="170">
        <v>43601.645833333336</v>
      </c>
      <c r="C297" s="238">
        <v>1253.8</v>
      </c>
      <c r="D297" s="241">
        <f t="shared" si="11"/>
        <v>-0.68746416731061644</v>
      </c>
      <c r="E297" s="241">
        <v>1.5839578691513027E-2</v>
      </c>
      <c r="F297" s="242">
        <v>293</v>
      </c>
      <c r="G297" s="243">
        <f t="shared" ca="1" si="12"/>
        <v>-1.768042349194756E-2</v>
      </c>
    </row>
    <row r="298" spans="2:7" ht="15" thickBot="1" x14ac:dyDescent="0.35">
      <c r="B298" s="170">
        <v>44881.645833333336</v>
      </c>
      <c r="C298" s="238">
        <v>4011.7</v>
      </c>
      <c r="D298" s="241">
        <f t="shared" si="11"/>
        <v>0.10502974878801226</v>
      </c>
      <c r="E298" s="241">
        <v>1.5825990073939027E-2</v>
      </c>
      <c r="F298" s="242">
        <v>294</v>
      </c>
      <c r="G298" s="243">
        <f t="shared" ca="1" si="12"/>
        <v>3.935023580666689E-2</v>
      </c>
    </row>
    <row r="299" spans="2:7" ht="15" thickBot="1" x14ac:dyDescent="0.35">
      <c r="B299" s="170">
        <v>44701.645833333336</v>
      </c>
      <c r="C299" s="238">
        <v>3630.4</v>
      </c>
      <c r="D299" s="241">
        <f t="shared" si="11"/>
        <v>0.62575849174895315</v>
      </c>
      <c r="E299" s="241">
        <v>1.5752217341428662E-2</v>
      </c>
      <c r="F299" s="242">
        <v>295</v>
      </c>
      <c r="G299" s="243">
        <f t="shared" ca="1" si="12"/>
        <v>2.243005254358563E-2</v>
      </c>
    </row>
    <row r="300" spans="2:7" ht="15" thickBot="1" x14ac:dyDescent="0.35">
      <c r="B300" s="170">
        <v>43893.645833333336</v>
      </c>
      <c r="C300" s="238">
        <v>2233.0500000000002</v>
      </c>
      <c r="D300" s="241">
        <f t="shared" si="11"/>
        <v>-0.33508515959980939</v>
      </c>
      <c r="E300" s="241">
        <v>1.573836111806062E-2</v>
      </c>
      <c r="F300" s="242">
        <v>296</v>
      </c>
      <c r="G300" s="243">
        <f t="shared" ca="1" si="12"/>
        <v>1.8850732505128868E-2</v>
      </c>
    </row>
    <row r="301" spans="2:7" ht="15" thickBot="1" x14ac:dyDescent="0.35">
      <c r="B301" s="170">
        <v>45009.645833333336</v>
      </c>
      <c r="C301" s="238">
        <v>3358.4</v>
      </c>
      <c r="D301" s="241">
        <f t="shared" si="11"/>
        <v>-0.13073637893102108</v>
      </c>
      <c r="E301" s="241">
        <v>1.5604209507681113E-2</v>
      </c>
      <c r="F301" s="242">
        <v>297</v>
      </c>
      <c r="G301" s="243">
        <f t="shared" ca="1" si="12"/>
        <v>1.1719046515140234E-3</v>
      </c>
    </row>
    <row r="302" spans="2:7" ht="15" thickBot="1" x14ac:dyDescent="0.35">
      <c r="B302" s="170">
        <v>45296.645833333336</v>
      </c>
      <c r="C302" s="238">
        <v>3863.5</v>
      </c>
      <c r="D302" s="241">
        <f t="shared" si="11"/>
        <v>-0.16653183617556006</v>
      </c>
      <c r="E302" s="241">
        <v>1.5534644096309513E-2</v>
      </c>
      <c r="F302" s="242">
        <v>298</v>
      </c>
      <c r="G302" s="243">
        <f t="shared" ca="1" si="12"/>
        <v>-8.8533830295001821E-4</v>
      </c>
    </row>
    <row r="303" spans="2:7" ht="15" thickBot="1" x14ac:dyDescent="0.35">
      <c r="B303" s="170">
        <v>44498.645833333336</v>
      </c>
      <c r="C303" s="238">
        <v>4635.45</v>
      </c>
      <c r="D303" s="241">
        <f t="shared" si="11"/>
        <v>1.069489709362025</v>
      </c>
      <c r="E303" s="241">
        <v>1.548825236869485E-2</v>
      </c>
      <c r="F303" s="242">
        <v>299</v>
      </c>
      <c r="G303" s="243">
        <f t="shared" ca="1" si="12"/>
        <v>-1.7819076605579784E-2</v>
      </c>
    </row>
    <row r="304" spans="2:7" ht="15" thickBot="1" x14ac:dyDescent="0.35">
      <c r="B304" s="170">
        <v>44134.645833333336</v>
      </c>
      <c r="C304" s="238">
        <v>2239.9</v>
      </c>
      <c r="D304" s="241">
        <f t="shared" si="11"/>
        <v>-0.5080548631167433</v>
      </c>
      <c r="E304" s="241">
        <v>1.5482262269069519E-2</v>
      </c>
      <c r="F304" s="242">
        <v>300</v>
      </c>
      <c r="G304" s="243">
        <f t="shared" ca="1" si="12"/>
        <v>-2.1918539625211366E-2</v>
      </c>
    </row>
    <row r="305" spans="2:7" ht="15" thickBot="1" x14ac:dyDescent="0.35">
      <c r="B305" s="170">
        <v>45408.645833333336</v>
      </c>
      <c r="C305" s="238">
        <v>4553.1499999999996</v>
      </c>
      <c r="D305" s="241">
        <f t="shared" si="11"/>
        <v>0.17836669729163157</v>
      </c>
      <c r="E305" s="241">
        <v>1.5466791560729616E-2</v>
      </c>
      <c r="F305" s="242">
        <v>301</v>
      </c>
      <c r="G305" s="243">
        <f t="shared" ca="1" si="12"/>
        <v>1.5222231352668507E-2</v>
      </c>
    </row>
    <row r="306" spans="2:7" ht="15" thickBot="1" x14ac:dyDescent="0.35">
      <c r="B306" s="170">
        <v>45631.645833333336</v>
      </c>
      <c r="C306" s="238">
        <v>3863.95</v>
      </c>
      <c r="D306" s="241">
        <f t="shared" si="11"/>
        <v>1.3960506461982502E-2</v>
      </c>
      <c r="E306" s="241">
        <v>1.534600780439086E-2</v>
      </c>
      <c r="F306" s="242">
        <v>302</v>
      </c>
      <c r="G306" s="243">
        <f t="shared" ca="1" si="12"/>
        <v>-3.6746986281390652E-3</v>
      </c>
    </row>
    <row r="307" spans="2:7" ht="15" thickBot="1" x14ac:dyDescent="0.35">
      <c r="B307" s="170">
        <v>45180.645833333336</v>
      </c>
      <c r="C307" s="238">
        <v>3810.75</v>
      </c>
      <c r="D307" s="241">
        <f t="shared" si="11"/>
        <v>-0.117013265365232</v>
      </c>
      <c r="E307" s="241">
        <v>1.5320055951508692E-2</v>
      </c>
      <c r="F307" s="242">
        <v>303</v>
      </c>
      <c r="G307" s="243">
        <f t="shared" ca="1" si="12"/>
        <v>1.9908887321120742E-3</v>
      </c>
    </row>
    <row r="308" spans="2:7" ht="15" thickBot="1" x14ac:dyDescent="0.35">
      <c r="B308" s="170">
        <v>44467.645833333336</v>
      </c>
      <c r="C308" s="238">
        <v>4315.75</v>
      </c>
      <c r="D308" s="241">
        <f t="shared" si="11"/>
        <v>0.15651043760216529</v>
      </c>
      <c r="E308" s="241">
        <v>1.5183948061723792E-2</v>
      </c>
      <c r="F308" s="242">
        <v>304</v>
      </c>
      <c r="G308" s="243">
        <f t="shared" ca="1" si="12"/>
        <v>4.1281571414659391E-3</v>
      </c>
    </row>
    <row r="309" spans="2:7" ht="15" thickBot="1" x14ac:dyDescent="0.35">
      <c r="B309" s="170">
        <v>45310.645833333336</v>
      </c>
      <c r="C309" s="238">
        <v>3731.7</v>
      </c>
      <c r="D309" s="241">
        <f t="shared" si="11"/>
        <v>-2.3659622248066096E-3</v>
      </c>
      <c r="E309" s="241">
        <v>1.5179955929160131E-2</v>
      </c>
      <c r="F309" s="242">
        <v>305</v>
      </c>
      <c r="G309" s="243">
        <f t="shared" ca="1" si="12"/>
        <v>-2.9518526833270175E-2</v>
      </c>
    </row>
    <row r="310" spans="2:7" ht="15" thickBot="1" x14ac:dyDescent="0.35">
      <c r="B310" s="170">
        <v>45224.645833333336</v>
      </c>
      <c r="C310" s="238">
        <v>3740.55</v>
      </c>
      <c r="D310" s="241">
        <f t="shared" si="11"/>
        <v>0.29184942151614579</v>
      </c>
      <c r="E310" s="241">
        <v>1.5171047453625198E-2</v>
      </c>
      <c r="F310" s="242">
        <v>306</v>
      </c>
      <c r="G310" s="243">
        <f t="shared" ca="1" si="12"/>
        <v>-3.9119919108414218E-2</v>
      </c>
    </row>
    <row r="311" spans="2:7" ht="15" thickBot="1" x14ac:dyDescent="0.35">
      <c r="B311" s="170">
        <v>44323.645833333336</v>
      </c>
      <c r="C311" s="238">
        <v>2895.5</v>
      </c>
      <c r="D311" s="241">
        <f t="shared" si="11"/>
        <v>0.7948797421274485</v>
      </c>
      <c r="E311" s="241">
        <v>1.5092289084821884E-2</v>
      </c>
      <c r="F311" s="242">
        <v>307</v>
      </c>
      <c r="G311" s="243">
        <f t="shared" ca="1" si="12"/>
        <v>-1.0773940971897189E-2</v>
      </c>
    </row>
    <row r="312" spans="2:7" ht="15" thickBot="1" x14ac:dyDescent="0.35">
      <c r="B312" s="170">
        <v>43321.645833333336</v>
      </c>
      <c r="C312" s="238">
        <v>1613.2</v>
      </c>
      <c r="D312" s="241">
        <f t="shared" si="11"/>
        <v>1.4974204102176893E-2</v>
      </c>
      <c r="E312" s="241">
        <v>1.4974204102176893E-2</v>
      </c>
      <c r="F312" s="242">
        <v>308</v>
      </c>
      <c r="G312" s="243">
        <f t="shared" ca="1" si="12"/>
        <v>3.3067477076120962E-2</v>
      </c>
    </row>
    <row r="313" spans="2:7" ht="15" thickBot="1" x14ac:dyDescent="0.35">
      <c r="B313" s="170">
        <v>43322.645833333336</v>
      </c>
      <c r="C313" s="238">
        <v>1589.4</v>
      </c>
      <c r="D313" s="241">
        <f t="shared" si="11"/>
        <v>-0.64518757464477461</v>
      </c>
      <c r="E313" s="241">
        <v>1.4910124197822635E-2</v>
      </c>
      <c r="F313" s="242">
        <v>309</v>
      </c>
      <c r="G313" s="243">
        <f t="shared" ca="1" si="12"/>
        <v>3.1910260613688141E-3</v>
      </c>
    </row>
    <row r="314" spans="2:7" ht="15" thickBot="1" x14ac:dyDescent="0.35">
      <c r="B314" s="170">
        <v>44838.645833333336</v>
      </c>
      <c r="C314" s="238">
        <v>4479.55</v>
      </c>
      <c r="D314" s="241">
        <f t="shared" si="11"/>
        <v>2.0128800107613669</v>
      </c>
      <c r="E314" s="241">
        <v>1.4884964373506081E-2</v>
      </c>
      <c r="F314" s="242">
        <v>310</v>
      </c>
      <c r="G314" s="243">
        <f t="shared" ca="1" si="12"/>
        <v>-3.6560123687099322E-2</v>
      </c>
    </row>
    <row r="315" spans="2:7" ht="15" thickBot="1" x14ac:dyDescent="0.35">
      <c r="B315" s="170">
        <v>43224.645833333336</v>
      </c>
      <c r="C315" s="238">
        <v>1486.8</v>
      </c>
      <c r="D315" s="241">
        <f t="shared" si="11"/>
        <v>-0.66858365654674334</v>
      </c>
      <c r="E315" s="241">
        <v>1.4880546075085294E-2</v>
      </c>
      <c r="F315" s="242">
        <v>311</v>
      </c>
      <c r="G315" s="243">
        <f t="shared" ca="1" si="12"/>
        <v>2.7217637330677356E-2</v>
      </c>
    </row>
    <row r="316" spans="2:7" ht="15" thickBot="1" x14ac:dyDescent="0.35">
      <c r="B316" s="170">
        <v>45377.645833333336</v>
      </c>
      <c r="C316" s="238">
        <v>4486.2</v>
      </c>
      <c r="D316" s="241">
        <f t="shared" si="11"/>
        <v>-9.0739577210725758E-2</v>
      </c>
      <c r="E316" s="241">
        <v>1.4851093189761373E-2</v>
      </c>
      <c r="F316" s="242">
        <v>312</v>
      </c>
      <c r="G316" s="243">
        <f t="shared" ca="1" si="12"/>
        <v>-9.7202286977817343E-4</v>
      </c>
    </row>
    <row r="317" spans="2:7" ht="15" thickBot="1" x14ac:dyDescent="0.35">
      <c r="B317" s="170">
        <v>45462.645833333336</v>
      </c>
      <c r="C317" s="238">
        <v>4933.8999999999996</v>
      </c>
      <c r="D317" s="241">
        <f t="shared" si="11"/>
        <v>0.46864116684030349</v>
      </c>
      <c r="E317" s="241">
        <v>1.485077236357649E-2</v>
      </c>
      <c r="F317" s="242">
        <v>313</v>
      </c>
      <c r="G317" s="243">
        <f t="shared" ca="1" si="12"/>
        <v>1.6058410728371072E-3</v>
      </c>
    </row>
    <row r="318" spans="2:7" ht="15" thickBot="1" x14ac:dyDescent="0.35">
      <c r="B318" s="170">
        <v>44362.645833333336</v>
      </c>
      <c r="C318" s="238">
        <v>3359.5</v>
      </c>
      <c r="D318" s="241">
        <f t="shared" si="11"/>
        <v>-0.24193875939255813</v>
      </c>
      <c r="E318" s="241">
        <v>1.483204446592554E-2</v>
      </c>
      <c r="F318" s="242">
        <v>314</v>
      </c>
      <c r="G318" s="243">
        <f t="shared" ca="1" si="12"/>
        <v>1.2545447646460543E-2</v>
      </c>
    </row>
    <row r="319" spans="2:7" ht="15" thickBot="1" x14ac:dyDescent="0.35">
      <c r="B319" s="170">
        <v>44826.645833333336</v>
      </c>
      <c r="C319" s="238">
        <v>4431.7</v>
      </c>
      <c r="D319" s="241">
        <f t="shared" si="11"/>
        <v>1.399014778325123</v>
      </c>
      <c r="E319" s="241">
        <v>1.481566292649412E-2</v>
      </c>
      <c r="F319" s="242">
        <v>315</v>
      </c>
      <c r="G319" s="243">
        <f t="shared" ca="1" si="12"/>
        <v>-3.9189272978065771E-3</v>
      </c>
    </row>
    <row r="320" spans="2:7" ht="15" thickBot="1" x14ac:dyDescent="0.35">
      <c r="B320" s="170">
        <v>43745.645833333336</v>
      </c>
      <c r="C320" s="238">
        <v>1847.3</v>
      </c>
      <c r="D320" s="241">
        <f t="shared" si="11"/>
        <v>-0.56339442927878425</v>
      </c>
      <c r="E320" s="241">
        <v>1.4776972094045189E-2</v>
      </c>
      <c r="F320" s="242">
        <v>316</v>
      </c>
      <c r="G320" s="243">
        <f t="shared" ca="1" si="12"/>
        <v>-3.527260956328223E-2</v>
      </c>
    </row>
    <row r="321" spans="2:7" ht="15" thickBot="1" x14ac:dyDescent="0.35">
      <c r="B321" s="170">
        <v>44635.645833333336</v>
      </c>
      <c r="C321" s="238">
        <v>4231.05</v>
      </c>
      <c r="D321" s="241">
        <f t="shared" si="11"/>
        <v>2.5217662726818713</v>
      </c>
      <c r="E321" s="241">
        <v>1.4749793143144943E-2</v>
      </c>
      <c r="F321" s="242">
        <v>317</v>
      </c>
      <c r="G321" s="243">
        <f t="shared" ca="1" si="12"/>
        <v>1.3154594049763565E-2</v>
      </c>
    </row>
    <row r="322" spans="2:7" ht="15" thickBot="1" x14ac:dyDescent="0.35">
      <c r="B322" s="170">
        <v>43145.645833333336</v>
      </c>
      <c r="C322" s="238">
        <v>1201.4000000000001</v>
      </c>
      <c r="D322" s="241">
        <f t="shared" si="11"/>
        <v>-0.68253045477367014</v>
      </c>
      <c r="E322" s="241">
        <v>1.4738798091135643E-2</v>
      </c>
      <c r="F322" s="242">
        <v>318</v>
      </c>
      <c r="G322" s="243">
        <f t="shared" ca="1" si="12"/>
        <v>2.9198369472246008E-2</v>
      </c>
    </row>
    <row r="323" spans="2:7" ht="15" thickBot="1" x14ac:dyDescent="0.35">
      <c r="B323" s="170">
        <v>45324.645833333336</v>
      </c>
      <c r="C323" s="238">
        <v>3784.3</v>
      </c>
      <c r="D323" s="241">
        <f t="shared" si="11"/>
        <v>6.1484951333763506E-2</v>
      </c>
      <c r="E323" s="241">
        <v>1.4666452166452239E-2</v>
      </c>
      <c r="F323" s="242">
        <v>319</v>
      </c>
      <c r="G323" s="243">
        <f t="shared" ca="1" si="12"/>
        <v>-5.6555056167290193E-3</v>
      </c>
    </row>
    <row r="324" spans="2:7" ht="15" thickBot="1" x14ac:dyDescent="0.35">
      <c r="B324" s="170">
        <v>44945.645833333336</v>
      </c>
      <c r="C324" s="238">
        <v>3565.1</v>
      </c>
      <c r="D324" s="241">
        <f t="shared" si="11"/>
        <v>-0.12481741969535178</v>
      </c>
      <c r="E324" s="241">
        <v>1.4614016364283148E-2</v>
      </c>
      <c r="F324" s="242">
        <v>320</v>
      </c>
      <c r="G324" s="243">
        <f t="shared" ca="1" si="12"/>
        <v>2.6994281495933883E-2</v>
      </c>
    </row>
    <row r="325" spans="2:7" ht="15" thickBot="1" x14ac:dyDescent="0.35">
      <c r="B325" s="170">
        <v>44599.645833333336</v>
      </c>
      <c r="C325" s="238">
        <v>4073.55</v>
      </c>
      <c r="D325" s="241">
        <f t="shared" ref="D325:D388" si="13">(C325-C326)/C326</f>
        <v>-0.19866429295065352</v>
      </c>
      <c r="E325" s="241">
        <v>1.458281444582819E-2</v>
      </c>
      <c r="F325" s="242">
        <v>321</v>
      </c>
      <c r="G325" s="243">
        <f t="shared" ca="1" si="12"/>
        <v>1.5316012420870244E-2</v>
      </c>
    </row>
    <row r="326" spans="2:7" ht="15" thickBot="1" x14ac:dyDescent="0.35">
      <c r="B326" s="170">
        <v>45491.645833333336</v>
      </c>
      <c r="C326" s="238">
        <v>5083.45</v>
      </c>
      <c r="D326" s="241">
        <f t="shared" si="13"/>
        <v>2.7947521648253213</v>
      </c>
      <c r="E326" s="241">
        <v>1.4518929490889497E-2</v>
      </c>
      <c r="F326" s="242">
        <v>322</v>
      </c>
      <c r="G326" s="243">
        <f t="shared" ref="G326:G389" ca="1" si="14">_xlfn.NORM.INV(RAND(),$M$7,$M$8)</f>
        <v>-3.4659473940293152E-2</v>
      </c>
    </row>
    <row r="327" spans="2:7" ht="15" thickBot="1" x14ac:dyDescent="0.35">
      <c r="B327" s="170">
        <v>43180.645833333336</v>
      </c>
      <c r="C327" s="238">
        <v>1339.6</v>
      </c>
      <c r="D327" s="241">
        <f t="shared" si="13"/>
        <v>-0.3284034793071467</v>
      </c>
      <c r="E327" s="241">
        <v>1.4502631678594315E-2</v>
      </c>
      <c r="F327" s="242">
        <v>323</v>
      </c>
      <c r="G327" s="243">
        <f t="shared" ca="1" si="14"/>
        <v>-1.0647558140592355E-2</v>
      </c>
    </row>
    <row r="328" spans="2:7" ht="15" thickBot="1" x14ac:dyDescent="0.35">
      <c r="B328" s="170">
        <v>43769.645833333336</v>
      </c>
      <c r="C328" s="238">
        <v>1994.65</v>
      </c>
      <c r="D328" s="241">
        <f t="shared" si="13"/>
        <v>-0.51820048309178746</v>
      </c>
      <c r="E328" s="241">
        <v>1.4263195362554756E-2</v>
      </c>
      <c r="F328" s="242">
        <v>324</v>
      </c>
      <c r="G328" s="243">
        <f t="shared" ca="1" si="14"/>
        <v>1.4413913006887526E-2</v>
      </c>
    </row>
    <row r="329" spans="2:7" ht="15" thickBot="1" x14ac:dyDescent="0.35">
      <c r="B329" s="170">
        <v>44595.645833333336</v>
      </c>
      <c r="C329" s="238">
        <v>4140</v>
      </c>
      <c r="D329" s="241">
        <f t="shared" si="13"/>
        <v>1.6050655279045818E-2</v>
      </c>
      <c r="E329" s="241">
        <v>1.4233567701315541E-2</v>
      </c>
      <c r="F329" s="242">
        <v>325</v>
      </c>
      <c r="G329" s="243">
        <f t="shared" ca="1" si="14"/>
        <v>1.3741716597743236E-2</v>
      </c>
    </row>
    <row r="330" spans="2:7" ht="15" thickBot="1" x14ac:dyDescent="0.35">
      <c r="B330" s="170">
        <v>44922.645833333336</v>
      </c>
      <c r="C330" s="238">
        <v>4074.6</v>
      </c>
      <c r="D330" s="241">
        <f t="shared" si="13"/>
        <v>0.40568885515671083</v>
      </c>
      <c r="E330" s="241">
        <v>1.4149710658950883E-2</v>
      </c>
      <c r="F330" s="242">
        <v>326</v>
      </c>
      <c r="G330" s="243">
        <f t="shared" ca="1" si="14"/>
        <v>-4.2682496983051904E-2</v>
      </c>
    </row>
    <row r="331" spans="2:7" ht="15" thickBot="1" x14ac:dyDescent="0.35">
      <c r="B331" s="170">
        <v>44319.645833333336</v>
      </c>
      <c r="C331" s="238">
        <v>2898.65</v>
      </c>
      <c r="D331" s="241">
        <f t="shared" si="13"/>
        <v>-0.36115794461524903</v>
      </c>
      <c r="E331" s="241">
        <v>1.4081304226140498E-2</v>
      </c>
      <c r="F331" s="242">
        <v>327</v>
      </c>
      <c r="G331" s="243">
        <f t="shared" ca="1" si="14"/>
        <v>4.7894610197204606E-3</v>
      </c>
    </row>
    <row r="332" spans="2:7" ht="15" thickBot="1" x14ac:dyDescent="0.35">
      <c r="B332" s="170">
        <v>45439.645833333336</v>
      </c>
      <c r="C332" s="238">
        <v>4537.3500000000004</v>
      </c>
      <c r="D332" s="241">
        <f t="shared" si="13"/>
        <v>0.15753153819661478</v>
      </c>
      <c r="E332" s="241">
        <v>1.4057593670730603E-2</v>
      </c>
      <c r="F332" s="242">
        <v>328</v>
      </c>
      <c r="G332" s="243">
        <f t="shared" ca="1" si="14"/>
        <v>-2.9904382159816746E-3</v>
      </c>
    </row>
    <row r="333" spans="2:7" ht="15" thickBot="1" x14ac:dyDescent="0.35">
      <c r="B333" s="170">
        <v>45692.645833333336</v>
      </c>
      <c r="C333" s="238">
        <v>3919.85</v>
      </c>
      <c r="D333" s="241">
        <f t="shared" si="13"/>
        <v>0.14043611713192611</v>
      </c>
      <c r="E333" s="241">
        <v>1.4007812297902086E-2</v>
      </c>
      <c r="F333" s="242">
        <v>329</v>
      </c>
      <c r="G333" s="243">
        <f t="shared" ca="1" si="14"/>
        <v>2.4135276790388623E-2</v>
      </c>
    </row>
    <row r="334" spans="2:7" ht="15" thickBot="1" x14ac:dyDescent="0.35">
      <c r="B334" s="170">
        <v>44991.645833333336</v>
      </c>
      <c r="C334" s="238">
        <v>3437.15</v>
      </c>
      <c r="D334" s="241">
        <f t="shared" si="13"/>
        <v>-0.14527459683936983</v>
      </c>
      <c r="E334" s="241">
        <v>1.3998288934124045E-2</v>
      </c>
      <c r="F334" s="242">
        <v>330</v>
      </c>
      <c r="G334" s="243">
        <f t="shared" ca="1" si="14"/>
        <v>1.4838888924163506E-2</v>
      </c>
    </row>
    <row r="335" spans="2:7" ht="15" thickBot="1" x14ac:dyDescent="0.35">
      <c r="B335" s="170">
        <v>45279.645833333336</v>
      </c>
      <c r="C335" s="238">
        <v>4021.35</v>
      </c>
      <c r="D335" s="241">
        <f t="shared" si="13"/>
        <v>2.1143078412391092</v>
      </c>
      <c r="E335" s="241">
        <v>1.3981693940845663E-2</v>
      </c>
      <c r="F335" s="242">
        <v>331</v>
      </c>
      <c r="G335" s="243">
        <f t="shared" ca="1" si="14"/>
        <v>1.7306631520079333E-2</v>
      </c>
    </row>
    <row r="336" spans="2:7" ht="15" thickBot="1" x14ac:dyDescent="0.35">
      <c r="B336" s="170">
        <v>43402.645833333336</v>
      </c>
      <c r="C336" s="238">
        <v>1291.25</v>
      </c>
      <c r="D336" s="241">
        <f t="shared" si="13"/>
        <v>-0.63640587382263081</v>
      </c>
      <c r="E336" s="241">
        <v>1.3858354271356857E-2</v>
      </c>
      <c r="F336" s="242">
        <v>332</v>
      </c>
      <c r="G336" s="243">
        <f t="shared" ca="1" si="14"/>
        <v>-3.8166178487112823E-3</v>
      </c>
    </row>
    <row r="337" spans="2:7" ht="15" thickBot="1" x14ac:dyDescent="0.35">
      <c r="B337" s="170">
        <v>44958.645833333336</v>
      </c>
      <c r="C337" s="238">
        <v>3551.35</v>
      </c>
      <c r="D337" s="241">
        <f t="shared" si="13"/>
        <v>0.49109879497837688</v>
      </c>
      <c r="E337" s="241">
        <v>1.3831396842616066E-2</v>
      </c>
      <c r="F337" s="242">
        <v>333</v>
      </c>
      <c r="G337" s="243">
        <f t="shared" ca="1" si="14"/>
        <v>4.1417130385610845E-2</v>
      </c>
    </row>
    <row r="338" spans="2:7" ht="15" thickBot="1" x14ac:dyDescent="0.35">
      <c r="B338" s="170">
        <v>43984.645833333336</v>
      </c>
      <c r="C338" s="238">
        <v>2381.6999999999998</v>
      </c>
      <c r="D338" s="241">
        <f t="shared" si="13"/>
        <v>-0.46507501572185789</v>
      </c>
      <c r="E338" s="241">
        <v>1.3791342101902538E-2</v>
      </c>
      <c r="F338" s="242">
        <v>334</v>
      </c>
      <c r="G338" s="243">
        <f t="shared" ca="1" si="14"/>
        <v>2.9470270334074466E-2</v>
      </c>
    </row>
    <row r="339" spans="2:7" ht="15" thickBot="1" x14ac:dyDescent="0.35">
      <c r="B339" s="170">
        <v>45839.645833333336</v>
      </c>
      <c r="C339" s="239">
        <v>4452.3999999999996</v>
      </c>
      <c r="D339" s="241">
        <f t="shared" si="13"/>
        <v>0.85686879639669666</v>
      </c>
      <c r="E339" s="241">
        <v>1.3775359183952276E-2</v>
      </c>
      <c r="F339" s="242">
        <v>335</v>
      </c>
      <c r="G339" s="243">
        <f t="shared" ca="1" si="14"/>
        <v>1.7171476146616144E-2</v>
      </c>
    </row>
    <row r="340" spans="2:7" ht="15" thickBot="1" x14ac:dyDescent="0.35">
      <c r="B340" s="170">
        <v>43994.645833333336</v>
      </c>
      <c r="C340" s="238">
        <v>2397.8000000000002</v>
      </c>
      <c r="D340" s="241">
        <f t="shared" si="13"/>
        <v>-0.50195247590561642</v>
      </c>
      <c r="E340" s="241">
        <v>1.3740328922335432E-2</v>
      </c>
      <c r="F340" s="242">
        <v>336</v>
      </c>
      <c r="G340" s="243">
        <f t="shared" ca="1" si="14"/>
        <v>3.1871310754467246E-2</v>
      </c>
    </row>
    <row r="341" spans="2:7" ht="15" thickBot="1" x14ac:dyDescent="0.35">
      <c r="B341" s="170">
        <v>44544.645833333336</v>
      </c>
      <c r="C341" s="238">
        <v>4814.3999999999996</v>
      </c>
      <c r="D341" s="241">
        <f t="shared" si="13"/>
        <v>0.31395586850616103</v>
      </c>
      <c r="E341" s="241">
        <v>1.3675267662571418E-2</v>
      </c>
      <c r="F341" s="242">
        <v>337</v>
      </c>
      <c r="G341" s="243">
        <f t="shared" ca="1" si="14"/>
        <v>-2.1389434933011358E-2</v>
      </c>
    </row>
    <row r="342" spans="2:7" ht="15" thickBot="1" x14ac:dyDescent="0.35">
      <c r="B342" s="170">
        <v>44699.645833333336</v>
      </c>
      <c r="C342" s="238">
        <v>3664.05</v>
      </c>
      <c r="D342" s="241">
        <f t="shared" si="13"/>
        <v>1.8300817075204371E-2</v>
      </c>
      <c r="E342" s="241">
        <v>1.3610523258226558E-2</v>
      </c>
      <c r="F342" s="242">
        <v>338</v>
      </c>
      <c r="G342" s="243">
        <f t="shared" ca="1" si="14"/>
        <v>6.9531429492822525E-3</v>
      </c>
    </row>
    <row r="343" spans="2:7" ht="15" thickBot="1" x14ac:dyDescent="0.35">
      <c r="B343" s="170">
        <v>45148.645833333336</v>
      </c>
      <c r="C343" s="238">
        <v>3598.2</v>
      </c>
      <c r="D343" s="241">
        <f t="shared" si="13"/>
        <v>1.8938394724143475</v>
      </c>
      <c r="E343" s="241">
        <v>1.3563189250855518E-2</v>
      </c>
      <c r="F343" s="242">
        <v>339</v>
      </c>
      <c r="G343" s="243">
        <f t="shared" ca="1" si="14"/>
        <v>2.0480921169061361E-2</v>
      </c>
    </row>
    <row r="344" spans="2:7" ht="15" thickBot="1" x14ac:dyDescent="0.35">
      <c r="B344" s="170">
        <v>43105.645833333336</v>
      </c>
      <c r="C344" s="238">
        <v>1243.4000000000001</v>
      </c>
      <c r="D344" s="241">
        <f t="shared" si="13"/>
        <v>-0.68905671701510451</v>
      </c>
      <c r="E344" s="241">
        <v>1.353113791979144E-2</v>
      </c>
      <c r="F344" s="242">
        <v>340</v>
      </c>
      <c r="G344" s="243">
        <f t="shared" ca="1" si="14"/>
        <v>3.5892811615075887E-3</v>
      </c>
    </row>
    <row r="345" spans="2:7" ht="15" thickBot="1" x14ac:dyDescent="0.35">
      <c r="B345" s="170">
        <v>45741.645833333336</v>
      </c>
      <c r="C345" s="238">
        <v>3998.8</v>
      </c>
      <c r="D345" s="241">
        <f t="shared" si="13"/>
        <v>1.7255563507480489</v>
      </c>
      <c r="E345" s="241">
        <v>1.3457688116177197E-2</v>
      </c>
      <c r="F345" s="242">
        <v>341</v>
      </c>
      <c r="G345" s="243">
        <f t="shared" ca="1" si="14"/>
        <v>2.9698099512140339E-2</v>
      </c>
    </row>
    <row r="346" spans="2:7" ht="15" thickBot="1" x14ac:dyDescent="0.35">
      <c r="B346" s="170">
        <v>43228.645833333336</v>
      </c>
      <c r="C346" s="238">
        <v>1467.15</v>
      </c>
      <c r="D346" s="241">
        <f t="shared" si="13"/>
        <v>-0.33525893706673909</v>
      </c>
      <c r="E346" s="241">
        <v>1.3400103609048586E-2</v>
      </c>
      <c r="F346" s="242">
        <v>342</v>
      </c>
      <c r="G346" s="243">
        <f t="shared" ca="1" si="14"/>
        <v>-1.9366206786763564E-3</v>
      </c>
    </row>
    <row r="347" spans="2:7" ht="15" thickBot="1" x14ac:dyDescent="0.35">
      <c r="B347" s="170">
        <v>44056.645833333336</v>
      </c>
      <c r="C347" s="238">
        <v>2207.1</v>
      </c>
      <c r="D347" s="241">
        <f t="shared" si="13"/>
        <v>-0.36693103102098185</v>
      </c>
      <c r="E347" s="241">
        <v>1.3360881542699684E-2</v>
      </c>
      <c r="F347" s="242">
        <v>343</v>
      </c>
      <c r="G347" s="243">
        <f t="shared" ca="1" si="14"/>
        <v>-1.7806447255559334E-2</v>
      </c>
    </row>
    <row r="348" spans="2:7" ht="15" thickBot="1" x14ac:dyDescent="0.35">
      <c r="B348" s="170">
        <v>44734.645833333336</v>
      </c>
      <c r="C348" s="238">
        <v>3486.35</v>
      </c>
      <c r="D348" s="241">
        <f t="shared" si="13"/>
        <v>-2.6145616558890462E-2</v>
      </c>
      <c r="E348" s="241">
        <v>1.3341278030490225E-2</v>
      </c>
      <c r="F348" s="242">
        <v>344</v>
      </c>
      <c r="G348" s="243">
        <f t="shared" ca="1" si="14"/>
        <v>1.5778440705785001E-2</v>
      </c>
    </row>
    <row r="349" spans="2:7" ht="15" thickBot="1" x14ac:dyDescent="0.35">
      <c r="B349" s="170">
        <v>45681.645833333336</v>
      </c>
      <c r="C349" s="238">
        <v>3579.95</v>
      </c>
      <c r="D349" s="241">
        <f t="shared" si="13"/>
        <v>1.4364174635042706</v>
      </c>
      <c r="E349" s="241">
        <v>1.3303330078263209E-2</v>
      </c>
      <c r="F349" s="242">
        <v>345</v>
      </c>
      <c r="G349" s="243">
        <f t="shared" ca="1" si="14"/>
        <v>5.7595250120394629E-3</v>
      </c>
    </row>
    <row r="350" spans="2:7" ht="15" thickBot="1" x14ac:dyDescent="0.35">
      <c r="B350" s="170">
        <v>43522.645833333336</v>
      </c>
      <c r="C350" s="238">
        <v>1469.35</v>
      </c>
      <c r="D350" s="241">
        <f t="shared" si="13"/>
        <v>-0.63846513458983323</v>
      </c>
      <c r="E350" s="241">
        <v>1.324000965417358E-2</v>
      </c>
      <c r="F350" s="242">
        <v>346</v>
      </c>
      <c r="G350" s="243">
        <f t="shared" ca="1" si="14"/>
        <v>-2.3024172409547232E-2</v>
      </c>
    </row>
    <row r="351" spans="2:7" ht="15" thickBot="1" x14ac:dyDescent="0.35">
      <c r="B351" s="170">
        <v>45849.645833333336</v>
      </c>
      <c r="C351" s="239">
        <v>4064.2</v>
      </c>
      <c r="D351" s="241">
        <f t="shared" si="13"/>
        <v>-6.929559402766336E-2</v>
      </c>
      <c r="E351" s="241">
        <v>1.3187744621444328E-2</v>
      </c>
      <c r="F351" s="242">
        <v>347</v>
      </c>
      <c r="G351" s="243">
        <f t="shared" ca="1" si="14"/>
        <v>-3.6694889815830412E-3</v>
      </c>
    </row>
    <row r="352" spans="2:7" ht="15" thickBot="1" x14ac:dyDescent="0.35">
      <c r="B352" s="170">
        <v>45775.645833333336</v>
      </c>
      <c r="C352" s="239">
        <v>4366.8</v>
      </c>
      <c r="D352" s="241">
        <f t="shared" si="13"/>
        <v>0.24904894024770466</v>
      </c>
      <c r="E352" s="241">
        <v>1.317865429234343E-2</v>
      </c>
      <c r="F352" s="242">
        <v>348</v>
      </c>
      <c r="G352" s="243">
        <f t="shared" ca="1" si="14"/>
        <v>-7.8819477310608545E-3</v>
      </c>
    </row>
    <row r="353" spans="2:7" ht="15" thickBot="1" x14ac:dyDescent="0.35">
      <c r="B353" s="170">
        <v>45022.645833333336</v>
      </c>
      <c r="C353" s="238">
        <v>3496.1</v>
      </c>
      <c r="D353" s="241">
        <f t="shared" si="13"/>
        <v>0.6565661351844394</v>
      </c>
      <c r="E353" s="241">
        <v>1.3156750804184686E-2</v>
      </c>
      <c r="F353" s="242">
        <v>349</v>
      </c>
      <c r="G353" s="243">
        <f t="shared" ca="1" si="14"/>
        <v>3.0404044153383284E-3</v>
      </c>
    </row>
    <row r="354" spans="2:7" ht="15" thickBot="1" x14ac:dyDescent="0.35">
      <c r="B354" s="170">
        <v>44109.645833333336</v>
      </c>
      <c r="C354" s="238">
        <v>2110.4499999999998</v>
      </c>
      <c r="D354" s="241">
        <f t="shared" si="13"/>
        <v>-0.38884223329086065</v>
      </c>
      <c r="E354" s="241">
        <v>1.3153788915292303E-2</v>
      </c>
      <c r="F354" s="242">
        <v>350</v>
      </c>
      <c r="G354" s="243">
        <f t="shared" ca="1" si="14"/>
        <v>1.123259693134511E-2</v>
      </c>
    </row>
    <row r="355" spans="2:7" ht="15" thickBot="1" x14ac:dyDescent="0.35">
      <c r="B355" s="170">
        <v>45719.645833333336</v>
      </c>
      <c r="C355" s="238">
        <v>3453.2</v>
      </c>
      <c r="D355" s="241">
        <f t="shared" si="13"/>
        <v>1.4789662598707825</v>
      </c>
      <c r="E355" s="241">
        <v>1.3143997183429094E-2</v>
      </c>
      <c r="F355" s="242">
        <v>351</v>
      </c>
      <c r="G355" s="243">
        <f t="shared" ca="1" si="14"/>
        <v>3.5086968788791907E-3</v>
      </c>
    </row>
    <row r="356" spans="2:7" ht="15" thickBot="1" x14ac:dyDescent="0.35">
      <c r="B356" s="170">
        <v>43654.645833333336</v>
      </c>
      <c r="C356" s="238">
        <v>1393</v>
      </c>
      <c r="D356" s="241">
        <f t="shared" si="13"/>
        <v>-0.64392980841736647</v>
      </c>
      <c r="E356" s="241">
        <v>1.3127750100003603E-2</v>
      </c>
      <c r="F356" s="242">
        <v>352</v>
      </c>
      <c r="G356" s="243">
        <f t="shared" ca="1" si="14"/>
        <v>2.5696828868306885E-3</v>
      </c>
    </row>
    <row r="357" spans="2:7" ht="15" thickBot="1" x14ac:dyDescent="0.35">
      <c r="B357" s="170">
        <v>45258.645833333336</v>
      </c>
      <c r="C357" s="238">
        <v>3912.15</v>
      </c>
      <c r="D357" s="241">
        <f t="shared" si="13"/>
        <v>5.7366415308521851E-2</v>
      </c>
      <c r="E357" s="241">
        <v>1.3116664508610668E-2</v>
      </c>
      <c r="F357" s="242">
        <v>353</v>
      </c>
      <c r="G357" s="243">
        <f t="shared" ca="1" si="14"/>
        <v>1.5660015708772526E-2</v>
      </c>
    </row>
    <row r="358" spans="2:7" ht="15" thickBot="1" x14ac:dyDescent="0.35">
      <c r="B358" s="170">
        <v>45141.645833333336</v>
      </c>
      <c r="C358" s="238">
        <v>3699.9</v>
      </c>
      <c r="D358" s="241">
        <f t="shared" si="13"/>
        <v>1.4239386792452828</v>
      </c>
      <c r="E358" s="241">
        <v>1.3088360121573939E-2</v>
      </c>
      <c r="F358" s="242">
        <v>354</v>
      </c>
      <c r="G358" s="243">
        <f t="shared" ca="1" si="14"/>
        <v>6.6106905243729849E-3</v>
      </c>
    </row>
    <row r="359" spans="2:7" ht="15" thickBot="1" x14ac:dyDescent="0.35">
      <c r="B359" s="170">
        <v>43353.645833333336</v>
      </c>
      <c r="C359" s="238">
        <v>1526.4</v>
      </c>
      <c r="D359" s="241">
        <f t="shared" si="13"/>
        <v>-0.61538073879957667</v>
      </c>
      <c r="E359" s="241">
        <v>1.3007698433767013E-2</v>
      </c>
      <c r="F359" s="242">
        <v>355</v>
      </c>
      <c r="G359" s="243">
        <f t="shared" ca="1" si="14"/>
        <v>-3.6261605326444006E-2</v>
      </c>
    </row>
    <row r="360" spans="2:7" ht="15" thickBot="1" x14ac:dyDescent="0.35">
      <c r="B360" s="170">
        <v>44440.645833333336</v>
      </c>
      <c r="C360" s="238">
        <v>3968.6</v>
      </c>
      <c r="D360" s="241">
        <f t="shared" si="13"/>
        <v>-0.24630139587883393</v>
      </c>
      <c r="E360" s="241">
        <v>1.3005245491557392E-2</v>
      </c>
      <c r="F360" s="242">
        <v>356</v>
      </c>
      <c r="G360" s="243">
        <f t="shared" ca="1" si="14"/>
        <v>-1.8540644513194815E-2</v>
      </c>
    </row>
    <row r="361" spans="2:7" ht="15" thickBot="1" x14ac:dyDescent="0.35">
      <c r="B361" s="170">
        <v>45560.645833333336</v>
      </c>
      <c r="C361" s="238">
        <v>5265.5</v>
      </c>
      <c r="D361" s="241">
        <f t="shared" si="13"/>
        <v>1.8856007672283874</v>
      </c>
      <c r="E361" s="241">
        <v>1.297601985359891E-2</v>
      </c>
      <c r="F361" s="242">
        <v>357</v>
      </c>
      <c r="G361" s="243">
        <f t="shared" ca="1" si="14"/>
        <v>3.4059900417978315E-3</v>
      </c>
    </row>
    <row r="362" spans="2:7" ht="15" thickBot="1" x14ac:dyDescent="0.35">
      <c r="B362" s="170">
        <v>43804.645833333336</v>
      </c>
      <c r="C362" s="238">
        <v>1824.75</v>
      </c>
      <c r="D362" s="241">
        <f t="shared" si="13"/>
        <v>0.18899459177689448</v>
      </c>
      <c r="E362" s="241">
        <v>1.2962140557344237E-2</v>
      </c>
      <c r="F362" s="242">
        <v>358</v>
      </c>
      <c r="G362" s="243">
        <f t="shared" ca="1" si="14"/>
        <v>-2.3609263846232813E-3</v>
      </c>
    </row>
    <row r="363" spans="2:7" ht="15" thickBot="1" x14ac:dyDescent="0.35">
      <c r="B363" s="170">
        <v>43361.645833333336</v>
      </c>
      <c r="C363" s="238">
        <v>1534.7</v>
      </c>
      <c r="D363" s="241">
        <f t="shared" si="13"/>
        <v>-0.63868157739846976</v>
      </c>
      <c r="E363" s="241">
        <v>1.2903012903012873E-2</v>
      </c>
      <c r="F363" s="242">
        <v>359</v>
      </c>
      <c r="G363" s="243">
        <f t="shared" ca="1" si="14"/>
        <v>-1.434719603121164E-2</v>
      </c>
    </row>
    <row r="364" spans="2:7" ht="15" thickBot="1" x14ac:dyDescent="0.35">
      <c r="B364" s="170">
        <v>44866.645833333336</v>
      </c>
      <c r="C364" s="238">
        <v>4247.5</v>
      </c>
      <c r="D364" s="241">
        <f t="shared" si="13"/>
        <v>3.7493893502686858E-2</v>
      </c>
      <c r="E364" s="241">
        <v>1.2840842702657677E-2</v>
      </c>
      <c r="F364" s="242">
        <v>360</v>
      </c>
      <c r="G364" s="243">
        <f t="shared" ca="1" si="14"/>
        <v>1.2577398134806531E-2</v>
      </c>
    </row>
    <row r="365" spans="2:7" ht="15" thickBot="1" x14ac:dyDescent="0.35">
      <c r="B365" s="170">
        <v>45804.645833333336</v>
      </c>
      <c r="C365" s="239">
        <v>4094</v>
      </c>
      <c r="D365" s="241">
        <f t="shared" si="13"/>
        <v>1.7359909112172955</v>
      </c>
      <c r="E365" s="241">
        <v>1.2789748410558299E-2</v>
      </c>
      <c r="F365" s="242">
        <v>361</v>
      </c>
      <c r="G365" s="243">
        <f t="shared" ca="1" si="14"/>
        <v>-1.123755798009767E-2</v>
      </c>
    </row>
    <row r="366" spans="2:7" ht="15" thickBot="1" x14ac:dyDescent="0.35">
      <c r="B366" s="170">
        <v>43503.645833333336</v>
      </c>
      <c r="C366" s="238">
        <v>1496.35</v>
      </c>
      <c r="D366" s="241">
        <f t="shared" si="13"/>
        <v>-0.25279636472585637</v>
      </c>
      <c r="E366" s="241">
        <v>1.275803722504224E-2</v>
      </c>
      <c r="F366" s="242">
        <v>362</v>
      </c>
      <c r="G366" s="243">
        <f t="shared" ca="1" si="14"/>
        <v>1.7356953444049904E-3</v>
      </c>
    </row>
    <row r="367" spans="2:7" ht="15" thickBot="1" x14ac:dyDescent="0.35">
      <c r="B367" s="170">
        <v>44116.645833333336</v>
      </c>
      <c r="C367" s="238">
        <v>2002.6</v>
      </c>
      <c r="D367" s="241">
        <f t="shared" si="13"/>
        <v>3.4053649342937455E-2</v>
      </c>
      <c r="E367" s="241">
        <v>1.2718399959543788E-2</v>
      </c>
      <c r="F367" s="242">
        <v>363</v>
      </c>
      <c r="G367" s="243">
        <f t="shared" ca="1" si="14"/>
        <v>-3.258165808651911E-3</v>
      </c>
    </row>
    <row r="368" spans="2:7" ht="15" thickBot="1" x14ac:dyDescent="0.35">
      <c r="B368" s="170">
        <v>43850.645833333336</v>
      </c>
      <c r="C368" s="238">
        <v>1936.65</v>
      </c>
      <c r="D368" s="241">
        <f t="shared" si="13"/>
        <v>-0.45034625645683146</v>
      </c>
      <c r="E368" s="241">
        <v>1.2706878970899773E-2</v>
      </c>
      <c r="F368" s="242">
        <v>364</v>
      </c>
      <c r="G368" s="243">
        <f t="shared" ca="1" si="14"/>
        <v>2.062163628681762E-2</v>
      </c>
    </row>
    <row r="369" spans="2:7" ht="15" thickBot="1" x14ac:dyDescent="0.35">
      <c r="B369" s="170">
        <v>45061.645833333336</v>
      </c>
      <c r="C369" s="238">
        <v>3523.4</v>
      </c>
      <c r="D369" s="241">
        <f t="shared" si="13"/>
        <v>1.5316328363571043</v>
      </c>
      <c r="E369" s="241">
        <v>1.268951641876844E-2</v>
      </c>
      <c r="F369" s="242">
        <v>365</v>
      </c>
      <c r="G369" s="243">
        <f t="shared" ca="1" si="14"/>
        <v>-1.2529934681972999E-3</v>
      </c>
    </row>
    <row r="370" spans="2:7" ht="15" thickBot="1" x14ac:dyDescent="0.35">
      <c r="B370" s="170">
        <v>43416.645833333336</v>
      </c>
      <c r="C370" s="238">
        <v>1391.75</v>
      </c>
      <c r="D370" s="241">
        <f t="shared" si="13"/>
        <v>-0.60754871274285882</v>
      </c>
      <c r="E370" s="241">
        <v>1.2660530432568189E-2</v>
      </c>
      <c r="F370" s="242">
        <v>366</v>
      </c>
      <c r="G370" s="243">
        <f t="shared" ca="1" si="14"/>
        <v>-4.4530585381939589E-2</v>
      </c>
    </row>
    <row r="371" spans="2:7" ht="15" thickBot="1" x14ac:dyDescent="0.35">
      <c r="B371" s="170">
        <v>44956.645833333336</v>
      </c>
      <c r="C371" s="238">
        <v>3546.3</v>
      </c>
      <c r="D371" s="241">
        <f t="shared" si="13"/>
        <v>0.11129216740046693</v>
      </c>
      <c r="E371" s="241">
        <v>1.2563172772178282E-2</v>
      </c>
      <c r="F371" s="242">
        <v>367</v>
      </c>
      <c r="G371" s="243">
        <f t="shared" ca="1" si="14"/>
        <v>-1.7679013450556863E-2</v>
      </c>
    </row>
    <row r="372" spans="2:7" ht="15" thickBot="1" x14ac:dyDescent="0.35">
      <c r="B372" s="170">
        <v>44263.645833333336</v>
      </c>
      <c r="C372" s="238">
        <v>3191.15</v>
      </c>
      <c r="D372" s="241">
        <f t="shared" si="13"/>
        <v>0.67761013563242567</v>
      </c>
      <c r="E372" s="241">
        <v>1.2468867490521498E-2</v>
      </c>
      <c r="F372" s="242">
        <v>368</v>
      </c>
      <c r="G372" s="243">
        <f t="shared" ca="1" si="14"/>
        <v>8.9522935464578634E-3</v>
      </c>
    </row>
    <row r="373" spans="2:7" ht="15" thickBot="1" x14ac:dyDescent="0.35">
      <c r="B373" s="170">
        <v>43733.645833333336</v>
      </c>
      <c r="C373" s="238">
        <v>1902.2</v>
      </c>
      <c r="D373" s="241">
        <f t="shared" si="13"/>
        <v>-0.51372769568996368</v>
      </c>
      <c r="E373" s="241">
        <v>1.245475835639775E-2</v>
      </c>
      <c r="F373" s="242">
        <v>369</v>
      </c>
      <c r="G373" s="243">
        <f t="shared" ca="1" si="14"/>
        <v>1.2859936872230963E-2</v>
      </c>
    </row>
    <row r="374" spans="2:7" ht="15" thickBot="1" x14ac:dyDescent="0.35">
      <c r="B374" s="170">
        <v>44938.645833333336</v>
      </c>
      <c r="C374" s="238">
        <v>3911.8</v>
      </c>
      <c r="D374" s="241">
        <f t="shared" si="13"/>
        <v>0.80875757155407613</v>
      </c>
      <c r="E374" s="241">
        <v>1.2449206718948252E-2</v>
      </c>
      <c r="F374" s="242">
        <v>370</v>
      </c>
      <c r="G374" s="243">
        <f t="shared" ca="1" si="14"/>
        <v>-1.3158238427548987E-2</v>
      </c>
    </row>
    <row r="375" spans="2:7" ht="15" thickBot="1" x14ac:dyDescent="0.35">
      <c r="B375" s="170">
        <v>44088.645833333336</v>
      </c>
      <c r="C375" s="238">
        <v>2162.6999999999998</v>
      </c>
      <c r="D375" s="241">
        <f t="shared" si="13"/>
        <v>-0.4372145673133222</v>
      </c>
      <c r="E375" s="241">
        <v>1.2428902464714429E-2</v>
      </c>
      <c r="F375" s="242">
        <v>371</v>
      </c>
      <c r="G375" s="243">
        <f t="shared" ca="1" si="14"/>
        <v>-2.3008266653505763E-2</v>
      </c>
    </row>
    <row r="376" spans="2:7" ht="15" thickBot="1" x14ac:dyDescent="0.35">
      <c r="B376" s="170">
        <v>45216.645833333336</v>
      </c>
      <c r="C376" s="238">
        <v>3842.85</v>
      </c>
      <c r="D376" s="241">
        <f t="shared" si="13"/>
        <v>1.723687008292579</v>
      </c>
      <c r="E376" s="241">
        <v>1.2355273383474518E-2</v>
      </c>
      <c r="F376" s="242">
        <v>372</v>
      </c>
      <c r="G376" s="243">
        <f t="shared" ca="1" si="14"/>
        <v>-2.2150607589915852E-2</v>
      </c>
    </row>
    <row r="377" spans="2:7" ht="15" thickBot="1" x14ac:dyDescent="0.35">
      <c r="B377" s="170">
        <v>43426.645833333336</v>
      </c>
      <c r="C377" s="238">
        <v>1410.9</v>
      </c>
      <c r="D377" s="241">
        <f t="shared" si="13"/>
        <v>-0.56859147823693978</v>
      </c>
      <c r="E377" s="241">
        <v>1.2341249910310716E-2</v>
      </c>
      <c r="F377" s="242">
        <v>373</v>
      </c>
      <c r="G377" s="243">
        <f t="shared" ca="1" si="14"/>
        <v>2.2100591437058465E-2</v>
      </c>
    </row>
    <row r="378" spans="2:7" ht="15" thickBot="1" x14ac:dyDescent="0.35">
      <c r="B378" s="170">
        <v>44693.645833333336</v>
      </c>
      <c r="C378" s="238">
        <v>3270.45</v>
      </c>
      <c r="D378" s="241">
        <f t="shared" si="13"/>
        <v>5.201447527141128E-2</v>
      </c>
      <c r="E378" s="241">
        <v>1.2335169937472888E-2</v>
      </c>
      <c r="F378" s="242">
        <v>374</v>
      </c>
      <c r="G378" s="243">
        <f t="shared" ca="1" si="14"/>
        <v>6.1552542472048085E-3</v>
      </c>
    </row>
    <row r="379" spans="2:7" ht="15" thickBot="1" x14ac:dyDescent="0.35">
      <c r="B379" s="170">
        <v>44270.645833333336</v>
      </c>
      <c r="C379" s="238">
        <v>3108.75</v>
      </c>
      <c r="D379" s="241">
        <f t="shared" si="13"/>
        <v>0.28988423716858225</v>
      </c>
      <c r="E379" s="241">
        <v>1.2292412894822533E-2</v>
      </c>
      <c r="F379" s="242">
        <v>375</v>
      </c>
      <c r="G379" s="243">
        <f t="shared" ca="1" si="14"/>
        <v>-2.7180348743423906E-2</v>
      </c>
    </row>
    <row r="380" spans="2:7" ht="15" thickBot="1" x14ac:dyDescent="0.35">
      <c r="B380" s="170">
        <v>44069.645833333336</v>
      </c>
      <c r="C380" s="238">
        <v>2410.1</v>
      </c>
      <c r="D380" s="241">
        <f t="shared" si="13"/>
        <v>-0.49078808366786397</v>
      </c>
      <c r="E380" s="241">
        <v>1.2285528277715943E-2</v>
      </c>
      <c r="F380" s="242">
        <v>376</v>
      </c>
      <c r="G380" s="243">
        <f t="shared" ca="1" si="14"/>
        <v>2.5940941769087993E-2</v>
      </c>
    </row>
    <row r="381" spans="2:7" ht="15" thickBot="1" x14ac:dyDescent="0.35">
      <c r="B381" s="170">
        <v>44496.645833333336</v>
      </c>
      <c r="C381" s="238">
        <v>4733</v>
      </c>
      <c r="D381" s="241">
        <f t="shared" si="13"/>
        <v>1.087689118256804</v>
      </c>
      <c r="E381" s="241">
        <v>1.2265674291275088E-2</v>
      </c>
      <c r="F381" s="242">
        <v>377</v>
      </c>
      <c r="G381" s="243">
        <f t="shared" ca="1" si="14"/>
        <v>-2.4537396528577952E-2</v>
      </c>
    </row>
    <row r="382" spans="2:7" ht="15" thickBot="1" x14ac:dyDescent="0.35">
      <c r="B382" s="170">
        <v>44133.645833333336</v>
      </c>
      <c r="C382" s="238">
        <v>2267.1</v>
      </c>
      <c r="D382" s="241">
        <f t="shared" si="13"/>
        <v>-2.1599810111559536E-2</v>
      </c>
      <c r="E382" s="241">
        <v>1.2143399258895404E-2</v>
      </c>
      <c r="F382" s="242">
        <v>378</v>
      </c>
      <c r="G382" s="243">
        <f t="shared" ca="1" si="14"/>
        <v>-3.7754000904214956E-2</v>
      </c>
    </row>
    <row r="383" spans="2:7" ht="15" thickBot="1" x14ac:dyDescent="0.35">
      <c r="B383" s="170">
        <v>44012.645833333336</v>
      </c>
      <c r="C383" s="238">
        <v>2317.15</v>
      </c>
      <c r="D383" s="241">
        <f t="shared" si="13"/>
        <v>-0.13278691592282779</v>
      </c>
      <c r="E383" s="241">
        <v>1.2143184746762261E-2</v>
      </c>
      <c r="F383" s="242">
        <v>379</v>
      </c>
      <c r="G383" s="243">
        <f t="shared" ca="1" si="14"/>
        <v>-8.3755573173585774E-3</v>
      </c>
    </row>
    <row r="384" spans="2:7" ht="15" thickBot="1" x14ac:dyDescent="0.35">
      <c r="B384" s="170">
        <v>44179.645833333336</v>
      </c>
      <c r="C384" s="238">
        <v>2671.95</v>
      </c>
      <c r="D384" s="241">
        <f t="shared" si="13"/>
        <v>-0.34692705341757613</v>
      </c>
      <c r="E384" s="241">
        <v>1.2083104486657311E-2</v>
      </c>
      <c r="F384" s="242">
        <v>380</v>
      </c>
      <c r="G384" s="243">
        <f t="shared" ca="1" si="14"/>
        <v>-1.0524085734535366E-2</v>
      </c>
    </row>
    <row r="385" spans="2:7" ht="15" thickBot="1" x14ac:dyDescent="0.35">
      <c r="B385" s="170">
        <v>44643.645833333336</v>
      </c>
      <c r="C385" s="238">
        <v>4091.35</v>
      </c>
      <c r="D385" s="241">
        <f t="shared" si="13"/>
        <v>0.79571190308988748</v>
      </c>
      <c r="E385" s="241">
        <v>1.1996487626303226E-2</v>
      </c>
      <c r="F385" s="242">
        <v>381</v>
      </c>
      <c r="G385" s="243">
        <f t="shared" ca="1" si="14"/>
        <v>1.3780845457220817E-2</v>
      </c>
    </row>
    <row r="386" spans="2:7" ht="15" thickBot="1" x14ac:dyDescent="0.35">
      <c r="B386" s="170">
        <v>44077.645833333336</v>
      </c>
      <c r="C386" s="238">
        <v>2278.4</v>
      </c>
      <c r="D386" s="241">
        <f t="shared" si="13"/>
        <v>-0.32827218184766421</v>
      </c>
      <c r="E386" s="241">
        <v>1.1970063736703136E-2</v>
      </c>
      <c r="F386" s="242">
        <v>382</v>
      </c>
      <c r="G386" s="243">
        <f t="shared" ca="1" si="14"/>
        <v>-2.1212719688308668E-2</v>
      </c>
    </row>
    <row r="387" spans="2:7" ht="15" thickBot="1" x14ac:dyDescent="0.35">
      <c r="B387" s="170">
        <v>44995.645833333336</v>
      </c>
      <c r="C387" s="238">
        <v>3391.85</v>
      </c>
      <c r="D387" s="241">
        <f t="shared" si="13"/>
        <v>0.44202112960482953</v>
      </c>
      <c r="E387" s="241">
        <v>1.1963899455508289E-2</v>
      </c>
      <c r="F387" s="242">
        <v>383</v>
      </c>
      <c r="G387" s="243">
        <f t="shared" ca="1" si="14"/>
        <v>-8.6218444930972974E-3</v>
      </c>
    </row>
    <row r="388" spans="2:7" ht="15" thickBot="1" x14ac:dyDescent="0.35">
      <c r="B388" s="170">
        <v>43964.645833333336</v>
      </c>
      <c r="C388" s="238">
        <v>2352.15</v>
      </c>
      <c r="D388" s="241">
        <f t="shared" si="13"/>
        <v>0.27539650264335103</v>
      </c>
      <c r="E388" s="241">
        <v>1.1938564790913785E-2</v>
      </c>
      <c r="F388" s="242">
        <v>384</v>
      </c>
      <c r="G388" s="243">
        <f t="shared" ca="1" si="14"/>
        <v>-1.8715335880081757E-2</v>
      </c>
    </row>
    <row r="389" spans="2:7" ht="15" thickBot="1" x14ac:dyDescent="0.35">
      <c r="B389" s="170">
        <v>43797.645833333336</v>
      </c>
      <c r="C389" s="238">
        <v>1844.25</v>
      </c>
      <c r="D389" s="241">
        <f t="shared" ref="D389:D452" si="15">(C389-C390)/C390</f>
        <v>-0.53859144358268707</v>
      </c>
      <c r="E389" s="241">
        <v>1.1934156378600824E-2</v>
      </c>
      <c r="F389" s="242">
        <v>385</v>
      </c>
      <c r="G389" s="243">
        <f t="shared" ca="1" si="14"/>
        <v>2.5105592479314036E-2</v>
      </c>
    </row>
    <row r="390" spans="2:7" ht="15" thickBot="1" x14ac:dyDescent="0.35">
      <c r="B390" s="170">
        <v>45863.645833333336</v>
      </c>
      <c r="C390" s="239">
        <v>3997</v>
      </c>
      <c r="D390" s="241">
        <f t="shared" si="15"/>
        <v>7.3769611003653535E-2</v>
      </c>
      <c r="E390" s="241">
        <v>1.1924352515253528E-2</v>
      </c>
      <c r="F390" s="242">
        <v>386</v>
      </c>
      <c r="G390" s="243">
        <f t="shared" ref="G390:G453" ca="1" si="16">_xlfn.NORM.INV(RAND(),$M$7,$M$8)</f>
        <v>3.7723007680323647E-2</v>
      </c>
    </row>
    <row r="391" spans="2:7" ht="15" thickBot="1" x14ac:dyDescent="0.35">
      <c r="B391" s="170">
        <v>45336.645833333336</v>
      </c>
      <c r="C391" s="238">
        <v>3722.4</v>
      </c>
      <c r="D391" s="241">
        <f t="shared" si="15"/>
        <v>1.7859147550798935</v>
      </c>
      <c r="E391" s="241">
        <v>1.1906703637253352E-2</v>
      </c>
      <c r="F391" s="242">
        <v>387</v>
      </c>
      <c r="G391" s="243">
        <f t="shared" ca="1" si="16"/>
        <v>-4.1747665491758974E-3</v>
      </c>
    </row>
    <row r="392" spans="2:7" ht="15" thickBot="1" x14ac:dyDescent="0.35">
      <c r="B392" s="170">
        <v>43636.645833333336</v>
      </c>
      <c r="C392" s="238">
        <v>1336.15</v>
      </c>
      <c r="D392" s="241">
        <f t="shared" si="15"/>
        <v>-8.010327022375209E-2</v>
      </c>
      <c r="E392" s="241">
        <v>1.1889886023704074E-2</v>
      </c>
      <c r="F392" s="242">
        <v>388</v>
      </c>
      <c r="G392" s="243">
        <f t="shared" ca="1" si="16"/>
        <v>3.1302260074252304E-3</v>
      </c>
    </row>
    <row r="393" spans="2:7" ht="15" thickBot="1" x14ac:dyDescent="0.35">
      <c r="B393" s="170">
        <v>43278.645833333336</v>
      </c>
      <c r="C393" s="238">
        <v>1452.5</v>
      </c>
      <c r="D393" s="241">
        <f t="shared" si="15"/>
        <v>-0.6094590234459023</v>
      </c>
      <c r="E393" s="241">
        <v>1.1877808352781325E-2</v>
      </c>
      <c r="F393" s="242">
        <v>389</v>
      </c>
      <c r="G393" s="243">
        <f t="shared" ca="1" si="16"/>
        <v>-4.8895315719986948E-3</v>
      </c>
    </row>
    <row r="394" spans="2:7" ht="15" thickBot="1" x14ac:dyDescent="0.35">
      <c r="B394" s="170">
        <v>45331.645833333336</v>
      </c>
      <c r="C394" s="238">
        <v>3719.2</v>
      </c>
      <c r="D394" s="241">
        <f t="shared" si="15"/>
        <v>-5.1599495097601804E-2</v>
      </c>
      <c r="E394" s="241">
        <v>1.1862008923713111E-2</v>
      </c>
      <c r="F394" s="242">
        <v>390</v>
      </c>
      <c r="G394" s="243">
        <f t="shared" ca="1" si="16"/>
        <v>2.3402495788101985E-2</v>
      </c>
    </row>
    <row r="395" spans="2:7" ht="15" thickBot="1" x14ac:dyDescent="0.35">
      <c r="B395" s="170">
        <v>44917.645833333336</v>
      </c>
      <c r="C395" s="238">
        <v>3921.55</v>
      </c>
      <c r="D395" s="241">
        <f t="shared" si="15"/>
        <v>0.58712588785235864</v>
      </c>
      <c r="E395" s="241">
        <v>1.1856228712973546E-2</v>
      </c>
      <c r="F395" s="242">
        <v>391</v>
      </c>
      <c r="G395" s="243">
        <f t="shared" ca="1" si="16"/>
        <v>-1.2133436020397657E-2</v>
      </c>
    </row>
    <row r="396" spans="2:7" ht="15" thickBot="1" x14ac:dyDescent="0.35">
      <c r="B396" s="170">
        <v>44168.645833333336</v>
      </c>
      <c r="C396" s="238">
        <v>2470.85</v>
      </c>
      <c r="D396" s="241">
        <f t="shared" si="15"/>
        <v>-0.49177242528333709</v>
      </c>
      <c r="E396" s="241">
        <v>1.1855522339162053E-2</v>
      </c>
      <c r="F396" s="242">
        <v>392</v>
      </c>
      <c r="G396" s="243">
        <f t="shared" ca="1" si="16"/>
        <v>-7.7928392827918292E-3</v>
      </c>
    </row>
    <row r="397" spans="2:7" ht="15" thickBot="1" x14ac:dyDescent="0.35">
      <c r="B397" s="170">
        <v>45463.645833333336</v>
      </c>
      <c r="C397" s="238">
        <v>4861.7</v>
      </c>
      <c r="D397" s="241">
        <f t="shared" si="15"/>
        <v>1.0831690804696201</v>
      </c>
      <c r="E397" s="241">
        <v>1.183179495717857E-2</v>
      </c>
      <c r="F397" s="242">
        <v>393</v>
      </c>
      <c r="G397" s="243">
        <f t="shared" ca="1" si="16"/>
        <v>-1.0826281992780807E-2</v>
      </c>
    </row>
    <row r="398" spans="2:7" ht="15" thickBot="1" x14ac:dyDescent="0.35">
      <c r="B398" s="170">
        <v>43966.645833333336</v>
      </c>
      <c r="C398" s="238">
        <v>2333.8000000000002</v>
      </c>
      <c r="D398" s="241">
        <f t="shared" si="15"/>
        <v>-0.42460552268244572</v>
      </c>
      <c r="E398" s="241">
        <v>1.1814181353103118E-2</v>
      </c>
      <c r="F398" s="242">
        <v>394</v>
      </c>
      <c r="G398" s="243">
        <f t="shared" ca="1" si="16"/>
        <v>-1.0961007532802689E-2</v>
      </c>
    </row>
    <row r="399" spans="2:7" ht="15" thickBot="1" x14ac:dyDescent="0.35">
      <c r="B399" s="170">
        <v>44669.645833333336</v>
      </c>
      <c r="C399" s="238">
        <v>4056</v>
      </c>
      <c r="D399" s="241">
        <f t="shared" si="15"/>
        <v>1.2515821028089262</v>
      </c>
      <c r="E399" s="241">
        <v>1.174885878919402E-2</v>
      </c>
      <c r="F399" s="242">
        <v>395</v>
      </c>
      <c r="G399" s="243">
        <f t="shared" ca="1" si="16"/>
        <v>1.897402633156809E-2</v>
      </c>
    </row>
    <row r="400" spans="2:7" ht="15" thickBot="1" x14ac:dyDescent="0.35">
      <c r="B400" s="170">
        <v>43805.645833333336</v>
      </c>
      <c r="C400" s="238">
        <v>1801.4</v>
      </c>
      <c r="D400" s="241">
        <f t="shared" si="15"/>
        <v>-0.21195152893827376</v>
      </c>
      <c r="E400" s="241">
        <v>1.1709864929375832E-2</v>
      </c>
      <c r="F400" s="242">
        <v>396</v>
      </c>
      <c r="G400" s="243">
        <f t="shared" ca="1" si="16"/>
        <v>-2.5210847117293825E-2</v>
      </c>
    </row>
    <row r="401" spans="2:7" ht="15" thickBot="1" x14ac:dyDescent="0.35">
      <c r="B401" s="170">
        <v>44063.645833333336</v>
      </c>
      <c r="C401" s="238">
        <v>2285.9</v>
      </c>
      <c r="D401" s="241">
        <f t="shared" si="15"/>
        <v>0.71478939274595865</v>
      </c>
      <c r="E401" s="241">
        <v>1.1706388722919417E-2</v>
      </c>
      <c r="F401" s="242">
        <v>397</v>
      </c>
      <c r="G401" s="243">
        <f t="shared" ca="1" si="16"/>
        <v>-1.2104836136843775E-2</v>
      </c>
    </row>
    <row r="402" spans="2:7" ht="15" thickBot="1" x14ac:dyDescent="0.35">
      <c r="B402" s="170">
        <v>43620.645833333336</v>
      </c>
      <c r="C402" s="238">
        <v>1333.05</v>
      </c>
      <c r="D402" s="241">
        <f t="shared" si="15"/>
        <v>-0.62449824650357033</v>
      </c>
      <c r="E402" s="241">
        <v>1.1687473911888485E-2</v>
      </c>
      <c r="F402" s="242">
        <v>398</v>
      </c>
      <c r="G402" s="243">
        <f t="shared" ca="1" si="16"/>
        <v>7.2739727551920973E-3</v>
      </c>
    </row>
    <row r="403" spans="2:7" ht="15" thickBot="1" x14ac:dyDescent="0.35">
      <c r="B403" s="170">
        <v>45149.645833333336</v>
      </c>
      <c r="C403" s="238">
        <v>3550.05</v>
      </c>
      <c r="D403" s="241">
        <f t="shared" si="15"/>
        <v>-0.33006548281783699</v>
      </c>
      <c r="E403" s="241">
        <v>1.1612002393639756E-2</v>
      </c>
      <c r="F403" s="242">
        <v>399</v>
      </c>
      <c r="G403" s="243">
        <f t="shared" ca="1" si="16"/>
        <v>1.9943087900593931E-2</v>
      </c>
    </row>
    <row r="404" spans="2:7" ht="15" thickBot="1" x14ac:dyDescent="0.35">
      <c r="B404" s="170">
        <v>45546.645833333336</v>
      </c>
      <c r="C404" s="238">
        <v>5299.1</v>
      </c>
      <c r="D404" s="241">
        <f t="shared" si="15"/>
        <v>0.4208988040971739</v>
      </c>
      <c r="E404" s="241">
        <v>1.1558541962947796E-2</v>
      </c>
      <c r="F404" s="242">
        <v>400</v>
      </c>
      <c r="G404" s="243">
        <f t="shared" ca="1" si="16"/>
        <v>-1.1941658809014473E-2</v>
      </c>
    </row>
    <row r="405" spans="2:7" ht="15" thickBot="1" x14ac:dyDescent="0.35">
      <c r="B405" s="170">
        <v>45189.645833333336</v>
      </c>
      <c r="C405" s="238">
        <v>3729.4</v>
      </c>
      <c r="D405" s="241">
        <f t="shared" si="15"/>
        <v>8.2475872578187392E-2</v>
      </c>
      <c r="E405" s="241">
        <v>1.1513581686760133E-2</v>
      </c>
      <c r="F405" s="242">
        <v>401</v>
      </c>
      <c r="G405" s="243">
        <f t="shared" ca="1" si="16"/>
        <v>-3.1090787404470445E-2</v>
      </c>
    </row>
    <row r="406" spans="2:7" ht="15" thickBot="1" x14ac:dyDescent="0.35">
      <c r="B406" s="170">
        <v>44741.645833333336</v>
      </c>
      <c r="C406" s="238">
        <v>3445.25</v>
      </c>
      <c r="D406" s="241">
        <f t="shared" si="15"/>
        <v>1.4248662725225225</v>
      </c>
      <c r="E406" s="241">
        <v>1.1494084143154955E-2</v>
      </c>
      <c r="F406" s="242">
        <v>402</v>
      </c>
      <c r="G406" s="243">
        <f t="shared" ca="1" si="16"/>
        <v>2.7554304530908943E-4</v>
      </c>
    </row>
    <row r="407" spans="2:7" ht="15" thickBot="1" x14ac:dyDescent="0.35">
      <c r="B407" s="170">
        <v>43369.645833333336</v>
      </c>
      <c r="C407" s="238">
        <v>1420.8</v>
      </c>
      <c r="D407" s="241">
        <f t="shared" si="15"/>
        <v>-0.67016818915185772</v>
      </c>
      <c r="E407" s="241">
        <v>1.142552055525891E-2</v>
      </c>
      <c r="F407" s="242">
        <v>403</v>
      </c>
      <c r="G407" s="243">
        <f t="shared" ca="1" si="16"/>
        <v>-1.2260681757600186E-3</v>
      </c>
    </row>
    <row r="408" spans="2:7" ht="15" thickBot="1" x14ac:dyDescent="0.35">
      <c r="B408" s="170">
        <v>44774.645833333336</v>
      </c>
      <c r="C408" s="238">
        <v>4307.6499999999996</v>
      </c>
      <c r="D408" s="241">
        <f t="shared" si="15"/>
        <v>5.4982060419039108E-2</v>
      </c>
      <c r="E408" s="241">
        <v>1.1399121880209261E-2</v>
      </c>
      <c r="F408" s="242">
        <v>404</v>
      </c>
      <c r="G408" s="243">
        <f t="shared" ca="1" si="16"/>
        <v>-2.4888809480405789E-2</v>
      </c>
    </row>
    <row r="409" spans="2:7" ht="15" thickBot="1" x14ac:dyDescent="0.35">
      <c r="B409" s="170">
        <v>44902.645833333336</v>
      </c>
      <c r="C409" s="238">
        <v>4083.15</v>
      </c>
      <c r="D409" s="241">
        <f t="shared" si="15"/>
        <v>2.0327552270954805</v>
      </c>
      <c r="E409" s="241">
        <v>1.1381650648964696E-2</v>
      </c>
      <c r="F409" s="242">
        <v>405</v>
      </c>
      <c r="G409" s="243">
        <f t="shared" ca="1" si="16"/>
        <v>-3.0159104680257308E-2</v>
      </c>
    </row>
    <row r="410" spans="2:7" ht="15" thickBot="1" x14ac:dyDescent="0.35">
      <c r="B410" s="170">
        <v>43377.645833333336</v>
      </c>
      <c r="C410" s="238">
        <v>1346.35</v>
      </c>
      <c r="D410" s="241">
        <f t="shared" si="15"/>
        <v>-0.62296619899745165</v>
      </c>
      <c r="E410" s="241">
        <v>1.1380709134615282E-2</v>
      </c>
      <c r="F410" s="242">
        <v>406</v>
      </c>
      <c r="G410" s="243">
        <f t="shared" ca="1" si="16"/>
        <v>7.9251737122819459E-3</v>
      </c>
    </row>
    <row r="411" spans="2:7" ht="15" thickBot="1" x14ac:dyDescent="0.35">
      <c r="B411" s="170">
        <v>45712.645833333336</v>
      </c>
      <c r="C411" s="238">
        <v>3570.9</v>
      </c>
      <c r="D411" s="241">
        <f t="shared" si="15"/>
        <v>-3.2223968778795624E-2</v>
      </c>
      <c r="E411" s="241">
        <v>1.137152163138146E-2</v>
      </c>
      <c r="F411" s="242">
        <v>407</v>
      </c>
      <c r="G411" s="243">
        <f t="shared" ca="1" si="16"/>
        <v>6.1416979619537742E-3</v>
      </c>
    </row>
    <row r="412" spans="2:7" ht="15" thickBot="1" x14ac:dyDescent="0.35">
      <c r="B412" s="170">
        <v>44943.645833333336</v>
      </c>
      <c r="C412" s="238">
        <v>3689.8</v>
      </c>
      <c r="D412" s="241">
        <f t="shared" si="15"/>
        <v>-3.6177937988140951E-2</v>
      </c>
      <c r="E412" s="241">
        <v>1.1292002411884085E-2</v>
      </c>
      <c r="F412" s="242">
        <v>408</v>
      </c>
      <c r="G412" s="243">
        <f t="shared" ca="1" si="16"/>
        <v>-3.0794322346953722E-2</v>
      </c>
    </row>
    <row r="413" spans="2:7" ht="15" thickBot="1" x14ac:dyDescent="0.35">
      <c r="B413" s="170">
        <v>45307.645833333336</v>
      </c>
      <c r="C413" s="238">
        <v>3828.3</v>
      </c>
      <c r="D413" s="241">
        <f t="shared" si="15"/>
        <v>-6.9773657801698391E-2</v>
      </c>
      <c r="E413" s="241">
        <v>1.105256902903785E-2</v>
      </c>
      <c r="F413" s="242">
        <v>409</v>
      </c>
      <c r="G413" s="243">
        <f t="shared" ca="1" si="16"/>
        <v>8.8711226444605287E-3</v>
      </c>
    </row>
    <row r="414" spans="2:7" ht="15" thickBot="1" x14ac:dyDescent="0.35">
      <c r="B414" s="170">
        <v>45267.645833333336</v>
      </c>
      <c r="C414" s="238">
        <v>4115.45</v>
      </c>
      <c r="D414" s="241">
        <f t="shared" si="15"/>
        <v>-0.18964074391312488</v>
      </c>
      <c r="E414" s="241">
        <v>1.1005613354132564E-2</v>
      </c>
      <c r="F414" s="242">
        <v>410</v>
      </c>
      <c r="G414" s="243">
        <f t="shared" ca="1" si="16"/>
        <v>-2.4881391122445412E-3</v>
      </c>
    </row>
    <row r="415" spans="2:7" ht="15" thickBot="1" x14ac:dyDescent="0.35">
      <c r="B415" s="170">
        <v>44512.645833333336</v>
      </c>
      <c r="C415" s="238">
        <v>5078.55</v>
      </c>
      <c r="D415" s="241">
        <f t="shared" si="15"/>
        <v>0.23916942184049672</v>
      </c>
      <c r="E415" s="241">
        <v>1.0998745844365257E-2</v>
      </c>
      <c r="F415" s="242">
        <v>411</v>
      </c>
      <c r="G415" s="243">
        <f t="shared" ca="1" si="16"/>
        <v>-3.8714714772874734E-2</v>
      </c>
    </row>
    <row r="416" spans="2:7" ht="15" thickBot="1" x14ac:dyDescent="0.35">
      <c r="B416" s="170">
        <v>44879.645833333336</v>
      </c>
      <c r="C416" s="238">
        <v>4098.3500000000004</v>
      </c>
      <c r="D416" s="241">
        <f t="shared" si="15"/>
        <v>7.5978944328489631E-2</v>
      </c>
      <c r="E416" s="241">
        <v>1.0989688687157773E-2</v>
      </c>
      <c r="F416" s="242">
        <v>412</v>
      </c>
      <c r="G416" s="243">
        <f t="shared" ca="1" si="16"/>
        <v>-8.1424216365906365E-3</v>
      </c>
    </row>
    <row r="417" spans="2:7" ht="15" thickBot="1" x14ac:dyDescent="0.35">
      <c r="B417" s="170">
        <v>45114.645833333336</v>
      </c>
      <c r="C417" s="238">
        <v>3808.95</v>
      </c>
      <c r="D417" s="241">
        <f t="shared" si="15"/>
        <v>0.95180630284396606</v>
      </c>
      <c r="E417" s="241">
        <v>1.0948323911139422E-2</v>
      </c>
      <c r="F417" s="242">
        <v>413</v>
      </c>
      <c r="G417" s="243">
        <f t="shared" ca="1" si="16"/>
        <v>1.3182182903450084E-3</v>
      </c>
    </row>
    <row r="418" spans="2:7" ht="15" thickBot="1" x14ac:dyDescent="0.35">
      <c r="B418" s="170">
        <v>43857.645833333336</v>
      </c>
      <c r="C418" s="238">
        <v>1951.5</v>
      </c>
      <c r="D418" s="241">
        <f t="shared" si="15"/>
        <v>0.29011998810035361</v>
      </c>
      <c r="E418" s="241">
        <v>1.0904193322800359E-2</v>
      </c>
      <c r="F418" s="242">
        <v>414</v>
      </c>
      <c r="G418" s="243">
        <f t="shared" ca="1" si="16"/>
        <v>1.3685464370465094E-2</v>
      </c>
    </row>
    <row r="419" spans="2:7" ht="15" thickBot="1" x14ac:dyDescent="0.35">
      <c r="B419" s="170">
        <v>43502.645833333336</v>
      </c>
      <c r="C419" s="238">
        <v>1512.65</v>
      </c>
      <c r="D419" s="241">
        <f t="shared" si="15"/>
        <v>-0.63448434177459878</v>
      </c>
      <c r="E419" s="241">
        <v>1.0893173388578998E-2</v>
      </c>
      <c r="F419" s="242">
        <v>415</v>
      </c>
      <c r="G419" s="243">
        <f t="shared" ca="1" si="16"/>
        <v>-1.3643378724315106E-2</v>
      </c>
    </row>
    <row r="420" spans="2:7" ht="15" thickBot="1" x14ac:dyDescent="0.35">
      <c r="B420" s="170">
        <v>45803.645833333336</v>
      </c>
      <c r="C420" s="239">
        <v>4138.3999999999996</v>
      </c>
      <c r="D420" s="241">
        <f t="shared" si="15"/>
        <v>1.8185935637663884</v>
      </c>
      <c r="E420" s="241">
        <v>1.0845139228138651E-2</v>
      </c>
      <c r="F420" s="242">
        <v>416</v>
      </c>
      <c r="G420" s="243">
        <f t="shared" ca="1" si="16"/>
        <v>5.1576189354846569E-3</v>
      </c>
    </row>
    <row r="421" spans="2:7" ht="15" thickBot="1" x14ac:dyDescent="0.35">
      <c r="B421" s="170">
        <v>43277.645833333336</v>
      </c>
      <c r="C421" s="238">
        <v>1468.25</v>
      </c>
      <c r="D421" s="241">
        <f t="shared" si="15"/>
        <v>3.5765934182215825E-2</v>
      </c>
      <c r="E421" s="241">
        <v>1.0843373493975903E-2</v>
      </c>
      <c r="F421" s="242">
        <v>417</v>
      </c>
      <c r="G421" s="243">
        <f t="shared" ca="1" si="16"/>
        <v>3.2048439736921445E-2</v>
      </c>
    </row>
    <row r="422" spans="2:7" ht="15" thickBot="1" x14ac:dyDescent="0.35">
      <c r="B422" s="170">
        <v>43668.645833333336</v>
      </c>
      <c r="C422" s="238">
        <v>1417.55</v>
      </c>
      <c r="D422" s="241">
        <f t="shared" si="15"/>
        <v>-4.7889310541693222E-2</v>
      </c>
      <c r="E422" s="241">
        <v>1.0838948907191533E-2</v>
      </c>
      <c r="F422" s="242">
        <v>418</v>
      </c>
      <c r="G422" s="243">
        <f t="shared" ca="1" si="16"/>
        <v>-1.47902166680411E-2</v>
      </c>
    </row>
    <row r="423" spans="2:7" ht="15" thickBot="1" x14ac:dyDescent="0.35">
      <c r="B423" s="170">
        <v>43200.645833333336</v>
      </c>
      <c r="C423" s="238">
        <v>1488.85</v>
      </c>
      <c r="D423" s="241">
        <f t="shared" si="15"/>
        <v>-0.33728745660108611</v>
      </c>
      <c r="E423" s="241">
        <v>1.0760353021045424E-2</v>
      </c>
      <c r="F423" s="242">
        <v>419</v>
      </c>
      <c r="G423" s="243">
        <f t="shared" ca="1" si="16"/>
        <v>8.1432791112739707E-3</v>
      </c>
    </row>
    <row r="424" spans="2:7" ht="15" thickBot="1" x14ac:dyDescent="0.35">
      <c r="B424" s="170">
        <v>44082.645833333336</v>
      </c>
      <c r="C424" s="238">
        <v>2246.6</v>
      </c>
      <c r="D424" s="241">
        <f t="shared" si="15"/>
        <v>2.1669433138543439E-2</v>
      </c>
      <c r="E424" s="241">
        <v>1.0752688172043053E-2</v>
      </c>
      <c r="F424" s="242">
        <v>420</v>
      </c>
      <c r="G424" s="243">
        <f t="shared" ca="1" si="16"/>
        <v>-6.654713734785731E-3</v>
      </c>
    </row>
    <row r="425" spans="2:7" ht="15" thickBot="1" x14ac:dyDescent="0.35">
      <c r="B425" s="170">
        <v>43956.645833333336</v>
      </c>
      <c r="C425" s="238">
        <v>2198.9499999999998</v>
      </c>
      <c r="D425" s="241">
        <f t="shared" si="15"/>
        <v>-0.40920997837213369</v>
      </c>
      <c r="E425" s="241">
        <v>1.073267144695712E-2</v>
      </c>
      <c r="F425" s="242">
        <v>421</v>
      </c>
      <c r="G425" s="243">
        <f t="shared" ca="1" si="16"/>
        <v>8.568759840546263E-4</v>
      </c>
    </row>
    <row r="426" spans="2:7" ht="15" thickBot="1" x14ac:dyDescent="0.35">
      <c r="B426" s="170">
        <v>45698.645833333336</v>
      </c>
      <c r="C426" s="238">
        <v>3722.05</v>
      </c>
      <c r="D426" s="241">
        <f t="shared" si="15"/>
        <v>1.2312441926685249</v>
      </c>
      <c r="E426" s="241">
        <v>1.0685095174736026E-2</v>
      </c>
      <c r="F426" s="242">
        <v>422</v>
      </c>
      <c r="G426" s="243">
        <f t="shared" ca="1" si="16"/>
        <v>2.5683165497981729E-3</v>
      </c>
    </row>
    <row r="427" spans="2:7" ht="15" thickBot="1" x14ac:dyDescent="0.35">
      <c r="B427" s="170">
        <v>43452.645833333336</v>
      </c>
      <c r="C427" s="238">
        <v>1668.15</v>
      </c>
      <c r="D427" s="241">
        <f t="shared" si="15"/>
        <v>0.12276627965673909</v>
      </c>
      <c r="E427" s="241">
        <v>1.0632497273718759E-2</v>
      </c>
      <c r="F427" s="242">
        <v>423</v>
      </c>
      <c r="G427" s="243">
        <f t="shared" ca="1" si="16"/>
        <v>-2.4689952455869874E-2</v>
      </c>
    </row>
    <row r="428" spans="2:7" ht="15" thickBot="1" x14ac:dyDescent="0.35">
      <c r="B428" s="170">
        <v>43699.645833333336</v>
      </c>
      <c r="C428" s="238">
        <v>1485.75</v>
      </c>
      <c r="D428" s="241">
        <f t="shared" si="15"/>
        <v>-0.49224223368989439</v>
      </c>
      <c r="E428" s="241">
        <v>1.0576792273160083E-2</v>
      </c>
      <c r="F428" s="242">
        <v>424</v>
      </c>
      <c r="G428" s="243">
        <f t="shared" ca="1" si="16"/>
        <v>3.256708773223671E-2</v>
      </c>
    </row>
    <row r="429" spans="2:7" ht="15" thickBot="1" x14ac:dyDescent="0.35">
      <c r="B429" s="170">
        <v>44209.645833333336</v>
      </c>
      <c r="C429" s="238">
        <v>2926.1</v>
      </c>
      <c r="D429" s="241">
        <f t="shared" si="15"/>
        <v>-0.3946459234127066</v>
      </c>
      <c r="E429" s="241">
        <v>1.0550672583792275E-2</v>
      </c>
      <c r="F429" s="242">
        <v>425</v>
      </c>
      <c r="G429" s="243">
        <f t="shared" ca="1" si="16"/>
        <v>1.4933412669988608E-2</v>
      </c>
    </row>
    <row r="430" spans="2:7" ht="15" thickBot="1" x14ac:dyDescent="0.35">
      <c r="B430" s="170">
        <v>45467.645833333336</v>
      </c>
      <c r="C430" s="238">
        <v>4833.7</v>
      </c>
      <c r="D430" s="241">
        <f t="shared" si="15"/>
        <v>0.11366594859861519</v>
      </c>
      <c r="E430" s="241">
        <v>1.0526095727889335E-2</v>
      </c>
      <c r="F430" s="242">
        <v>426</v>
      </c>
      <c r="G430" s="243">
        <f t="shared" ca="1" si="16"/>
        <v>-3.3554938086138159E-2</v>
      </c>
    </row>
    <row r="431" spans="2:7" ht="15" thickBot="1" x14ac:dyDescent="0.35">
      <c r="B431" s="170">
        <v>44620.645833333336</v>
      </c>
      <c r="C431" s="238">
        <v>4340.3500000000004</v>
      </c>
      <c r="D431" s="241">
        <f t="shared" si="15"/>
        <v>6.5012023359670282E-2</v>
      </c>
      <c r="E431" s="241">
        <v>1.0523497433151516E-2</v>
      </c>
      <c r="F431" s="242">
        <v>427</v>
      </c>
      <c r="G431" s="243">
        <f t="shared" ca="1" si="16"/>
        <v>-3.0504216162692666E-2</v>
      </c>
    </row>
    <row r="432" spans="2:7" ht="15" thickBot="1" x14ac:dyDescent="0.35">
      <c r="B432" s="170">
        <v>45272.645833333336</v>
      </c>
      <c r="C432" s="238">
        <v>4075.4</v>
      </c>
      <c r="D432" s="241">
        <f t="shared" si="15"/>
        <v>5.3283339089249364E-3</v>
      </c>
      <c r="E432" s="241">
        <v>1.050073765512451E-2</v>
      </c>
      <c r="F432" s="242">
        <v>428</v>
      </c>
      <c r="G432" s="243">
        <f t="shared" ca="1" si="16"/>
        <v>-8.9212725276168747E-3</v>
      </c>
    </row>
    <row r="433" spans="2:7" ht="15" thickBot="1" x14ac:dyDescent="0.35">
      <c r="B433" s="170">
        <v>44880.645833333336</v>
      </c>
      <c r="C433" s="238">
        <v>4053.8</v>
      </c>
      <c r="D433" s="241">
        <f t="shared" si="15"/>
        <v>2.6282108654792804</v>
      </c>
      <c r="E433" s="241">
        <v>1.0494304160331123E-2</v>
      </c>
      <c r="F433" s="242">
        <v>429</v>
      </c>
      <c r="G433" s="243">
        <f t="shared" ca="1" si="16"/>
        <v>2.7575609227207462E-2</v>
      </c>
    </row>
    <row r="434" spans="2:7" ht="15" thickBot="1" x14ac:dyDescent="0.35">
      <c r="B434" s="170">
        <v>43136.645833333336</v>
      </c>
      <c r="C434" s="238">
        <v>1117.3</v>
      </c>
      <c r="D434" s="241">
        <f t="shared" si="15"/>
        <v>-0.61955189321710713</v>
      </c>
      <c r="E434" s="241">
        <v>1.0491091616170669E-2</v>
      </c>
      <c r="F434" s="242">
        <v>430</v>
      </c>
      <c r="G434" s="243">
        <f t="shared" ca="1" si="16"/>
        <v>1.8817045281193562E-2</v>
      </c>
    </row>
    <row r="435" spans="2:7" ht="15" thickBot="1" x14ac:dyDescent="0.35">
      <c r="B435" s="170">
        <v>44314.645833333336</v>
      </c>
      <c r="C435" s="238">
        <v>2936.8</v>
      </c>
      <c r="D435" s="241">
        <f t="shared" si="15"/>
        <v>-0.16270848182466138</v>
      </c>
      <c r="E435" s="241">
        <v>1.0477058853888993E-2</v>
      </c>
      <c r="F435" s="242">
        <v>431</v>
      </c>
      <c r="G435" s="243">
        <f t="shared" ca="1" si="16"/>
        <v>2.5639327563798858E-2</v>
      </c>
    </row>
    <row r="436" spans="2:7" ht="15" thickBot="1" x14ac:dyDescent="0.35">
      <c r="B436" s="170">
        <v>45076.645833333336</v>
      </c>
      <c r="C436" s="238">
        <v>3507.5</v>
      </c>
      <c r="D436" s="241">
        <f t="shared" si="15"/>
        <v>0.5647305496074233</v>
      </c>
      <c r="E436" s="241">
        <v>1.0442924018725243E-2</v>
      </c>
      <c r="F436" s="242">
        <v>432</v>
      </c>
      <c r="G436" s="243">
        <f t="shared" ca="1" si="16"/>
        <v>2.7116528399012065E-3</v>
      </c>
    </row>
    <row r="437" spans="2:7" ht="15" thickBot="1" x14ac:dyDescent="0.35">
      <c r="B437" s="170">
        <v>44075.645833333336</v>
      </c>
      <c r="C437" s="238">
        <v>2241.6</v>
      </c>
      <c r="D437" s="241">
        <f t="shared" si="15"/>
        <v>-0.45531418574136168</v>
      </c>
      <c r="E437" s="241">
        <v>1.0435213775383756E-2</v>
      </c>
      <c r="F437" s="242">
        <v>433</v>
      </c>
      <c r="G437" s="243">
        <f t="shared" ca="1" si="16"/>
        <v>-1.8619077548991107E-2</v>
      </c>
    </row>
    <row r="438" spans="2:7" ht="15" thickBot="1" x14ac:dyDescent="0.35">
      <c r="B438" s="170">
        <v>44609.645833333336</v>
      </c>
      <c r="C438" s="238">
        <v>4115.3999999999996</v>
      </c>
      <c r="D438" s="241">
        <f t="shared" si="15"/>
        <v>1.7945261387387543E-2</v>
      </c>
      <c r="E438" s="241">
        <v>1.0385210282094652E-2</v>
      </c>
      <c r="F438" s="242">
        <v>434</v>
      </c>
      <c r="G438" s="243">
        <f t="shared" ca="1" si="16"/>
        <v>-8.1836436696053078E-3</v>
      </c>
    </row>
    <row r="439" spans="2:7" ht="15" thickBot="1" x14ac:dyDescent="0.35">
      <c r="B439" s="170">
        <v>44644.645833333336</v>
      </c>
      <c r="C439" s="238">
        <v>4042.85</v>
      </c>
      <c r="D439" s="241">
        <f t="shared" si="15"/>
        <v>0.89059577254021682</v>
      </c>
      <c r="E439" s="241">
        <v>1.0384125159323151E-2</v>
      </c>
      <c r="F439" s="242">
        <v>435</v>
      </c>
      <c r="G439" s="243">
        <f t="shared" ca="1" si="16"/>
        <v>1.5375740836128251E-2</v>
      </c>
    </row>
    <row r="440" spans="2:7" ht="15" thickBot="1" x14ac:dyDescent="0.35">
      <c r="B440" s="170">
        <v>44050.645833333336</v>
      </c>
      <c r="C440" s="238">
        <v>2138.4</v>
      </c>
      <c r="D440" s="241">
        <f t="shared" si="15"/>
        <v>0.3467691144980477</v>
      </c>
      <c r="E440" s="241">
        <v>1.0347271438696003E-2</v>
      </c>
      <c r="F440" s="242">
        <v>436</v>
      </c>
      <c r="G440" s="243">
        <f t="shared" ca="1" si="16"/>
        <v>-4.9019417797971686E-3</v>
      </c>
    </row>
    <row r="441" spans="2:7" ht="15" thickBot="1" x14ac:dyDescent="0.35">
      <c r="B441" s="170">
        <v>43475.645833333336</v>
      </c>
      <c r="C441" s="238">
        <v>1587.8</v>
      </c>
      <c r="D441" s="241">
        <f t="shared" si="15"/>
        <v>0.25771317675947553</v>
      </c>
      <c r="E441" s="241">
        <v>1.0275824770145938E-2</v>
      </c>
      <c r="F441" s="242">
        <v>437</v>
      </c>
      <c r="G441" s="243">
        <f t="shared" ca="1" si="16"/>
        <v>-3.4639891082076366E-2</v>
      </c>
    </row>
    <row r="442" spans="2:7" ht="15" thickBot="1" x14ac:dyDescent="0.35">
      <c r="B442" s="170">
        <v>43588.645833333336</v>
      </c>
      <c r="C442" s="238">
        <v>1262.45</v>
      </c>
      <c r="D442" s="241">
        <f t="shared" si="15"/>
        <v>9.7580483903219727E-3</v>
      </c>
      <c r="E442" s="241">
        <v>1.0242868003040815E-2</v>
      </c>
      <c r="F442" s="242">
        <v>438</v>
      </c>
      <c r="G442" s="243">
        <f t="shared" ca="1" si="16"/>
        <v>-6.2500573584547562E-3</v>
      </c>
    </row>
    <row r="443" spans="2:7" ht="15" thickBot="1" x14ac:dyDescent="0.35">
      <c r="B443" s="170">
        <v>43599.645833333336</v>
      </c>
      <c r="C443" s="238">
        <v>1250.25</v>
      </c>
      <c r="D443" s="241">
        <f t="shared" si="15"/>
        <v>-0.52858112439199123</v>
      </c>
      <c r="E443" s="241">
        <v>1.022139625080809E-2</v>
      </c>
      <c r="F443" s="242">
        <v>439</v>
      </c>
      <c r="G443" s="243">
        <f t="shared" ca="1" si="16"/>
        <v>-2.6567411560552118E-2</v>
      </c>
    </row>
    <row r="444" spans="2:7" ht="15" thickBot="1" x14ac:dyDescent="0.35">
      <c r="B444" s="170">
        <v>44173.645833333336</v>
      </c>
      <c r="C444" s="238">
        <v>2652.1</v>
      </c>
      <c r="D444" s="241">
        <f t="shared" si="15"/>
        <v>0.77695142378559456</v>
      </c>
      <c r="E444" s="241">
        <v>1.0208357140136261E-2</v>
      </c>
      <c r="F444" s="242">
        <v>440</v>
      </c>
      <c r="G444" s="243">
        <f t="shared" ca="1" si="16"/>
        <v>2.4867762475921349E-2</v>
      </c>
    </row>
    <row r="445" spans="2:7" ht="15" thickBot="1" x14ac:dyDescent="0.35">
      <c r="B445" s="170">
        <v>43434.645833333336</v>
      </c>
      <c r="C445" s="238">
        <v>1492.5</v>
      </c>
      <c r="D445" s="241">
        <f t="shared" si="15"/>
        <v>-0.63554893533893342</v>
      </c>
      <c r="E445" s="241">
        <v>1.0186469931300521E-2</v>
      </c>
      <c r="F445" s="242">
        <v>441</v>
      </c>
      <c r="G445" s="243">
        <f t="shared" ca="1" si="16"/>
        <v>-1.6648658942645458E-2</v>
      </c>
    </row>
    <row r="446" spans="2:7" ht="15" thickBot="1" x14ac:dyDescent="0.35">
      <c r="B446" s="170">
        <v>44641.645833333336</v>
      </c>
      <c r="C446" s="238">
        <v>4095.2</v>
      </c>
      <c r="D446" s="241">
        <f t="shared" si="15"/>
        <v>8.0370922425505434E-2</v>
      </c>
      <c r="E446" s="241">
        <v>1.0162802170695564E-2</v>
      </c>
      <c r="F446" s="242">
        <v>442</v>
      </c>
      <c r="G446" s="243">
        <f t="shared" ca="1" si="16"/>
        <v>-2.5185268053556472E-2</v>
      </c>
    </row>
    <row r="447" spans="2:7" ht="15" thickBot="1" x14ac:dyDescent="0.35">
      <c r="B447" s="170">
        <v>45614.645833333336</v>
      </c>
      <c r="C447" s="238">
        <v>3790.55</v>
      </c>
      <c r="D447" s="241">
        <f t="shared" si="15"/>
        <v>-6.6182991722506815E-2</v>
      </c>
      <c r="E447" s="241">
        <v>1.0153366467241499E-2</v>
      </c>
      <c r="F447" s="242">
        <v>443</v>
      </c>
      <c r="G447" s="243">
        <f t="shared" ca="1" si="16"/>
        <v>2.2140190287867487E-2</v>
      </c>
    </row>
    <row r="448" spans="2:7" ht="15" thickBot="1" x14ac:dyDescent="0.35">
      <c r="B448" s="170">
        <v>45779.645833333336</v>
      </c>
      <c r="C448" s="239">
        <v>4059.2</v>
      </c>
      <c r="D448" s="241">
        <f t="shared" si="15"/>
        <v>9.3078051998761194E-2</v>
      </c>
      <c r="E448" s="241">
        <v>1.0153294843718824E-2</v>
      </c>
      <c r="F448" s="242">
        <v>444</v>
      </c>
      <c r="G448" s="243">
        <f t="shared" ca="1" si="16"/>
        <v>-3.4489630875234743E-3</v>
      </c>
    </row>
    <row r="449" spans="2:7" ht="15" thickBot="1" x14ac:dyDescent="0.35">
      <c r="B449" s="170">
        <v>45124.645833333336</v>
      </c>
      <c r="C449" s="238">
        <v>3713.55</v>
      </c>
      <c r="D449" s="241">
        <f t="shared" si="15"/>
        <v>6.7127401255765273E-2</v>
      </c>
      <c r="E449" s="241">
        <v>1.0077519379845011E-2</v>
      </c>
      <c r="F449" s="242">
        <v>445</v>
      </c>
      <c r="G449" s="243">
        <f t="shared" ca="1" si="16"/>
        <v>5.5277092737412705E-3</v>
      </c>
    </row>
    <row r="450" spans="2:7" ht="15" thickBot="1" x14ac:dyDescent="0.35">
      <c r="B450" s="170">
        <v>44740.645833333336</v>
      </c>
      <c r="C450" s="238">
        <v>3479.95</v>
      </c>
      <c r="D450" s="241">
        <f t="shared" si="15"/>
        <v>-0.13911634465527059</v>
      </c>
      <c r="E450" s="241">
        <v>1.0071838037878185E-2</v>
      </c>
      <c r="F450" s="242">
        <v>446</v>
      </c>
      <c r="G450" s="243">
        <f t="shared" ca="1" si="16"/>
        <v>-2.4063350225617439E-2</v>
      </c>
    </row>
    <row r="451" spans="2:7" ht="15" thickBot="1" x14ac:dyDescent="0.35">
      <c r="B451" s="170">
        <v>45806.645833333336</v>
      </c>
      <c r="C451" s="239">
        <v>4042.3</v>
      </c>
      <c r="D451" s="241">
        <f t="shared" si="15"/>
        <v>6.7569887361512856E-2</v>
      </c>
      <c r="E451" s="241">
        <v>1.0044726518577815E-2</v>
      </c>
      <c r="F451" s="242">
        <v>447</v>
      </c>
      <c r="G451" s="243">
        <f t="shared" ca="1" si="16"/>
        <v>1.8962629125885547E-2</v>
      </c>
    </row>
    <row r="452" spans="2:7" ht="15" thickBot="1" x14ac:dyDescent="0.35">
      <c r="B452" s="170">
        <v>45308.645833333336</v>
      </c>
      <c r="C452" s="238">
        <v>3786.45</v>
      </c>
      <c r="D452" s="241">
        <f t="shared" si="15"/>
        <v>1.7577931536780771</v>
      </c>
      <c r="E452" s="241">
        <v>1.0029742454352644E-2</v>
      </c>
      <c r="F452" s="242">
        <v>448</v>
      </c>
      <c r="G452" s="243">
        <f t="shared" ca="1" si="16"/>
        <v>2.5402533431981601E-3</v>
      </c>
    </row>
    <row r="453" spans="2:7" ht="15" thickBot="1" x14ac:dyDescent="0.35">
      <c r="B453" s="170">
        <v>43657.645833333336</v>
      </c>
      <c r="C453" s="238">
        <v>1373</v>
      </c>
      <c r="D453" s="241">
        <f t="shared" ref="D453:D516" si="17">(C453-C454)/C454</f>
        <v>-0.14542681978028824</v>
      </c>
      <c r="E453" s="241">
        <v>1.0004413711931667E-2</v>
      </c>
      <c r="F453" s="242">
        <v>449</v>
      </c>
      <c r="G453" s="243">
        <f t="shared" ca="1" si="16"/>
        <v>3.5812135060118461E-2</v>
      </c>
    </row>
    <row r="454" spans="2:7" ht="15" thickBot="1" x14ac:dyDescent="0.35">
      <c r="B454" s="170">
        <v>43465.645833333336</v>
      </c>
      <c r="C454" s="238">
        <v>1606.65</v>
      </c>
      <c r="D454" s="241">
        <f t="shared" si="17"/>
        <v>-0.63090123825495636</v>
      </c>
      <c r="E454" s="241">
        <v>9.9952852428100529E-3</v>
      </c>
      <c r="F454" s="242">
        <v>450</v>
      </c>
      <c r="G454" s="243">
        <f t="shared" ref="G454:G517" ca="1" si="18">_xlfn.NORM.INV(RAND(),$M$7,$M$8)</f>
        <v>-7.3691764472085756E-3</v>
      </c>
    </row>
    <row r="455" spans="2:7" ht="15" thickBot="1" x14ac:dyDescent="0.35">
      <c r="B455" s="170">
        <v>44846.645833333336</v>
      </c>
      <c r="C455" s="238">
        <v>4352.8999999999996</v>
      </c>
      <c r="D455" s="241">
        <f t="shared" si="17"/>
        <v>8.0432381448800466E-2</v>
      </c>
      <c r="E455" s="241">
        <v>9.9653128226545127E-3</v>
      </c>
      <c r="F455" s="242">
        <v>451</v>
      </c>
      <c r="G455" s="243">
        <f t="shared" ca="1" si="18"/>
        <v>-7.1891335075994706E-3</v>
      </c>
    </row>
    <row r="456" spans="2:7" ht="15" thickBot="1" x14ac:dyDescent="0.35">
      <c r="B456" s="170">
        <v>44673.645833333336</v>
      </c>
      <c r="C456" s="238">
        <v>4028.85</v>
      </c>
      <c r="D456" s="241">
        <f t="shared" si="17"/>
        <v>-8.2663539698080504E-2</v>
      </c>
      <c r="E456" s="241">
        <v>9.9393362077609786E-3</v>
      </c>
      <c r="F456" s="242">
        <v>452</v>
      </c>
      <c r="G456" s="243">
        <f t="shared" ca="1" si="18"/>
        <v>-1.3372321876667833E-2</v>
      </c>
    </row>
    <row r="457" spans="2:7" ht="15" thickBot="1" x14ac:dyDescent="0.35">
      <c r="B457" s="170">
        <v>45840.645833333336</v>
      </c>
      <c r="C457" s="239">
        <v>4391.8999999999996</v>
      </c>
      <c r="D457" s="241">
        <f t="shared" si="17"/>
        <v>-0.16161915033740262</v>
      </c>
      <c r="E457" s="241">
        <v>9.9340032653436241E-3</v>
      </c>
      <c r="F457" s="242">
        <v>453</v>
      </c>
      <c r="G457" s="243">
        <f t="shared" ca="1" si="18"/>
        <v>1.0431939301612595E-2</v>
      </c>
    </row>
    <row r="458" spans="2:7" ht="15" thickBot="1" x14ac:dyDescent="0.35">
      <c r="B458" s="170">
        <v>45547.645833333336</v>
      </c>
      <c r="C458" s="238">
        <v>5238.55</v>
      </c>
      <c r="D458" s="241">
        <f t="shared" si="17"/>
        <v>0.46978943086009289</v>
      </c>
      <c r="E458" s="241">
        <v>9.9285721170993147E-3</v>
      </c>
      <c r="F458" s="242">
        <v>454</v>
      </c>
      <c r="G458" s="243">
        <f t="shared" ca="1" si="18"/>
        <v>1.2270393587964473E-2</v>
      </c>
    </row>
    <row r="459" spans="2:7" ht="15" thickBot="1" x14ac:dyDescent="0.35">
      <c r="B459" s="170">
        <v>44413.645833333336</v>
      </c>
      <c r="C459" s="238">
        <v>3564.15</v>
      </c>
      <c r="D459" s="241">
        <f t="shared" si="17"/>
        <v>-3.3699792595805751E-2</v>
      </c>
      <c r="E459" s="241">
        <v>9.9030941856512161E-3</v>
      </c>
      <c r="F459" s="242">
        <v>455</v>
      </c>
      <c r="G459" s="243">
        <f t="shared" ca="1" si="18"/>
        <v>-2.8821627375047866E-3</v>
      </c>
    </row>
    <row r="460" spans="2:7" ht="15" thickBot="1" x14ac:dyDescent="0.35">
      <c r="B460" s="170">
        <v>45638.645833333336</v>
      </c>
      <c r="C460" s="238">
        <v>3688.45</v>
      </c>
      <c r="D460" s="241">
        <f t="shared" si="17"/>
        <v>-6.6026030588473617E-2</v>
      </c>
      <c r="E460" s="241">
        <v>9.8978725734467695E-3</v>
      </c>
      <c r="F460" s="242">
        <v>456</v>
      </c>
      <c r="G460" s="243">
        <f t="shared" ca="1" si="18"/>
        <v>4.2122820252440858E-2</v>
      </c>
    </row>
    <row r="461" spans="2:7" ht="15" thickBot="1" x14ac:dyDescent="0.35">
      <c r="B461" s="170">
        <v>44882.645833333336</v>
      </c>
      <c r="C461" s="238">
        <v>3949.2</v>
      </c>
      <c r="D461" s="241">
        <f t="shared" si="17"/>
        <v>1.6747550944221961E-2</v>
      </c>
      <c r="E461" s="241">
        <v>9.8706080908300287E-3</v>
      </c>
      <c r="F461" s="242">
        <v>457</v>
      </c>
      <c r="G461" s="243">
        <f t="shared" ca="1" si="18"/>
        <v>-1.3237071339445403E-3</v>
      </c>
    </row>
    <row r="462" spans="2:7" ht="15" thickBot="1" x14ac:dyDescent="0.35">
      <c r="B462" s="170">
        <v>45352.645833333336</v>
      </c>
      <c r="C462" s="238">
        <v>3884.15</v>
      </c>
      <c r="D462" s="241">
        <f t="shared" si="17"/>
        <v>-0.17686887417218541</v>
      </c>
      <c r="E462" s="241">
        <v>9.8274987975613716E-3</v>
      </c>
      <c r="F462" s="242">
        <v>458</v>
      </c>
      <c r="G462" s="243">
        <f t="shared" ca="1" si="18"/>
        <v>-1.8000598787414949E-2</v>
      </c>
    </row>
    <row r="463" spans="2:7" ht="15" thickBot="1" x14ac:dyDescent="0.35">
      <c r="B463" s="170">
        <v>44526.645833333336</v>
      </c>
      <c r="C463" s="238">
        <v>4718.75</v>
      </c>
      <c r="D463" s="241">
        <f t="shared" si="17"/>
        <v>0.22336150575547034</v>
      </c>
      <c r="E463" s="241">
        <v>9.7146586495767771E-3</v>
      </c>
      <c r="F463" s="242">
        <v>459</v>
      </c>
      <c r="G463" s="243">
        <f t="shared" ca="1" si="18"/>
        <v>-1.2314539014190844E-2</v>
      </c>
    </row>
    <row r="464" spans="2:7" ht="15" thickBot="1" x14ac:dyDescent="0.35">
      <c r="B464" s="170">
        <v>45111.645833333336</v>
      </c>
      <c r="C464" s="238">
        <v>3857.2</v>
      </c>
      <c r="D464" s="241">
        <f t="shared" si="17"/>
        <v>1.5837826975248686</v>
      </c>
      <c r="E464" s="241">
        <v>9.7117876495379472E-3</v>
      </c>
      <c r="F464" s="242">
        <v>460</v>
      </c>
      <c r="G464" s="243">
        <f t="shared" ca="1" si="18"/>
        <v>-3.463162688985557E-2</v>
      </c>
    </row>
    <row r="465" spans="2:7" ht="15" thickBot="1" x14ac:dyDescent="0.35">
      <c r="B465" s="170">
        <v>43557.645833333336</v>
      </c>
      <c r="C465" s="238">
        <v>1492.85</v>
      </c>
      <c r="D465" s="241">
        <f t="shared" si="17"/>
        <v>-0.24901275247126292</v>
      </c>
      <c r="E465" s="241">
        <v>9.6716377532041226E-3</v>
      </c>
      <c r="F465" s="242">
        <v>461</v>
      </c>
      <c r="G465" s="243">
        <f t="shared" ca="1" si="18"/>
        <v>4.747806428139581E-2</v>
      </c>
    </row>
    <row r="466" spans="2:7" ht="15" thickBot="1" x14ac:dyDescent="0.35">
      <c r="B466" s="170">
        <v>43776.645833333336</v>
      </c>
      <c r="C466" s="238">
        <v>1987.85</v>
      </c>
      <c r="D466" s="241">
        <f t="shared" si="17"/>
        <v>-0.48459903030931578</v>
      </c>
      <c r="E466" s="241">
        <v>9.6503034766488062E-3</v>
      </c>
      <c r="F466" s="242">
        <v>462</v>
      </c>
      <c r="G466" s="243">
        <f t="shared" ca="1" si="18"/>
        <v>-5.2630897620515689E-3</v>
      </c>
    </row>
    <row r="467" spans="2:7" ht="15" thickBot="1" x14ac:dyDescent="0.35">
      <c r="B467" s="170">
        <v>44714.645833333336</v>
      </c>
      <c r="C467" s="238">
        <v>3856.9</v>
      </c>
      <c r="D467" s="241">
        <f t="shared" si="17"/>
        <v>-0.17657105648010754</v>
      </c>
      <c r="E467" s="241">
        <v>9.6332556739352846E-3</v>
      </c>
      <c r="F467" s="242">
        <v>463</v>
      </c>
      <c r="G467" s="243">
        <f t="shared" ca="1" si="18"/>
        <v>3.4797814884840121E-2</v>
      </c>
    </row>
    <row r="468" spans="2:7" ht="15" thickBot="1" x14ac:dyDescent="0.35">
      <c r="B468" s="170">
        <v>44559.645833333336</v>
      </c>
      <c r="C468" s="238">
        <v>4683.95</v>
      </c>
      <c r="D468" s="241">
        <f t="shared" si="17"/>
        <v>0.15820382527848861</v>
      </c>
      <c r="E468" s="241">
        <v>9.6134156724539972E-3</v>
      </c>
      <c r="F468" s="242">
        <v>464</v>
      </c>
      <c r="G468" s="243">
        <f t="shared" ca="1" si="18"/>
        <v>-1.2514547053875044E-2</v>
      </c>
    </row>
    <row r="469" spans="2:7" ht="15" thickBot="1" x14ac:dyDescent="0.35">
      <c r="B469" s="170">
        <v>44896.645833333336</v>
      </c>
      <c r="C469" s="238">
        <v>4044.15</v>
      </c>
      <c r="D469" s="241">
        <f t="shared" si="17"/>
        <v>0.14905314599877822</v>
      </c>
      <c r="E469" s="241">
        <v>9.5862198090245505E-3</v>
      </c>
      <c r="F469" s="242">
        <v>465</v>
      </c>
      <c r="G469" s="243">
        <f t="shared" ca="1" si="18"/>
        <v>-1.230586147229671E-2</v>
      </c>
    </row>
    <row r="470" spans="2:7" ht="15" thickBot="1" x14ac:dyDescent="0.35">
      <c r="B470" s="170">
        <v>44733.645833333336</v>
      </c>
      <c r="C470" s="238">
        <v>3519.55</v>
      </c>
      <c r="D470" s="241">
        <f t="shared" si="17"/>
        <v>1.3357778072736928</v>
      </c>
      <c r="E470" s="241">
        <v>9.5228534140290779E-3</v>
      </c>
      <c r="F470" s="242">
        <v>466</v>
      </c>
      <c r="G470" s="243">
        <f t="shared" ca="1" si="18"/>
        <v>-1.5903597771753162E-3</v>
      </c>
    </row>
    <row r="471" spans="2:7" ht="15" thickBot="1" x14ac:dyDescent="0.35">
      <c r="B471" s="170">
        <v>43207.645833333336</v>
      </c>
      <c r="C471" s="238">
        <v>1506.8</v>
      </c>
      <c r="D471" s="241">
        <f t="shared" si="17"/>
        <v>-0.66704967297153972</v>
      </c>
      <c r="E471" s="241">
        <v>9.4797842762870486E-3</v>
      </c>
      <c r="F471" s="242">
        <v>467</v>
      </c>
      <c r="G471" s="243">
        <f t="shared" ca="1" si="18"/>
        <v>-2.1374439089032859E-2</v>
      </c>
    </row>
    <row r="472" spans="2:7" ht="15" thickBot="1" x14ac:dyDescent="0.35">
      <c r="B472" s="170">
        <v>45379.645833333336</v>
      </c>
      <c r="C472" s="238">
        <v>4525.6000000000004</v>
      </c>
      <c r="D472" s="241">
        <f t="shared" si="17"/>
        <v>-4.5654878640264858E-2</v>
      </c>
      <c r="E472" s="241">
        <v>9.4350143867241044E-3</v>
      </c>
      <c r="F472" s="242">
        <v>468</v>
      </c>
      <c r="G472" s="243">
        <f t="shared" ca="1" si="18"/>
        <v>-6.6724305840816034E-4</v>
      </c>
    </row>
    <row r="473" spans="2:7" ht="15" thickBot="1" x14ac:dyDescent="0.35">
      <c r="B473" s="170">
        <v>44546.645833333336</v>
      </c>
      <c r="C473" s="238">
        <v>4742.1000000000004</v>
      </c>
      <c r="D473" s="241">
        <f t="shared" si="17"/>
        <v>9.0313383762904417E-2</v>
      </c>
      <c r="E473" s="241">
        <v>9.4299459321384865E-3</v>
      </c>
      <c r="F473" s="242">
        <v>469</v>
      </c>
      <c r="G473" s="243">
        <f t="shared" ca="1" si="18"/>
        <v>2.3777359438491481E-2</v>
      </c>
    </row>
    <row r="474" spans="2:7" ht="15" thickBot="1" x14ac:dyDescent="0.35">
      <c r="B474" s="170">
        <v>44824.645833333336</v>
      </c>
      <c r="C474" s="238">
        <v>4349.3</v>
      </c>
      <c r="D474" s="241">
        <f t="shared" si="17"/>
        <v>2.01563529207835</v>
      </c>
      <c r="E474" s="241">
        <v>9.4227957388540312E-3</v>
      </c>
      <c r="F474" s="242">
        <v>470</v>
      </c>
      <c r="G474" s="243">
        <f t="shared" ca="1" si="18"/>
        <v>-3.3776071305055798E-2</v>
      </c>
    </row>
    <row r="475" spans="2:7" ht="15" thickBot="1" x14ac:dyDescent="0.35">
      <c r="B475" s="170">
        <v>43508.645833333336</v>
      </c>
      <c r="C475" s="238">
        <v>1442.25</v>
      </c>
      <c r="D475" s="241">
        <f t="shared" si="17"/>
        <v>-0.39467388567111555</v>
      </c>
      <c r="E475" s="241">
        <v>9.4134938409854742E-3</v>
      </c>
      <c r="F475" s="242">
        <v>471</v>
      </c>
      <c r="G475" s="243">
        <f t="shared" ca="1" si="18"/>
        <v>5.0093920291579656E-2</v>
      </c>
    </row>
    <row r="476" spans="2:7" ht="15" thickBot="1" x14ac:dyDescent="0.35">
      <c r="B476" s="170">
        <v>44155.645833333336</v>
      </c>
      <c r="C476" s="238">
        <v>2382.6</v>
      </c>
      <c r="D476" s="241">
        <f t="shared" si="17"/>
        <v>-0.50889921777576241</v>
      </c>
      <c r="E476" s="241">
        <v>9.4051855617691138E-3</v>
      </c>
      <c r="F476" s="242">
        <v>472</v>
      </c>
      <c r="G476" s="243">
        <f t="shared" ca="1" si="18"/>
        <v>-9.3436475916404658E-3</v>
      </c>
    </row>
    <row r="477" spans="2:7" ht="15" thickBot="1" x14ac:dyDescent="0.35">
      <c r="B477" s="170">
        <v>45481.645833333336</v>
      </c>
      <c r="C477" s="238">
        <v>4851.55</v>
      </c>
      <c r="D477" s="241">
        <f t="shared" si="17"/>
        <v>0.42684253867419575</v>
      </c>
      <c r="E477" s="241">
        <v>9.4042256598041787E-3</v>
      </c>
      <c r="F477" s="242">
        <v>473</v>
      </c>
      <c r="G477" s="243">
        <f t="shared" ca="1" si="18"/>
        <v>5.8579014705200478E-3</v>
      </c>
    </row>
    <row r="478" spans="2:7" ht="15" thickBot="1" x14ac:dyDescent="0.35">
      <c r="B478" s="170">
        <v>45063.645833333336</v>
      </c>
      <c r="C478" s="238">
        <v>3400.2</v>
      </c>
      <c r="D478" s="241">
        <f t="shared" si="17"/>
        <v>-2.9318564617888114E-2</v>
      </c>
      <c r="E478" s="241">
        <v>9.3957340695550416E-3</v>
      </c>
      <c r="F478" s="242">
        <v>474</v>
      </c>
      <c r="G478" s="243">
        <f t="shared" ca="1" si="18"/>
        <v>1.3725428965455444E-2</v>
      </c>
    </row>
    <row r="479" spans="2:7" ht="15" thickBot="1" x14ac:dyDescent="0.35">
      <c r="B479" s="170">
        <v>44959.645833333336</v>
      </c>
      <c r="C479" s="238">
        <v>3502.9</v>
      </c>
      <c r="D479" s="241">
        <f t="shared" si="17"/>
        <v>0.14612439878284195</v>
      </c>
      <c r="E479" s="241">
        <v>9.379457403431983E-3</v>
      </c>
      <c r="F479" s="242">
        <v>475</v>
      </c>
      <c r="G479" s="243">
        <f t="shared" ca="1" si="18"/>
        <v>3.2966130314598975E-2</v>
      </c>
    </row>
    <row r="480" spans="2:7" ht="15" thickBot="1" x14ac:dyDescent="0.35">
      <c r="B480" s="170">
        <v>44334.645833333336</v>
      </c>
      <c r="C480" s="238">
        <v>3056.3</v>
      </c>
      <c r="D480" s="241">
        <f t="shared" si="17"/>
        <v>1.0518966096005373</v>
      </c>
      <c r="E480" s="241">
        <v>9.3794378942501696E-3</v>
      </c>
      <c r="F480" s="242">
        <v>476</v>
      </c>
      <c r="G480" s="243">
        <f t="shared" ca="1" si="18"/>
        <v>5.9606127219388944E-4</v>
      </c>
    </row>
    <row r="481" spans="2:7" ht="15" thickBot="1" x14ac:dyDescent="0.35">
      <c r="B481" s="170">
        <v>43213.645833333336</v>
      </c>
      <c r="C481" s="238">
        <v>1489.5</v>
      </c>
      <c r="D481" s="241">
        <f t="shared" si="17"/>
        <v>-0.61149728087220745</v>
      </c>
      <c r="E481" s="241">
        <v>9.317296290022023E-3</v>
      </c>
      <c r="F481" s="242">
        <v>477</v>
      </c>
      <c r="G481" s="243">
        <f t="shared" ca="1" si="18"/>
        <v>-1.3092913943812149E-2</v>
      </c>
    </row>
    <row r="482" spans="2:7" ht="15" thickBot="1" x14ac:dyDescent="0.35">
      <c r="B482" s="170">
        <v>45205.645833333336</v>
      </c>
      <c r="C482" s="238">
        <v>3833.95</v>
      </c>
      <c r="D482" s="241">
        <f t="shared" si="17"/>
        <v>1.3225503558988339</v>
      </c>
      <c r="E482" s="241">
        <v>9.3060601274153401E-3</v>
      </c>
      <c r="F482" s="242">
        <v>478</v>
      </c>
      <c r="G482" s="243">
        <f t="shared" ca="1" si="18"/>
        <v>-1.367107582464089E-2</v>
      </c>
    </row>
    <row r="483" spans="2:7" ht="15" thickBot="1" x14ac:dyDescent="0.35">
      <c r="B483" s="170">
        <v>43315.645833333336</v>
      </c>
      <c r="C483" s="238">
        <v>1650.75</v>
      </c>
      <c r="D483" s="241">
        <f t="shared" si="17"/>
        <v>0.10473481679772462</v>
      </c>
      <c r="E483" s="241">
        <v>9.2935098284980863E-3</v>
      </c>
      <c r="F483" s="242">
        <v>479</v>
      </c>
      <c r="G483" s="243">
        <f t="shared" ca="1" si="18"/>
        <v>1.9190883482295929E-3</v>
      </c>
    </row>
    <row r="484" spans="2:7" ht="15" thickBot="1" x14ac:dyDescent="0.35">
      <c r="B484" s="170">
        <v>43273.645833333336</v>
      </c>
      <c r="C484" s="238">
        <v>1494.25</v>
      </c>
      <c r="D484" s="241">
        <f t="shared" si="17"/>
        <v>-0.64901463368801826</v>
      </c>
      <c r="E484" s="241">
        <v>9.2874029044241815E-3</v>
      </c>
      <c r="F484" s="242">
        <v>480</v>
      </c>
      <c r="G484" s="243">
        <f t="shared" ca="1" si="18"/>
        <v>2.4777331675812024E-2</v>
      </c>
    </row>
    <row r="485" spans="2:7" ht="15" thickBot="1" x14ac:dyDescent="0.35">
      <c r="B485" s="170">
        <v>44474.645833333336</v>
      </c>
      <c r="C485" s="238">
        <v>4257.3</v>
      </c>
      <c r="D485" s="241">
        <f t="shared" si="17"/>
        <v>-9.1640351625842789E-2</v>
      </c>
      <c r="E485" s="241">
        <v>9.1856206516457064E-3</v>
      </c>
      <c r="F485" s="242">
        <v>481</v>
      </c>
      <c r="G485" s="243">
        <f t="shared" ca="1" si="18"/>
        <v>-4.2566935637838215E-3</v>
      </c>
    </row>
    <row r="486" spans="2:7" ht="15" thickBot="1" x14ac:dyDescent="0.35">
      <c r="B486" s="170">
        <v>45397.645833333336</v>
      </c>
      <c r="C486" s="238">
        <v>4686.8</v>
      </c>
      <c r="D486" s="241">
        <f t="shared" si="17"/>
        <v>1.8791350554412265</v>
      </c>
      <c r="E486" s="241">
        <v>9.151002303899404E-3</v>
      </c>
      <c r="F486" s="242">
        <v>482</v>
      </c>
      <c r="G486" s="243">
        <f t="shared" ca="1" si="18"/>
        <v>4.357366792953777E-2</v>
      </c>
    </row>
    <row r="487" spans="2:7" ht="15" thickBot="1" x14ac:dyDescent="0.35">
      <c r="B487" s="170">
        <v>43320.645833333336</v>
      </c>
      <c r="C487" s="238">
        <v>1627.85</v>
      </c>
      <c r="D487" s="241">
        <f t="shared" si="17"/>
        <v>-0.43136843943760372</v>
      </c>
      <c r="E487" s="241">
        <v>9.0813290354573913E-3</v>
      </c>
      <c r="F487" s="242">
        <v>483</v>
      </c>
      <c r="G487" s="243">
        <f t="shared" ca="1" si="18"/>
        <v>-3.7736925836098723E-2</v>
      </c>
    </row>
    <row r="488" spans="2:7" ht="15" thickBot="1" x14ac:dyDescent="0.35">
      <c r="B488" s="170">
        <v>44218.645833333336</v>
      </c>
      <c r="C488" s="238">
        <v>2862.75</v>
      </c>
      <c r="D488" s="241">
        <f t="shared" si="17"/>
        <v>1.4457496796240923</v>
      </c>
      <c r="E488" s="241">
        <v>9.0764892492069087E-3</v>
      </c>
      <c r="F488" s="242">
        <v>484</v>
      </c>
      <c r="G488" s="243">
        <f t="shared" ca="1" si="18"/>
        <v>-1.2459453579527531E-2</v>
      </c>
    </row>
    <row r="489" spans="2:7" ht="15" thickBot="1" x14ac:dyDescent="0.35">
      <c r="B489" s="170">
        <v>43101.645833333336</v>
      </c>
      <c r="C489" s="238">
        <v>1170.5</v>
      </c>
      <c r="D489" s="241">
        <f t="shared" si="17"/>
        <v>-0.21371712625533207</v>
      </c>
      <c r="E489" s="241">
        <v>9.0517241379310352E-3</v>
      </c>
      <c r="F489" s="242">
        <v>485</v>
      </c>
      <c r="G489" s="243">
        <f t="shared" ca="1" si="18"/>
        <v>-2.127281735389519E-2</v>
      </c>
    </row>
    <row r="490" spans="2:7" ht="15" thickBot="1" x14ac:dyDescent="0.35">
      <c r="B490" s="170">
        <v>43209.645833333336</v>
      </c>
      <c r="C490" s="238">
        <v>1488.65</v>
      </c>
      <c r="D490" s="241">
        <f t="shared" si="17"/>
        <v>-0.47527317589002466</v>
      </c>
      <c r="E490" s="241">
        <v>8.9806154263250646E-3</v>
      </c>
      <c r="F490" s="242">
        <v>486</v>
      </c>
      <c r="G490" s="243">
        <f t="shared" ca="1" si="18"/>
        <v>-2.6733268592490297E-2</v>
      </c>
    </row>
    <row r="491" spans="2:7" ht="15" thickBot="1" x14ac:dyDescent="0.35">
      <c r="B491" s="170">
        <v>44221.645833333336</v>
      </c>
      <c r="C491" s="238">
        <v>2837</v>
      </c>
      <c r="D491" s="241">
        <f t="shared" si="17"/>
        <v>-0.44659019975031206</v>
      </c>
      <c r="E491" s="241">
        <v>8.9801724904418952E-3</v>
      </c>
      <c r="F491" s="242">
        <v>487</v>
      </c>
      <c r="G491" s="243">
        <f t="shared" ca="1" si="18"/>
        <v>1.3489756552967394E-2</v>
      </c>
    </row>
    <row r="492" spans="2:7" ht="15" thickBot="1" x14ac:dyDescent="0.35">
      <c r="B492" s="170">
        <v>44517.645833333336</v>
      </c>
      <c r="C492" s="238">
        <v>5126.3999999999996</v>
      </c>
      <c r="D492" s="241">
        <f t="shared" si="17"/>
        <v>0.30812217714154472</v>
      </c>
      <c r="E492" s="241">
        <v>8.955106378791159E-3</v>
      </c>
      <c r="F492" s="242">
        <v>488</v>
      </c>
      <c r="G492" s="243">
        <f t="shared" ca="1" si="18"/>
        <v>7.8917825868803845E-3</v>
      </c>
    </row>
    <row r="493" spans="2:7" ht="15" thickBot="1" x14ac:dyDescent="0.35">
      <c r="B493" s="170">
        <v>45351.645833333336</v>
      </c>
      <c r="C493" s="238">
        <v>3918.9</v>
      </c>
      <c r="D493" s="241">
        <f t="shared" si="17"/>
        <v>2.3100215380717088</v>
      </c>
      <c r="E493" s="241">
        <v>8.9466163768134599E-3</v>
      </c>
      <c r="F493" s="242">
        <v>489</v>
      </c>
      <c r="G493" s="243">
        <f t="shared" ca="1" si="18"/>
        <v>9.7515724046700995E-3</v>
      </c>
    </row>
    <row r="494" spans="2:7" ht="15" thickBot="1" x14ac:dyDescent="0.35">
      <c r="B494" s="170">
        <v>43146.645833333336</v>
      </c>
      <c r="C494" s="238">
        <v>1183.95</v>
      </c>
      <c r="D494" s="241">
        <f t="shared" si="17"/>
        <v>-0.66244707693623572</v>
      </c>
      <c r="E494" s="241">
        <v>8.9049850873455863E-3</v>
      </c>
      <c r="F494" s="242">
        <v>490</v>
      </c>
      <c r="G494" s="243">
        <f t="shared" ca="1" si="18"/>
        <v>1.2954742939745175E-3</v>
      </c>
    </row>
    <row r="495" spans="2:7" ht="15" thickBot="1" x14ac:dyDescent="0.35">
      <c r="B495" s="170">
        <v>45670.645833333336</v>
      </c>
      <c r="C495" s="238">
        <v>3507.45</v>
      </c>
      <c r="D495" s="241">
        <f t="shared" si="17"/>
        <v>-0.10015777928858219</v>
      </c>
      <c r="E495" s="241">
        <v>8.9026319574283964E-3</v>
      </c>
      <c r="F495" s="242">
        <v>491</v>
      </c>
      <c r="G495" s="243">
        <f t="shared" ca="1" si="18"/>
        <v>-1.1897451628889846E-2</v>
      </c>
    </row>
    <row r="496" spans="2:7" ht="15" thickBot="1" x14ac:dyDescent="0.35">
      <c r="B496" s="170">
        <v>45295.645833333336</v>
      </c>
      <c r="C496" s="238">
        <v>3897.85</v>
      </c>
      <c r="D496" s="241">
        <f t="shared" si="17"/>
        <v>1.1173035660935928</v>
      </c>
      <c r="E496" s="241">
        <v>8.8909020318363938E-3</v>
      </c>
      <c r="F496" s="242">
        <v>492</v>
      </c>
      <c r="G496" s="243">
        <f t="shared" ca="1" si="18"/>
        <v>3.9731013676902373E-3</v>
      </c>
    </row>
    <row r="497" spans="2:7" ht="15" thickBot="1" x14ac:dyDescent="0.35">
      <c r="B497" s="170">
        <v>43803.645833333336</v>
      </c>
      <c r="C497" s="238">
        <v>1840.95</v>
      </c>
      <c r="D497" s="241">
        <f t="shared" si="17"/>
        <v>0.21502821502821498</v>
      </c>
      <c r="E497" s="241">
        <v>8.8779284833539092E-3</v>
      </c>
      <c r="F497" s="242">
        <v>493</v>
      </c>
      <c r="G497" s="243">
        <f t="shared" ca="1" si="18"/>
        <v>1.0425698393536031E-2</v>
      </c>
    </row>
    <row r="498" spans="2:7" ht="15" thickBot="1" x14ac:dyDescent="0.35">
      <c r="B498" s="170">
        <v>43362.645833333336</v>
      </c>
      <c r="C498" s="238">
        <v>1515.15</v>
      </c>
      <c r="D498" s="241">
        <f t="shared" si="17"/>
        <v>-0.62548663379185054</v>
      </c>
      <c r="E498" s="241">
        <v>8.8557445816827129E-3</v>
      </c>
      <c r="F498" s="242">
        <v>494</v>
      </c>
      <c r="G498" s="243">
        <f t="shared" ca="1" si="18"/>
        <v>-2.931528722237213E-2</v>
      </c>
    </row>
    <row r="499" spans="2:7" ht="15" thickBot="1" x14ac:dyDescent="0.35">
      <c r="B499" s="170">
        <v>45275.645833333336</v>
      </c>
      <c r="C499" s="238">
        <v>4045.65</v>
      </c>
      <c r="D499" s="241">
        <f t="shared" si="17"/>
        <v>1.7514877410140446</v>
      </c>
      <c r="E499" s="241">
        <v>8.8525366881538094E-3</v>
      </c>
      <c r="F499" s="242">
        <v>495</v>
      </c>
      <c r="G499" s="243">
        <f t="shared" ca="1" si="18"/>
        <v>2.488913209547616E-2</v>
      </c>
    </row>
    <row r="500" spans="2:7" ht="15" thickBot="1" x14ac:dyDescent="0.35">
      <c r="B500" s="170">
        <v>43530.645833333336</v>
      </c>
      <c r="C500" s="238">
        <v>1470.35</v>
      </c>
      <c r="D500" s="241">
        <f t="shared" si="17"/>
        <v>-0.6260887255712233</v>
      </c>
      <c r="E500" s="241">
        <v>8.8510755085936827E-3</v>
      </c>
      <c r="F500" s="242">
        <v>496</v>
      </c>
      <c r="G500" s="243">
        <f t="shared" ca="1" si="18"/>
        <v>2.9750203138301547E-2</v>
      </c>
    </row>
    <row r="501" spans="2:7" ht="15" thickBot="1" x14ac:dyDescent="0.35">
      <c r="B501" s="170">
        <v>45294.645833333336</v>
      </c>
      <c r="C501" s="238">
        <v>3932.35</v>
      </c>
      <c r="D501" s="241">
        <f t="shared" si="17"/>
        <v>2.1572460859092732</v>
      </c>
      <c r="E501" s="241">
        <v>8.851033261926447E-3</v>
      </c>
      <c r="F501" s="242">
        <v>497</v>
      </c>
      <c r="G501" s="243">
        <f t="shared" ca="1" si="18"/>
        <v>-3.0968881717791361E-2</v>
      </c>
    </row>
    <row r="502" spans="2:7" ht="15" thickBot="1" x14ac:dyDescent="0.35">
      <c r="B502" s="170">
        <v>43111.645833333336</v>
      </c>
      <c r="C502" s="238">
        <v>1245.5</v>
      </c>
      <c r="D502" s="241">
        <f t="shared" si="17"/>
        <v>-0.6448328960876013</v>
      </c>
      <c r="E502" s="241">
        <v>8.8287704519683236E-3</v>
      </c>
      <c r="F502" s="242">
        <v>498</v>
      </c>
      <c r="G502" s="243">
        <f t="shared" ca="1" si="18"/>
        <v>3.7347196249677551E-3</v>
      </c>
    </row>
    <row r="503" spans="2:7" ht="15" thickBot="1" x14ac:dyDescent="0.35">
      <c r="B503" s="170">
        <v>45034.645833333336</v>
      </c>
      <c r="C503" s="238">
        <v>3506.8</v>
      </c>
      <c r="D503" s="241">
        <f t="shared" si="17"/>
        <v>-8.2913817226094047E-2</v>
      </c>
      <c r="E503" s="241">
        <v>8.8027156089984359E-3</v>
      </c>
      <c r="F503" s="242">
        <v>499</v>
      </c>
      <c r="G503" s="243">
        <f t="shared" ca="1" si="18"/>
        <v>-1.5964112752492557E-2</v>
      </c>
    </row>
    <row r="504" spans="2:7" ht="15" thickBot="1" x14ac:dyDescent="0.35">
      <c r="B504" s="170">
        <v>45610.645833333336</v>
      </c>
      <c r="C504" s="238">
        <v>3823.85</v>
      </c>
      <c r="D504" s="241">
        <f t="shared" si="17"/>
        <v>-5.2846031903299298E-2</v>
      </c>
      <c r="E504" s="241">
        <v>8.7850048146046675E-3</v>
      </c>
      <c r="F504" s="242">
        <v>500</v>
      </c>
      <c r="G504" s="243">
        <f t="shared" ca="1" si="18"/>
        <v>1.6784679931839474E-2</v>
      </c>
    </row>
    <row r="505" spans="2:7" ht="15" thickBot="1" x14ac:dyDescent="0.35">
      <c r="B505" s="170">
        <v>44903.645833333336</v>
      </c>
      <c r="C505" s="238">
        <v>4037.2</v>
      </c>
      <c r="D505" s="241">
        <f t="shared" si="17"/>
        <v>1.0115094292618518</v>
      </c>
      <c r="E505" s="241">
        <v>8.6947831301218588E-3</v>
      </c>
      <c r="F505" s="242">
        <v>501</v>
      </c>
      <c r="G505" s="243">
        <f t="shared" ca="1" si="18"/>
        <v>-6.3325757314841155E-3</v>
      </c>
    </row>
    <row r="506" spans="2:7" ht="15" thickBot="1" x14ac:dyDescent="0.35">
      <c r="B506" s="170">
        <v>44028.645833333336</v>
      </c>
      <c r="C506" s="238">
        <v>2007.05</v>
      </c>
      <c r="D506" s="241">
        <f t="shared" si="17"/>
        <v>-0.5707441746067391</v>
      </c>
      <c r="E506" s="241">
        <v>8.6945596180424446E-3</v>
      </c>
      <c r="F506" s="242">
        <v>502</v>
      </c>
      <c r="G506" s="243">
        <f t="shared" ca="1" si="18"/>
        <v>4.9182795620217219E-3</v>
      </c>
    </row>
    <row r="507" spans="2:7" ht="15" thickBot="1" x14ac:dyDescent="0.35">
      <c r="B507" s="170">
        <v>44497.645833333336</v>
      </c>
      <c r="C507" s="238">
        <v>4675.6499999999996</v>
      </c>
      <c r="D507" s="241">
        <f t="shared" si="17"/>
        <v>0.14293920653156997</v>
      </c>
      <c r="E507" s="241">
        <v>8.6722971879752385E-3</v>
      </c>
      <c r="F507" s="242">
        <v>503</v>
      </c>
      <c r="G507" s="243">
        <f t="shared" ca="1" si="18"/>
        <v>3.2297149751644677E-3</v>
      </c>
    </row>
    <row r="508" spans="2:7" ht="15" thickBot="1" x14ac:dyDescent="0.35">
      <c r="B508" s="170">
        <v>44664.645833333336</v>
      </c>
      <c r="C508" s="238">
        <v>4090.9</v>
      </c>
      <c r="D508" s="241">
        <f t="shared" si="17"/>
        <v>0.22331868066146354</v>
      </c>
      <c r="E508" s="241">
        <v>8.6045364891518955E-3</v>
      </c>
      <c r="F508" s="242">
        <v>504</v>
      </c>
      <c r="G508" s="243">
        <f t="shared" ca="1" si="18"/>
        <v>-1.289224257086167E-2</v>
      </c>
    </row>
    <row r="509" spans="2:7" ht="15" thickBot="1" x14ac:dyDescent="0.35">
      <c r="B509" s="170">
        <v>44377.645833333336</v>
      </c>
      <c r="C509" s="238">
        <v>3344.1</v>
      </c>
      <c r="D509" s="241">
        <f t="shared" si="17"/>
        <v>-0.37427961978893792</v>
      </c>
      <c r="E509" s="241">
        <v>8.5805196567791588E-3</v>
      </c>
      <c r="F509" s="242">
        <v>505</v>
      </c>
      <c r="G509" s="243">
        <f t="shared" ca="1" si="18"/>
        <v>1.6038543885030225E-2</v>
      </c>
    </row>
    <row r="510" spans="2:7" ht="15" thickBot="1" x14ac:dyDescent="0.35">
      <c r="B510" s="170">
        <v>45545.645833333336</v>
      </c>
      <c r="C510" s="238">
        <v>5344.4</v>
      </c>
      <c r="D510" s="241">
        <f t="shared" si="17"/>
        <v>0.36256788109017651</v>
      </c>
      <c r="E510" s="241">
        <v>8.5486214640220545E-3</v>
      </c>
      <c r="F510" s="242">
        <v>506</v>
      </c>
      <c r="G510" s="243">
        <f t="shared" ca="1" si="18"/>
        <v>4.0125198194998577E-4</v>
      </c>
    </row>
    <row r="511" spans="2:7" ht="15" thickBot="1" x14ac:dyDescent="0.35">
      <c r="B511" s="170">
        <v>45602.645833333336</v>
      </c>
      <c r="C511" s="238">
        <v>3922.3</v>
      </c>
      <c r="D511" s="241">
        <f t="shared" si="17"/>
        <v>0.16126835622927532</v>
      </c>
      <c r="E511" s="241">
        <v>8.5366794374020401E-3</v>
      </c>
      <c r="F511" s="242">
        <v>507</v>
      </c>
      <c r="G511" s="243">
        <f t="shared" ca="1" si="18"/>
        <v>1.3109350155665334E-2</v>
      </c>
    </row>
    <row r="512" spans="2:7" ht="15" thickBot="1" x14ac:dyDescent="0.35">
      <c r="B512" s="170">
        <v>44386.645833333336</v>
      </c>
      <c r="C512" s="238">
        <v>3377.6</v>
      </c>
      <c r="D512" s="241">
        <f t="shared" si="17"/>
        <v>-6.9211160868067542E-2</v>
      </c>
      <c r="E512" s="241">
        <v>8.5248055418700001E-3</v>
      </c>
      <c r="F512" s="242">
        <v>508</v>
      </c>
      <c r="G512" s="243">
        <f t="shared" ca="1" si="18"/>
        <v>-8.9025046156157566E-3</v>
      </c>
    </row>
    <row r="513" spans="2:7" ht="15" thickBot="1" x14ac:dyDescent="0.35">
      <c r="B513" s="170">
        <v>45147.645833333336</v>
      </c>
      <c r="C513" s="238">
        <v>3628.75</v>
      </c>
      <c r="D513" s="241">
        <f t="shared" si="17"/>
        <v>-2.179480267414274E-2</v>
      </c>
      <c r="E513" s="241">
        <v>8.4903562892557904E-3</v>
      </c>
      <c r="F513" s="242">
        <v>509</v>
      </c>
      <c r="G513" s="243">
        <f t="shared" ca="1" si="18"/>
        <v>-2.2117189787450326E-2</v>
      </c>
    </row>
    <row r="514" spans="2:7" ht="15" thickBot="1" x14ac:dyDescent="0.35">
      <c r="B514" s="170">
        <v>45625.645833333336</v>
      </c>
      <c r="C514" s="238">
        <v>3709.6</v>
      </c>
      <c r="D514" s="241">
        <f t="shared" si="17"/>
        <v>1.5831969638940151</v>
      </c>
      <c r="E514" s="241">
        <v>8.4819486733361833E-3</v>
      </c>
      <c r="F514" s="242">
        <v>510</v>
      </c>
      <c r="G514" s="243">
        <f t="shared" ca="1" si="18"/>
        <v>-1.0100011243821424E-2</v>
      </c>
    </row>
    <row r="515" spans="2:7" ht="15" thickBot="1" x14ac:dyDescent="0.35">
      <c r="B515" s="170">
        <v>43409.791666666664</v>
      </c>
      <c r="C515" s="238">
        <v>1436.05</v>
      </c>
      <c r="D515" s="241">
        <f t="shared" si="17"/>
        <v>-0.22023728721526897</v>
      </c>
      <c r="E515" s="241">
        <v>8.4620786516853615E-3</v>
      </c>
      <c r="F515" s="242">
        <v>511</v>
      </c>
      <c r="G515" s="243">
        <f t="shared" ca="1" si="18"/>
        <v>-1.8323042597456964E-2</v>
      </c>
    </row>
    <row r="516" spans="2:7" ht="15" thickBot="1" x14ac:dyDescent="0.35">
      <c r="B516" s="170">
        <v>43788.645833333336</v>
      </c>
      <c r="C516" s="238">
        <v>1841.65</v>
      </c>
      <c r="D516" s="241">
        <f t="shared" si="17"/>
        <v>-0.61039359417806405</v>
      </c>
      <c r="E516" s="241">
        <v>8.4601905596320467E-3</v>
      </c>
      <c r="F516" s="242">
        <v>512</v>
      </c>
      <c r="G516" s="243">
        <f t="shared" ca="1" si="18"/>
        <v>-1.828965219001594E-2</v>
      </c>
    </row>
    <row r="517" spans="2:7" ht="15" thickBot="1" x14ac:dyDescent="0.35">
      <c r="B517" s="170">
        <v>44565.645833333336</v>
      </c>
      <c r="C517" s="238">
        <v>4726.95</v>
      </c>
      <c r="D517" s="241">
        <f t="shared" ref="D517:D580" si="19">(C517-C518)/C518</f>
        <v>0.51129406122612098</v>
      </c>
      <c r="E517" s="241">
        <v>8.4375133336178233E-3</v>
      </c>
      <c r="F517" s="242">
        <v>513</v>
      </c>
      <c r="G517" s="243">
        <f t="shared" ca="1" si="18"/>
        <v>-3.0903253997216777E-4</v>
      </c>
    </row>
    <row r="518" spans="2:7" ht="15" thickBot="1" x14ac:dyDescent="0.35">
      <c r="B518" s="170">
        <v>44245.645833333336</v>
      </c>
      <c r="C518" s="238">
        <v>3127.75</v>
      </c>
      <c r="D518" s="241">
        <f t="shared" si="19"/>
        <v>0.41967183351110904</v>
      </c>
      <c r="E518" s="241">
        <v>8.4148759531216966E-3</v>
      </c>
      <c r="F518" s="242">
        <v>514</v>
      </c>
      <c r="G518" s="243">
        <f t="shared" ref="G518:G581" ca="1" si="20">_xlfn.NORM.INV(RAND(),$M$7,$M$8)</f>
        <v>-1.0546541020932008E-4</v>
      </c>
    </row>
    <row r="519" spans="2:7" ht="15" thickBot="1" x14ac:dyDescent="0.35">
      <c r="B519" s="170">
        <v>44104.645833333336</v>
      </c>
      <c r="C519" s="238">
        <v>2203.15</v>
      </c>
      <c r="D519" s="241">
        <f t="shared" si="19"/>
        <v>-0.3987200131000791</v>
      </c>
      <c r="E519" s="241">
        <v>8.3989381179054873E-3</v>
      </c>
      <c r="F519" s="242">
        <v>515</v>
      </c>
      <c r="G519" s="243">
        <f t="shared" ca="1" si="20"/>
        <v>-1.8907832266635047E-2</v>
      </c>
    </row>
    <row r="520" spans="2:7" ht="15" thickBot="1" x14ac:dyDescent="0.35">
      <c r="B520" s="170">
        <v>45194.645833333336</v>
      </c>
      <c r="C520" s="238">
        <v>3664.1</v>
      </c>
      <c r="D520" s="241">
        <f t="shared" si="19"/>
        <v>5.5830103591856729E-2</v>
      </c>
      <c r="E520" s="241">
        <v>8.3938793483047114E-3</v>
      </c>
      <c r="F520" s="242">
        <v>516</v>
      </c>
      <c r="G520" s="243">
        <f t="shared" ca="1" si="20"/>
        <v>3.5543489341372907E-2</v>
      </c>
    </row>
    <row r="521" spans="2:7" ht="15" thickBot="1" x14ac:dyDescent="0.35">
      <c r="B521" s="170">
        <v>44960.645833333336</v>
      </c>
      <c r="C521" s="238">
        <v>3470.35</v>
      </c>
      <c r="D521" s="241">
        <f t="shared" si="19"/>
        <v>-2.7613550393678774E-2</v>
      </c>
      <c r="E521" s="241">
        <v>8.3829725410431242E-3</v>
      </c>
      <c r="F521" s="242">
        <v>517</v>
      </c>
      <c r="G521" s="243">
        <f t="shared" ca="1" si="20"/>
        <v>3.4901174106043577E-2</v>
      </c>
    </row>
    <row r="522" spans="2:7" ht="15" thickBot="1" x14ac:dyDescent="0.35">
      <c r="B522" s="170">
        <v>45160.645833333336</v>
      </c>
      <c r="C522" s="238">
        <v>3568.9</v>
      </c>
      <c r="D522" s="241">
        <f t="shared" si="19"/>
        <v>-0.19298562981220396</v>
      </c>
      <c r="E522" s="241">
        <v>8.3632356680699311E-3</v>
      </c>
      <c r="F522" s="242">
        <v>518</v>
      </c>
      <c r="G522" s="243">
        <f t="shared" ca="1" si="20"/>
        <v>-3.4204248432973663E-2</v>
      </c>
    </row>
    <row r="523" spans="2:7" ht="15" thickBot="1" x14ac:dyDescent="0.35">
      <c r="B523" s="170">
        <v>44463.645833333336</v>
      </c>
      <c r="C523" s="238">
        <v>4422.3500000000004</v>
      </c>
      <c r="D523" s="241">
        <f t="shared" si="19"/>
        <v>1.9870651806822022</v>
      </c>
      <c r="E523" s="241">
        <v>8.3452089152369294E-3</v>
      </c>
      <c r="F523" s="242">
        <v>519</v>
      </c>
      <c r="G523" s="243">
        <f t="shared" ca="1" si="20"/>
        <v>-9.4198663525127194E-3</v>
      </c>
    </row>
    <row r="524" spans="2:7" ht="15" thickBot="1" x14ac:dyDescent="0.35">
      <c r="B524" s="170">
        <v>43276.645833333336</v>
      </c>
      <c r="C524" s="238">
        <v>1480.5</v>
      </c>
      <c r="D524" s="241">
        <f t="shared" si="19"/>
        <v>-0.56967838509497304</v>
      </c>
      <c r="E524" s="241">
        <v>8.3432657926102508E-3</v>
      </c>
      <c r="F524" s="242">
        <v>520</v>
      </c>
      <c r="G524" s="243">
        <f t="shared" ca="1" si="20"/>
        <v>-4.2353765785394203E-3</v>
      </c>
    </row>
    <row r="525" spans="2:7" ht="15" thickBot="1" x14ac:dyDescent="0.35">
      <c r="B525" s="170">
        <v>44735.645833333336</v>
      </c>
      <c r="C525" s="238">
        <v>3440.45</v>
      </c>
      <c r="D525" s="241">
        <f t="shared" si="19"/>
        <v>0.77745918578218642</v>
      </c>
      <c r="E525" s="241">
        <v>8.3382180539272616E-3</v>
      </c>
      <c r="F525" s="242">
        <v>521</v>
      </c>
      <c r="G525" s="243">
        <f t="shared" ca="1" si="20"/>
        <v>-2.9284892990445639E-2</v>
      </c>
    </row>
    <row r="526" spans="2:7" ht="15" thickBot="1" x14ac:dyDescent="0.35">
      <c r="B526" s="170">
        <v>43818.645833333336</v>
      </c>
      <c r="C526" s="238">
        <v>1935.6</v>
      </c>
      <c r="D526" s="241">
        <f t="shared" si="19"/>
        <v>0.3209130924352544</v>
      </c>
      <c r="E526" s="241">
        <v>8.3350698062096273E-3</v>
      </c>
      <c r="F526" s="242">
        <v>522</v>
      </c>
      <c r="G526" s="243">
        <f t="shared" ca="1" si="20"/>
        <v>1.0413710819654559E-2</v>
      </c>
    </row>
    <row r="527" spans="2:7" ht="15" thickBot="1" x14ac:dyDescent="0.35">
      <c r="B527" s="170">
        <v>43567.645833333336</v>
      </c>
      <c r="C527" s="238">
        <v>1465.35</v>
      </c>
      <c r="D527" s="241">
        <f t="shared" si="19"/>
        <v>-0.6304427323052092</v>
      </c>
      <c r="E527" s="241">
        <v>8.3261654911404841E-3</v>
      </c>
      <c r="F527" s="242">
        <v>523</v>
      </c>
      <c r="G527" s="243">
        <f t="shared" ca="1" si="20"/>
        <v>-2.6997878411253052E-3</v>
      </c>
    </row>
    <row r="528" spans="2:7" ht="15" thickBot="1" x14ac:dyDescent="0.35">
      <c r="B528" s="170">
        <v>45594.645833333336</v>
      </c>
      <c r="C528" s="238">
        <v>3965.15</v>
      </c>
      <c r="D528" s="241">
        <f t="shared" si="19"/>
        <v>1.1512315538194444</v>
      </c>
      <c r="E528" s="241">
        <v>8.3154267695712027E-3</v>
      </c>
      <c r="F528" s="242">
        <v>524</v>
      </c>
      <c r="G528" s="243">
        <f t="shared" ca="1" si="20"/>
        <v>5.3355161505059959E-3</v>
      </c>
    </row>
    <row r="529" spans="2:7" ht="15" thickBot="1" x14ac:dyDescent="0.35">
      <c r="B529" s="170">
        <v>43749.645833333336</v>
      </c>
      <c r="C529" s="238">
        <v>1843.2</v>
      </c>
      <c r="D529" s="241">
        <f t="shared" si="19"/>
        <v>-0.41582150101419874</v>
      </c>
      <c r="E529" s="241">
        <v>8.2875194879790445E-3</v>
      </c>
      <c r="F529" s="242">
        <v>525</v>
      </c>
      <c r="G529" s="243">
        <f t="shared" ca="1" si="20"/>
        <v>3.1835059181704304E-3</v>
      </c>
    </row>
    <row r="530" spans="2:7" ht="15" thickBot="1" x14ac:dyDescent="0.35">
      <c r="B530" s="170">
        <v>44265.645833333336</v>
      </c>
      <c r="C530" s="238">
        <v>3155.2</v>
      </c>
      <c r="D530" s="241">
        <f t="shared" si="19"/>
        <v>0.32557504463816817</v>
      </c>
      <c r="E530" s="241">
        <v>8.2605013820761207E-3</v>
      </c>
      <c r="F530" s="242">
        <v>526</v>
      </c>
      <c r="G530" s="243">
        <f t="shared" ca="1" si="20"/>
        <v>2.3174017544476892E-2</v>
      </c>
    </row>
    <row r="531" spans="2:7" ht="15" thickBot="1" x14ac:dyDescent="0.35">
      <c r="B531" s="170">
        <v>44159.645833333336</v>
      </c>
      <c r="C531" s="238">
        <v>2380.25</v>
      </c>
      <c r="D531" s="241">
        <f t="shared" si="19"/>
        <v>0.23771514741823105</v>
      </c>
      <c r="E531" s="241">
        <v>8.2387326330056829E-3</v>
      </c>
      <c r="F531" s="242">
        <v>527</v>
      </c>
      <c r="G531" s="243">
        <f t="shared" ca="1" si="20"/>
        <v>1.7376905830999512E-3</v>
      </c>
    </row>
    <row r="532" spans="2:7" ht="15" thickBot="1" x14ac:dyDescent="0.35">
      <c r="B532" s="170">
        <v>43822.645833333336</v>
      </c>
      <c r="C532" s="238">
        <v>1923.1</v>
      </c>
      <c r="D532" s="241">
        <f t="shared" si="19"/>
        <v>-0.51995706547515042</v>
      </c>
      <c r="E532" s="241">
        <v>8.2310999266015615E-3</v>
      </c>
      <c r="F532" s="242">
        <v>528</v>
      </c>
      <c r="G532" s="243">
        <f t="shared" ca="1" si="20"/>
        <v>4.8526137874862684E-3</v>
      </c>
    </row>
    <row r="533" spans="2:7" ht="15" thickBot="1" x14ac:dyDescent="0.35">
      <c r="B533" s="170">
        <v>44649.645833333336</v>
      </c>
      <c r="C533" s="238">
        <v>4006.1</v>
      </c>
      <c r="D533" s="241">
        <f t="shared" si="19"/>
        <v>-0.13762001119386916</v>
      </c>
      <c r="E533" s="241">
        <v>8.2297276891326859E-3</v>
      </c>
      <c r="F533" s="242">
        <v>529</v>
      </c>
      <c r="G533" s="243">
        <f t="shared" ca="1" si="20"/>
        <v>4.9432651710867782E-2</v>
      </c>
    </row>
    <row r="534" spans="2:7" ht="15" thickBot="1" x14ac:dyDescent="0.35">
      <c r="B534" s="170">
        <v>45574.645833333336</v>
      </c>
      <c r="C534" s="238">
        <v>4645.3999999999996</v>
      </c>
      <c r="D534" s="241">
        <f t="shared" si="19"/>
        <v>-8.903901401131499E-2</v>
      </c>
      <c r="E534" s="241">
        <v>8.2257189365164702E-3</v>
      </c>
      <c r="F534" s="242">
        <v>530</v>
      </c>
      <c r="G534" s="243">
        <f t="shared" ca="1" si="20"/>
        <v>-1.2095008439696261E-2</v>
      </c>
    </row>
    <row r="535" spans="2:7" ht="15" thickBot="1" x14ac:dyDescent="0.35">
      <c r="B535" s="170">
        <v>45525.645833333336</v>
      </c>
      <c r="C535" s="238">
        <v>5099.45</v>
      </c>
      <c r="D535" s="241">
        <f t="shared" si="19"/>
        <v>1.4480689373754827</v>
      </c>
      <c r="E535" s="241">
        <v>8.2248386171988996E-3</v>
      </c>
      <c r="F535" s="242">
        <v>531</v>
      </c>
      <c r="G535" s="243">
        <f t="shared" ca="1" si="20"/>
        <v>-5.4816981274811239E-3</v>
      </c>
    </row>
    <row r="536" spans="2:7" ht="15" thickBot="1" x14ac:dyDescent="0.35">
      <c r="B536" s="170">
        <v>44110.645833333336</v>
      </c>
      <c r="C536" s="238">
        <v>2083.0500000000002</v>
      </c>
      <c r="D536" s="241">
        <f t="shared" si="19"/>
        <v>0.41420279031874818</v>
      </c>
      <c r="E536" s="241">
        <v>8.2038623493539877E-3</v>
      </c>
      <c r="F536" s="242">
        <v>532</v>
      </c>
      <c r="G536" s="243">
        <f t="shared" ca="1" si="20"/>
        <v>-5.1302179794811234E-2</v>
      </c>
    </row>
    <row r="537" spans="2:7" ht="15" thickBot="1" x14ac:dyDescent="0.35">
      <c r="B537" s="170">
        <v>43516.645833333336</v>
      </c>
      <c r="C537" s="238">
        <v>1472.95</v>
      </c>
      <c r="D537" s="241">
        <f t="shared" si="19"/>
        <v>-0.68806319423119688</v>
      </c>
      <c r="E537" s="241">
        <v>8.1448273501934162E-3</v>
      </c>
      <c r="F537" s="242">
        <v>533</v>
      </c>
      <c r="G537" s="243">
        <f t="shared" ca="1" si="20"/>
        <v>-4.1774377898683379E-2</v>
      </c>
    </row>
    <row r="538" spans="2:7" ht="15" thickBot="1" x14ac:dyDescent="0.35">
      <c r="B538" s="170">
        <v>44558.645833333336</v>
      </c>
      <c r="C538" s="238">
        <v>4721.95</v>
      </c>
      <c r="D538" s="241">
        <f t="shared" si="19"/>
        <v>0.31418989437942685</v>
      </c>
      <c r="E538" s="241">
        <v>8.1128107686888207E-3</v>
      </c>
      <c r="F538" s="242">
        <v>534</v>
      </c>
      <c r="G538" s="243">
        <f t="shared" ca="1" si="20"/>
        <v>-1.2925254523433974E-2</v>
      </c>
    </row>
    <row r="539" spans="2:7" ht="15" thickBot="1" x14ac:dyDescent="0.35">
      <c r="B539" s="170">
        <v>44412.645833333336</v>
      </c>
      <c r="C539" s="238">
        <v>3593.05</v>
      </c>
      <c r="D539" s="241">
        <f t="shared" si="19"/>
        <v>0.17060337525249236</v>
      </c>
      <c r="E539" s="241">
        <v>8.1085251743052596E-3</v>
      </c>
      <c r="F539" s="242">
        <v>535</v>
      </c>
      <c r="G539" s="243">
        <f t="shared" ca="1" si="20"/>
        <v>6.6893855914576408E-4</v>
      </c>
    </row>
    <row r="540" spans="2:7" ht="15" thickBot="1" x14ac:dyDescent="0.35">
      <c r="B540" s="170">
        <v>44347.645833333336</v>
      </c>
      <c r="C540" s="238">
        <v>3069.4</v>
      </c>
      <c r="D540" s="241">
        <f t="shared" si="19"/>
        <v>0.36039889196675906</v>
      </c>
      <c r="E540" s="241">
        <v>8.0793483972674413E-3</v>
      </c>
      <c r="F540" s="242">
        <v>536</v>
      </c>
      <c r="G540" s="243">
        <f t="shared" ca="1" si="20"/>
        <v>-1.2079875474681494E-2</v>
      </c>
    </row>
    <row r="541" spans="2:7" ht="15" thickBot="1" x14ac:dyDescent="0.35">
      <c r="B541" s="170">
        <v>43941.645833333336</v>
      </c>
      <c r="C541" s="238">
        <v>2256.25</v>
      </c>
      <c r="D541" s="241">
        <f t="shared" si="19"/>
        <v>0.35129065101515239</v>
      </c>
      <c r="E541" s="241">
        <v>8.0645161290323394E-3</v>
      </c>
      <c r="F541" s="242">
        <v>537</v>
      </c>
      <c r="G541" s="243">
        <f t="shared" ca="1" si="20"/>
        <v>7.8281983309181295E-3</v>
      </c>
    </row>
    <row r="542" spans="2:7" ht="15" thickBot="1" x14ac:dyDescent="0.35">
      <c r="B542" s="170">
        <v>43313.645833333336</v>
      </c>
      <c r="C542" s="238">
        <v>1669.7</v>
      </c>
      <c r="D542" s="241">
        <f t="shared" si="19"/>
        <v>-0.59230365405510998</v>
      </c>
      <c r="E542" s="241">
        <v>8.0598907235790371E-3</v>
      </c>
      <c r="F542" s="242">
        <v>538</v>
      </c>
      <c r="G542" s="243">
        <f t="shared" ca="1" si="20"/>
        <v>-1.0189335987390861E-2</v>
      </c>
    </row>
    <row r="543" spans="2:7" ht="15" thickBot="1" x14ac:dyDescent="0.35">
      <c r="B543" s="170">
        <v>44586.645833333336</v>
      </c>
      <c r="C543" s="238">
        <v>4095.45</v>
      </c>
      <c r="D543" s="241">
        <f t="shared" si="19"/>
        <v>0.76227973923707482</v>
      </c>
      <c r="E543" s="241">
        <v>7.9122880417393827E-3</v>
      </c>
      <c r="F543" s="242">
        <v>539</v>
      </c>
      <c r="G543" s="243">
        <f t="shared" ca="1" si="20"/>
        <v>-9.5415008562290942E-3</v>
      </c>
    </row>
    <row r="544" spans="2:7" ht="15" thickBot="1" x14ac:dyDescent="0.35">
      <c r="B544" s="170">
        <v>43948.645833333336</v>
      </c>
      <c r="C544" s="238">
        <v>2323.9499999999998</v>
      </c>
      <c r="D544" s="241">
        <f t="shared" si="19"/>
        <v>-0.36370232456260448</v>
      </c>
      <c r="E544" s="241">
        <v>7.8714545927659092E-3</v>
      </c>
      <c r="F544" s="242">
        <v>540</v>
      </c>
      <c r="G544" s="243">
        <f t="shared" ca="1" si="20"/>
        <v>-1.3392279229207167E-2</v>
      </c>
    </row>
    <row r="545" spans="2:7" ht="15" thickBot="1" x14ac:dyDescent="0.35">
      <c r="B545" s="170">
        <v>45639.645833333336</v>
      </c>
      <c r="C545" s="238">
        <v>3652.3</v>
      </c>
      <c r="D545" s="241">
        <f t="shared" si="19"/>
        <v>0.23727091026118774</v>
      </c>
      <c r="E545" s="241">
        <v>7.8646724432915715E-3</v>
      </c>
      <c r="F545" s="242">
        <v>541</v>
      </c>
      <c r="G545" s="243">
        <f t="shared" ca="1" si="20"/>
        <v>7.1709172705578181E-3</v>
      </c>
    </row>
    <row r="546" spans="2:7" ht="15" thickBot="1" x14ac:dyDescent="0.35">
      <c r="B546" s="170">
        <v>44238.645833333336</v>
      </c>
      <c r="C546" s="238">
        <v>2951.9</v>
      </c>
      <c r="D546" s="241">
        <f t="shared" si="19"/>
        <v>-0.23491220112745415</v>
      </c>
      <c r="E546" s="241">
        <v>7.8527774932568538E-3</v>
      </c>
      <c r="F546" s="242">
        <v>542</v>
      </c>
      <c r="G546" s="243">
        <f t="shared" ca="1" si="20"/>
        <v>-2.060217210330453E-2</v>
      </c>
    </row>
    <row r="547" spans="2:7" ht="15" thickBot="1" x14ac:dyDescent="0.35">
      <c r="B547" s="170">
        <v>45306.645833333336</v>
      </c>
      <c r="C547" s="238">
        <v>3858.25</v>
      </c>
      <c r="D547" s="241">
        <f t="shared" si="19"/>
        <v>8.8993635247463329E-2</v>
      </c>
      <c r="E547" s="241">
        <v>7.8233158320925259E-3</v>
      </c>
      <c r="F547" s="242">
        <v>543</v>
      </c>
      <c r="G547" s="243">
        <f t="shared" ca="1" si="20"/>
        <v>-2.2995742166354423E-2</v>
      </c>
    </row>
    <row r="548" spans="2:7" ht="15" thickBot="1" x14ac:dyDescent="0.35">
      <c r="B548" s="170">
        <v>45643.645833333336</v>
      </c>
      <c r="C548" s="238">
        <v>3542.95</v>
      </c>
      <c r="D548" s="241">
        <f t="shared" si="19"/>
        <v>-2.7864953488045065E-3</v>
      </c>
      <c r="E548" s="241">
        <v>7.7509457576016164E-3</v>
      </c>
      <c r="F548" s="242">
        <v>544</v>
      </c>
      <c r="G548" s="243">
        <f t="shared" ca="1" si="20"/>
        <v>1.5890423407634052E-2</v>
      </c>
    </row>
    <row r="549" spans="2:7" ht="15" thickBot="1" x14ac:dyDescent="0.35">
      <c r="B549" s="170">
        <v>44977.645833333336</v>
      </c>
      <c r="C549" s="238">
        <v>3552.85</v>
      </c>
      <c r="D549" s="241">
        <f t="shared" si="19"/>
        <v>-6.4041939435450917E-2</v>
      </c>
      <c r="E549" s="241">
        <v>7.7291808486498756E-3</v>
      </c>
      <c r="F549" s="242">
        <v>545</v>
      </c>
      <c r="G549" s="243">
        <f t="shared" ca="1" si="20"/>
        <v>-1.4341980541553211E-2</v>
      </c>
    </row>
    <row r="550" spans="2:7" ht="15" thickBot="1" x14ac:dyDescent="0.35">
      <c r="B550" s="170">
        <v>45217.645833333336</v>
      </c>
      <c r="C550" s="238">
        <v>3795.95</v>
      </c>
      <c r="D550" s="241">
        <f t="shared" si="19"/>
        <v>-0.24360864800239118</v>
      </c>
      <c r="E550" s="241">
        <v>7.7252877072354646E-3</v>
      </c>
      <c r="F550" s="242">
        <v>546</v>
      </c>
      <c r="G550" s="243">
        <f t="shared" ca="1" si="20"/>
        <v>-5.0942516197538404E-3</v>
      </c>
    </row>
    <row r="551" spans="2:7" ht="15" thickBot="1" x14ac:dyDescent="0.35">
      <c r="B551" s="170">
        <v>45511.645833333336</v>
      </c>
      <c r="C551" s="238">
        <v>5018.5</v>
      </c>
      <c r="D551" s="241">
        <f t="shared" si="19"/>
        <v>2.2686358159377344</v>
      </c>
      <c r="E551" s="241">
        <v>7.7106885403906813E-3</v>
      </c>
      <c r="F551" s="242">
        <v>547</v>
      </c>
      <c r="G551" s="243">
        <f t="shared" ca="1" si="20"/>
        <v>3.8096629685466912E-2</v>
      </c>
    </row>
    <row r="552" spans="2:7" ht="15" thickBot="1" x14ac:dyDescent="0.35">
      <c r="B552" s="170">
        <v>43266.645833333336</v>
      </c>
      <c r="C552" s="238">
        <v>1535.35</v>
      </c>
      <c r="D552" s="241">
        <f t="shared" si="19"/>
        <v>0.22328898095769262</v>
      </c>
      <c r="E552" s="241">
        <v>7.6789288878678285E-3</v>
      </c>
      <c r="F552" s="242">
        <v>548</v>
      </c>
      <c r="G552" s="243">
        <f t="shared" ca="1" si="20"/>
        <v>1.0270190991225722E-3</v>
      </c>
    </row>
    <row r="553" spans="2:7" ht="15" thickBot="1" x14ac:dyDescent="0.35">
      <c r="B553" s="170">
        <v>43592.791666666664</v>
      </c>
      <c r="C553" s="238">
        <v>1255.0999999999999</v>
      </c>
      <c r="D553" s="241">
        <f t="shared" si="19"/>
        <v>-0.67340619307832428</v>
      </c>
      <c r="E553" s="241">
        <v>7.6672955722371277E-3</v>
      </c>
      <c r="F553" s="242">
        <v>549</v>
      </c>
      <c r="G553" s="243">
        <f t="shared" ca="1" si="20"/>
        <v>-1.4620733189402397E-2</v>
      </c>
    </row>
    <row r="554" spans="2:7" ht="15" thickBot="1" x14ac:dyDescent="0.35">
      <c r="B554" s="170">
        <v>45665.645833333336</v>
      </c>
      <c r="C554" s="238">
        <v>3843</v>
      </c>
      <c r="D554" s="241">
        <f t="shared" si="19"/>
        <v>0.84520094108609034</v>
      </c>
      <c r="E554" s="241">
        <v>7.6564056846189672E-3</v>
      </c>
      <c r="F554" s="242">
        <v>550</v>
      </c>
      <c r="G554" s="243">
        <f t="shared" ca="1" si="20"/>
        <v>-6.2668296091255137E-3</v>
      </c>
    </row>
    <row r="555" spans="2:7" ht="15" thickBot="1" x14ac:dyDescent="0.35">
      <c r="B555" s="170">
        <v>43922.645833333336</v>
      </c>
      <c r="C555" s="238">
        <v>2082.6999999999998</v>
      </c>
      <c r="D555" s="241">
        <f t="shared" si="19"/>
        <v>-0.41521830689316302</v>
      </c>
      <c r="E555" s="241">
        <v>7.6199230750622904E-3</v>
      </c>
      <c r="F555" s="242">
        <v>551</v>
      </c>
      <c r="G555" s="243">
        <f t="shared" ca="1" si="20"/>
        <v>2.4721058753273861E-2</v>
      </c>
    </row>
    <row r="556" spans="2:7" ht="15" thickBot="1" x14ac:dyDescent="0.35">
      <c r="B556" s="170">
        <v>45162.645833333336</v>
      </c>
      <c r="C556" s="238">
        <v>3561.5</v>
      </c>
      <c r="D556" s="241">
        <f t="shared" si="19"/>
        <v>-0.22702116115029844</v>
      </c>
      <c r="E556" s="241">
        <v>7.61047926215133E-3</v>
      </c>
      <c r="F556" s="242">
        <v>552</v>
      </c>
      <c r="G556" s="243">
        <f t="shared" ca="1" si="20"/>
        <v>2.5375573582760807E-2</v>
      </c>
    </row>
    <row r="557" spans="2:7" ht="15" thickBot="1" x14ac:dyDescent="0.35">
      <c r="B557" s="170">
        <v>45575.645833333336</v>
      </c>
      <c r="C557" s="238">
        <v>4607.5</v>
      </c>
      <c r="D557" s="241">
        <f t="shared" si="19"/>
        <v>0.32315777382114763</v>
      </c>
      <c r="E557" s="241">
        <v>7.6103833621274488E-3</v>
      </c>
      <c r="F557" s="242">
        <v>553</v>
      </c>
      <c r="G557" s="243">
        <f t="shared" ca="1" si="20"/>
        <v>3.9699739709117041E-2</v>
      </c>
    </row>
    <row r="558" spans="2:7" ht="15" thickBot="1" x14ac:dyDescent="0.35">
      <c r="B558" s="170">
        <v>45036.645833333336</v>
      </c>
      <c r="C558" s="238">
        <v>3482.2</v>
      </c>
      <c r="D558" s="241">
        <f t="shared" si="19"/>
        <v>5.4717389735074911E-3</v>
      </c>
      <c r="E558" s="241">
        <v>7.6101739054948714E-3</v>
      </c>
      <c r="F558" s="242">
        <v>554</v>
      </c>
      <c r="G558" s="243">
        <f t="shared" ca="1" si="20"/>
        <v>-1.6973338227538898E-2</v>
      </c>
    </row>
    <row r="559" spans="2:7" ht="15" thickBot="1" x14ac:dyDescent="0.35">
      <c r="B559" s="170">
        <v>44988.645833333336</v>
      </c>
      <c r="C559" s="238">
        <v>3463.25</v>
      </c>
      <c r="D559" s="241">
        <f t="shared" si="19"/>
        <v>1.1538294101184738</v>
      </c>
      <c r="E559" s="241">
        <v>7.5935004291345764E-3</v>
      </c>
      <c r="F559" s="242">
        <v>555</v>
      </c>
      <c r="G559" s="243">
        <f t="shared" ca="1" si="20"/>
        <v>2.4460449238621871E-2</v>
      </c>
    </row>
    <row r="560" spans="2:7" ht="15" thickBot="1" x14ac:dyDescent="0.35">
      <c r="B560" s="170">
        <v>43263.645833333336</v>
      </c>
      <c r="C560" s="238">
        <v>1607.95</v>
      </c>
      <c r="D560" s="241">
        <f t="shared" si="19"/>
        <v>-0.51427319961333973</v>
      </c>
      <c r="E560" s="241">
        <v>7.582166243694669E-3</v>
      </c>
      <c r="F560" s="242">
        <v>556</v>
      </c>
      <c r="G560" s="243">
        <f t="shared" ca="1" si="20"/>
        <v>-2.7413382398870974E-2</v>
      </c>
    </row>
    <row r="561" spans="2:7" ht="15" thickBot="1" x14ac:dyDescent="0.35">
      <c r="B561" s="170">
        <v>44363.645833333336</v>
      </c>
      <c r="C561" s="238">
        <v>3310.4</v>
      </c>
      <c r="D561" s="241">
        <f t="shared" si="19"/>
        <v>-0.1889753169596374</v>
      </c>
      <c r="E561" s="241">
        <v>7.563421649343309E-3</v>
      </c>
      <c r="F561" s="242">
        <v>557</v>
      </c>
      <c r="G561" s="243">
        <f t="shared" ca="1" si="20"/>
        <v>2.0867480014493411E-2</v>
      </c>
    </row>
    <row r="562" spans="2:7" ht="15" thickBot="1" x14ac:dyDescent="0.35">
      <c r="B562" s="170">
        <v>44607.645833333336</v>
      </c>
      <c r="C562" s="238">
        <v>4081.75</v>
      </c>
      <c r="D562" s="241">
        <f t="shared" si="19"/>
        <v>0.12637286825983768</v>
      </c>
      <c r="E562" s="241">
        <v>7.5534107599076576E-3</v>
      </c>
      <c r="F562" s="242">
        <v>558</v>
      </c>
      <c r="G562" s="243">
        <f t="shared" ca="1" si="20"/>
        <v>1.5059700513483928E-2</v>
      </c>
    </row>
    <row r="563" spans="2:7" ht="15" thickBot="1" x14ac:dyDescent="0.35">
      <c r="B563" s="170">
        <v>45708.645833333336</v>
      </c>
      <c r="C563" s="238">
        <v>3623.8</v>
      </c>
      <c r="D563" s="241">
        <f t="shared" si="19"/>
        <v>1.6173124842006428</v>
      </c>
      <c r="E563" s="241">
        <v>7.5346845719688506E-3</v>
      </c>
      <c r="F563" s="242">
        <v>559</v>
      </c>
      <c r="G563" s="243">
        <f t="shared" ca="1" si="20"/>
        <v>-4.1678976057865254E-3</v>
      </c>
    </row>
    <row r="564" spans="2:7" ht="15" thickBot="1" x14ac:dyDescent="0.35">
      <c r="B564" s="170">
        <v>43494.645833333336</v>
      </c>
      <c r="C564" s="238">
        <v>1384.55</v>
      </c>
      <c r="D564" s="241">
        <f t="shared" si="19"/>
        <v>-0.61696682988906404</v>
      </c>
      <c r="E564" s="241">
        <v>7.5316547809634029E-3</v>
      </c>
      <c r="F564" s="242">
        <v>560</v>
      </c>
      <c r="G564" s="243">
        <f t="shared" ca="1" si="20"/>
        <v>-1.282411029466206E-2</v>
      </c>
    </row>
    <row r="565" spans="2:7" ht="15" thickBot="1" x14ac:dyDescent="0.35">
      <c r="B565" s="170">
        <v>45677.645833333336</v>
      </c>
      <c r="C565" s="238">
        <v>3614.7</v>
      </c>
      <c r="D565" s="241">
        <f t="shared" si="19"/>
        <v>7.2870658065234241E-3</v>
      </c>
      <c r="E565" s="241">
        <v>7.4976308601370292E-3</v>
      </c>
      <c r="F565" s="242">
        <v>561</v>
      </c>
      <c r="G565" s="243">
        <f t="shared" ca="1" si="20"/>
        <v>-1.2477249771605511E-2</v>
      </c>
    </row>
    <row r="566" spans="2:7" ht="15" thickBot="1" x14ac:dyDescent="0.35">
      <c r="B566" s="170">
        <v>45656.645833333336</v>
      </c>
      <c r="C566" s="238">
        <v>3588.55</v>
      </c>
      <c r="D566" s="241">
        <f t="shared" si="19"/>
        <v>6.9612518628912129E-2</v>
      </c>
      <c r="E566" s="241">
        <v>7.4961045524096388E-3</v>
      </c>
      <c r="F566" s="242">
        <v>562</v>
      </c>
      <c r="G566" s="243">
        <f t="shared" ca="1" si="20"/>
        <v>-3.7185762982627499E-3</v>
      </c>
    </row>
    <row r="567" spans="2:7" ht="15" thickBot="1" x14ac:dyDescent="0.35">
      <c r="B567" s="170">
        <v>44390.645833333336</v>
      </c>
      <c r="C567" s="238">
        <v>3355</v>
      </c>
      <c r="D567" s="241">
        <f t="shared" si="19"/>
        <v>1.1130530625098409</v>
      </c>
      <c r="E567" s="241">
        <v>7.4923799942943252E-3</v>
      </c>
      <c r="F567" s="242">
        <v>563</v>
      </c>
      <c r="G567" s="243">
        <f t="shared" ca="1" si="20"/>
        <v>2.2858461829553521E-3</v>
      </c>
    </row>
    <row r="568" spans="2:7" ht="15" thickBot="1" x14ac:dyDescent="0.35">
      <c r="B568" s="170">
        <v>43293.645833333336</v>
      </c>
      <c r="C568" s="238">
        <v>1587.75</v>
      </c>
      <c r="D568" s="241">
        <f t="shared" si="19"/>
        <v>-0.66228503972178798</v>
      </c>
      <c r="E568" s="241">
        <v>7.4555837563451775E-3</v>
      </c>
      <c r="F568" s="242">
        <v>564</v>
      </c>
      <c r="G568" s="243">
        <f t="shared" ca="1" si="20"/>
        <v>2.2058915170349344E-2</v>
      </c>
    </row>
    <row r="569" spans="2:7" ht="15" thickBot="1" x14ac:dyDescent="0.35">
      <c r="B569" s="170">
        <v>45454.645833333336</v>
      </c>
      <c r="C569" s="238">
        <v>4701.45</v>
      </c>
      <c r="D569" s="241">
        <f t="shared" si="19"/>
        <v>0.15062408223201171</v>
      </c>
      <c r="E569" s="241">
        <v>7.435581507473042E-3</v>
      </c>
      <c r="F569" s="242">
        <v>565</v>
      </c>
      <c r="G569" s="243">
        <f t="shared" ca="1" si="20"/>
        <v>-2.4739391366742473E-2</v>
      </c>
    </row>
    <row r="570" spans="2:7" ht="15" thickBot="1" x14ac:dyDescent="0.35">
      <c r="B570" s="170">
        <v>45854.645833333336</v>
      </c>
      <c r="C570" s="239">
        <v>4086</v>
      </c>
      <c r="D570" s="241">
        <f t="shared" si="19"/>
        <v>-0.14584944708071154</v>
      </c>
      <c r="E570" s="241">
        <v>7.4212875070884168E-3</v>
      </c>
      <c r="F570" s="242">
        <v>566</v>
      </c>
      <c r="G570" s="243">
        <f t="shared" ca="1" si="20"/>
        <v>1.74979317042658E-2</v>
      </c>
    </row>
    <row r="571" spans="2:7" ht="15" thickBot="1" x14ac:dyDescent="0.35">
      <c r="B571" s="170">
        <v>44504.802083333336</v>
      </c>
      <c r="C571" s="238">
        <v>4783.7</v>
      </c>
      <c r="D571" s="241">
        <f t="shared" si="19"/>
        <v>2.3656031237907622</v>
      </c>
      <c r="E571" s="241">
        <v>7.4128672212277176E-3</v>
      </c>
      <c r="F571" s="242">
        <v>567</v>
      </c>
      <c r="G571" s="243">
        <f t="shared" ca="1" si="20"/>
        <v>-2.6608364708711366E-2</v>
      </c>
    </row>
    <row r="572" spans="2:7" ht="15" thickBot="1" x14ac:dyDescent="0.35">
      <c r="B572" s="170">
        <v>43425.645833333336</v>
      </c>
      <c r="C572" s="238">
        <v>1421.35</v>
      </c>
      <c r="D572" s="241">
        <f t="shared" si="19"/>
        <v>-0.61633352678390674</v>
      </c>
      <c r="E572" s="241">
        <v>7.4066198880146129E-3</v>
      </c>
      <c r="F572" s="242">
        <v>568</v>
      </c>
      <c r="G572" s="243">
        <f t="shared" ca="1" si="20"/>
        <v>-4.3333901682279892E-3</v>
      </c>
    </row>
    <row r="573" spans="2:7" ht="15" thickBot="1" x14ac:dyDescent="0.35">
      <c r="B573" s="170">
        <v>45057.645833333336</v>
      </c>
      <c r="C573" s="238">
        <v>3704.65</v>
      </c>
      <c r="D573" s="241">
        <f t="shared" si="19"/>
        <v>-0.11771990616701788</v>
      </c>
      <c r="E573" s="241">
        <v>7.3690364508979915E-3</v>
      </c>
      <c r="F573" s="242">
        <v>569</v>
      </c>
      <c r="G573" s="243">
        <f t="shared" ca="1" si="20"/>
        <v>-5.826811119327353E-3</v>
      </c>
    </row>
    <row r="574" spans="2:7" ht="15" thickBot="1" x14ac:dyDescent="0.35">
      <c r="B574" s="170">
        <v>44631.645833333336</v>
      </c>
      <c r="C574" s="238">
        <v>4198.95</v>
      </c>
      <c r="D574" s="241">
        <f t="shared" si="19"/>
        <v>0.17034115614025297</v>
      </c>
      <c r="E574" s="241">
        <v>7.3652012235350135E-3</v>
      </c>
      <c r="F574" s="242">
        <v>570</v>
      </c>
      <c r="G574" s="243">
        <f t="shared" ca="1" si="20"/>
        <v>1.9229104125340125E-3</v>
      </c>
    </row>
    <row r="575" spans="2:7" ht="15" thickBot="1" x14ac:dyDescent="0.35">
      <c r="B575" s="170">
        <v>45678.645833333336</v>
      </c>
      <c r="C575" s="238">
        <v>3587.8</v>
      </c>
      <c r="D575" s="241">
        <f t="shared" si="19"/>
        <v>-3.1855040004317423E-2</v>
      </c>
      <c r="E575" s="241">
        <v>7.3562443845463484E-3</v>
      </c>
      <c r="F575" s="242">
        <v>571</v>
      </c>
      <c r="G575" s="243">
        <f t="shared" ca="1" si="20"/>
        <v>-1.2062307787814969E-2</v>
      </c>
    </row>
    <row r="576" spans="2:7" ht="15" thickBot="1" x14ac:dyDescent="0.35">
      <c r="B576" s="170">
        <v>45126.645833333336</v>
      </c>
      <c r="C576" s="238">
        <v>3705.85</v>
      </c>
      <c r="D576" s="241">
        <f t="shared" si="19"/>
        <v>-9.8925280229532897E-2</v>
      </c>
      <c r="E576" s="241">
        <v>7.3529411764705135E-3</v>
      </c>
      <c r="F576" s="242">
        <v>572</v>
      </c>
      <c r="G576" s="243">
        <f t="shared" ca="1" si="20"/>
        <v>-1.168107423556888E-3</v>
      </c>
    </row>
    <row r="577" spans="2:7" ht="15" thickBot="1" x14ac:dyDescent="0.35">
      <c r="B577" s="170">
        <v>45798.645833333336</v>
      </c>
      <c r="C577" s="239">
        <v>4112.7</v>
      </c>
      <c r="D577" s="241">
        <f t="shared" si="19"/>
        <v>-3.7908607555077801E-3</v>
      </c>
      <c r="E577" s="241">
        <v>7.3480784774781396E-3</v>
      </c>
      <c r="F577" s="242">
        <v>573</v>
      </c>
      <c r="G577" s="243">
        <f t="shared" ca="1" si="20"/>
        <v>-3.3123479471307379E-2</v>
      </c>
    </row>
    <row r="578" spans="2:7" ht="15" thickBot="1" x14ac:dyDescent="0.35">
      <c r="B578" s="170">
        <v>44876.645833333336</v>
      </c>
      <c r="C578" s="238">
        <v>4128.3500000000004</v>
      </c>
      <c r="D578" s="241">
        <f t="shared" si="19"/>
        <v>1.377260163537948</v>
      </c>
      <c r="E578" s="241">
        <v>7.3200190320494825E-3</v>
      </c>
      <c r="F578" s="242">
        <v>574</v>
      </c>
      <c r="G578" s="243">
        <f t="shared" ca="1" si="20"/>
        <v>-6.552811587142846E-3</v>
      </c>
    </row>
    <row r="579" spans="2:7" ht="15" thickBot="1" x14ac:dyDescent="0.35">
      <c r="B579" s="170">
        <v>43809.645833333336</v>
      </c>
      <c r="C579" s="238">
        <v>1736.6</v>
      </c>
      <c r="D579" s="241">
        <f t="shared" si="19"/>
        <v>-0.55592492200685317</v>
      </c>
      <c r="E579" s="241">
        <v>7.3085846867748895E-3</v>
      </c>
      <c r="F579" s="242">
        <v>575</v>
      </c>
      <c r="G579" s="243">
        <f t="shared" ca="1" si="20"/>
        <v>2.6932094297632447E-2</v>
      </c>
    </row>
    <row r="580" spans="2:7" ht="15" thickBot="1" x14ac:dyDescent="0.35">
      <c r="B580" s="170">
        <v>44883.645833333336</v>
      </c>
      <c r="C580" s="238">
        <v>3910.6</v>
      </c>
      <c r="D580" s="241">
        <f t="shared" si="19"/>
        <v>0.10920127070569549</v>
      </c>
      <c r="E580" s="241">
        <v>7.2894933415757991E-3</v>
      </c>
      <c r="F580" s="242">
        <v>576</v>
      </c>
      <c r="G580" s="243">
        <f t="shared" ca="1" si="20"/>
        <v>5.5838498132772113E-3</v>
      </c>
    </row>
    <row r="581" spans="2:7" ht="15" thickBot="1" x14ac:dyDescent="0.35">
      <c r="B581" s="170">
        <v>44978.645833333336</v>
      </c>
      <c r="C581" s="238">
        <v>3525.6</v>
      </c>
      <c r="D581" s="241">
        <f t="shared" ref="D581:D644" si="21">(C581-C582)/C582</f>
        <v>-5.7401812688821822E-2</v>
      </c>
      <c r="E581" s="241">
        <v>7.2711169521305708E-3</v>
      </c>
      <c r="F581" s="242">
        <v>577</v>
      </c>
      <c r="G581" s="243">
        <f t="shared" ca="1" si="20"/>
        <v>-1.3083125198372758E-2</v>
      </c>
    </row>
    <row r="582" spans="2:7" ht="15" thickBot="1" x14ac:dyDescent="0.35">
      <c r="B582" s="170">
        <v>45139.645833333336</v>
      </c>
      <c r="C582" s="238">
        <v>3740.3</v>
      </c>
      <c r="D582" s="241">
        <f t="shared" si="21"/>
        <v>0.55826355038953457</v>
      </c>
      <c r="E582" s="241">
        <v>7.244035116066163E-3</v>
      </c>
      <c r="F582" s="242">
        <v>578</v>
      </c>
      <c r="G582" s="243">
        <f t="shared" ref="G582:G645" ca="1" si="22">_xlfn.NORM.INV(RAND(),$M$7,$M$8)</f>
        <v>-5.7812801499650106E-3</v>
      </c>
    </row>
    <row r="583" spans="2:7" ht="15" thickBot="1" x14ac:dyDescent="0.35">
      <c r="B583" s="170">
        <v>44147.645833333336</v>
      </c>
      <c r="C583" s="238">
        <v>2400.3000000000002</v>
      </c>
      <c r="D583" s="241">
        <f t="shared" si="21"/>
        <v>-0.33263825173075312</v>
      </c>
      <c r="E583" s="241">
        <v>7.2386227733366899E-3</v>
      </c>
      <c r="F583" s="242">
        <v>579</v>
      </c>
      <c r="G583" s="243">
        <f t="shared" ca="1" si="22"/>
        <v>2.6195493660575357E-4</v>
      </c>
    </row>
    <row r="584" spans="2:7" ht="15" thickBot="1" x14ac:dyDescent="0.35">
      <c r="B584" s="170">
        <v>45709.645833333336</v>
      </c>
      <c r="C584" s="238">
        <v>3596.7</v>
      </c>
      <c r="D584" s="241">
        <f t="shared" si="21"/>
        <v>-6.8574388191117483E-2</v>
      </c>
      <c r="E584" s="241">
        <v>7.2250693102578417E-3</v>
      </c>
      <c r="F584" s="242">
        <v>580</v>
      </c>
      <c r="G584" s="243">
        <f t="shared" ca="1" si="22"/>
        <v>-3.9583143309489374E-5</v>
      </c>
    </row>
    <row r="585" spans="2:7" ht="15" thickBot="1" x14ac:dyDescent="0.35">
      <c r="B585" s="170">
        <v>45204.645833333336</v>
      </c>
      <c r="C585" s="238">
        <v>3861.5</v>
      </c>
      <c r="D585" s="241">
        <f t="shared" si="21"/>
        <v>-0.13745155633983724</v>
      </c>
      <c r="E585" s="241">
        <v>7.1858005451297443E-3</v>
      </c>
      <c r="F585" s="242">
        <v>581</v>
      </c>
      <c r="G585" s="243">
        <f t="shared" ca="1" si="22"/>
        <v>-2.7201552519015449E-2</v>
      </c>
    </row>
    <row r="586" spans="2:7" ht="15" thickBot="1" x14ac:dyDescent="0.35">
      <c r="B586" s="170">
        <v>45441.645833333336</v>
      </c>
      <c r="C586" s="238">
        <v>4476.8500000000004</v>
      </c>
      <c r="D586" s="241">
        <f t="shared" si="21"/>
        <v>0.13399698570107793</v>
      </c>
      <c r="E586" s="241">
        <v>7.1766836522346817E-3</v>
      </c>
      <c r="F586" s="242">
        <v>582</v>
      </c>
      <c r="G586" s="243">
        <f t="shared" ca="1" si="22"/>
        <v>-2.1453972799969395E-2</v>
      </c>
    </row>
    <row r="587" spans="2:7" ht="15" thickBot="1" x14ac:dyDescent="0.35">
      <c r="B587" s="170">
        <v>45691.645833333336</v>
      </c>
      <c r="C587" s="238">
        <v>3947.85</v>
      </c>
      <c r="D587" s="241">
        <f t="shared" si="21"/>
        <v>1.4626348948911485</v>
      </c>
      <c r="E587" s="241">
        <v>7.1431304769315153E-3</v>
      </c>
      <c r="F587" s="242">
        <v>583</v>
      </c>
      <c r="G587" s="243">
        <f t="shared" ca="1" si="22"/>
        <v>-4.7538287133158229E-3</v>
      </c>
    </row>
    <row r="588" spans="2:7" ht="15" thickBot="1" x14ac:dyDescent="0.35">
      <c r="B588" s="170">
        <v>43341.645833333336</v>
      </c>
      <c r="C588" s="238">
        <v>1603.1</v>
      </c>
      <c r="D588" s="241">
        <f t="shared" si="21"/>
        <v>0.23291674677946542</v>
      </c>
      <c r="E588" s="241">
        <v>7.0988817690664369E-3</v>
      </c>
      <c r="F588" s="242">
        <v>584</v>
      </c>
      <c r="G588" s="243">
        <f t="shared" ca="1" si="22"/>
        <v>-3.4693902483439603E-4</v>
      </c>
    </row>
    <row r="589" spans="2:7" ht="15" thickBot="1" x14ac:dyDescent="0.35">
      <c r="B589" s="170">
        <v>43154.645833333336</v>
      </c>
      <c r="C589" s="238">
        <v>1300.25</v>
      </c>
      <c r="D589" s="241">
        <f t="shared" si="21"/>
        <v>-0.27064927780114989</v>
      </c>
      <c r="E589" s="241">
        <v>7.0089838909541159E-3</v>
      </c>
      <c r="F589" s="242">
        <v>585</v>
      </c>
      <c r="G589" s="243">
        <f t="shared" ca="1" si="22"/>
        <v>-4.2816815062541501E-2</v>
      </c>
    </row>
    <row r="590" spans="2:7" ht="15" thickBot="1" x14ac:dyDescent="0.35">
      <c r="B590" s="170">
        <v>43812.645833333336</v>
      </c>
      <c r="C590" s="238">
        <v>1782.75</v>
      </c>
      <c r="D590" s="241">
        <f t="shared" si="21"/>
        <v>-6.8549335144596282E-2</v>
      </c>
      <c r="E590" s="241">
        <v>6.9758246723903685E-3</v>
      </c>
      <c r="F590" s="242">
        <v>586</v>
      </c>
      <c r="G590" s="243">
        <f t="shared" ca="1" si="22"/>
        <v>5.8103847156205299E-3</v>
      </c>
    </row>
    <row r="591" spans="2:7" ht="15" thickBot="1" x14ac:dyDescent="0.35">
      <c r="B591" s="170">
        <v>43760.645833333336</v>
      </c>
      <c r="C591" s="238">
        <v>1913.95</v>
      </c>
      <c r="D591" s="241">
        <f t="shared" si="21"/>
        <v>-0.58563093343725303</v>
      </c>
      <c r="E591" s="241">
        <v>6.9446271208733635E-3</v>
      </c>
      <c r="F591" s="242">
        <v>587</v>
      </c>
      <c r="G591" s="243">
        <f t="shared" ca="1" si="22"/>
        <v>-7.704855184490774E-4</v>
      </c>
    </row>
    <row r="592" spans="2:7" ht="15" thickBot="1" x14ac:dyDescent="0.35">
      <c r="B592" s="170">
        <v>44550.645833333336</v>
      </c>
      <c r="C592" s="238">
        <v>4618.95</v>
      </c>
      <c r="D592" s="241">
        <f t="shared" si="21"/>
        <v>0.13015659407878635</v>
      </c>
      <c r="E592" s="241">
        <v>6.8775341151851126E-3</v>
      </c>
      <c r="F592" s="242">
        <v>588</v>
      </c>
      <c r="G592" s="243">
        <f t="shared" ca="1" si="22"/>
        <v>-2.148705049405733E-2</v>
      </c>
    </row>
    <row r="593" spans="2:7" ht="15" thickBot="1" x14ac:dyDescent="0.35">
      <c r="B593" s="170">
        <v>45824.645833333336</v>
      </c>
      <c r="C593" s="239">
        <v>4087</v>
      </c>
      <c r="D593" s="241">
        <f t="shared" si="21"/>
        <v>0.10785828521861704</v>
      </c>
      <c r="E593" s="241">
        <v>6.8734448523071843E-3</v>
      </c>
      <c r="F593" s="242">
        <v>589</v>
      </c>
      <c r="G593" s="243">
        <f t="shared" ca="1" si="22"/>
        <v>1.3494343114236029E-2</v>
      </c>
    </row>
    <row r="594" spans="2:7" ht="15" thickBot="1" x14ac:dyDescent="0.35">
      <c r="B594" s="170">
        <v>45191.645833333336</v>
      </c>
      <c r="C594" s="238">
        <v>3689.1</v>
      </c>
      <c r="D594" s="241">
        <f t="shared" si="21"/>
        <v>1.4030876461583557</v>
      </c>
      <c r="E594" s="241">
        <v>6.822957888703911E-3</v>
      </c>
      <c r="F594" s="242">
        <v>590</v>
      </c>
      <c r="G594" s="243">
        <f t="shared" ca="1" si="22"/>
        <v>-8.1849752879912165E-3</v>
      </c>
    </row>
    <row r="595" spans="2:7" ht="15" thickBot="1" x14ac:dyDescent="0.35">
      <c r="B595" s="170">
        <v>43357.645833333336</v>
      </c>
      <c r="C595" s="238">
        <v>1535.15</v>
      </c>
      <c r="D595" s="241">
        <f t="shared" si="21"/>
        <v>-0.56520569284146427</v>
      </c>
      <c r="E595" s="241">
        <v>6.7877754459602152E-3</v>
      </c>
      <c r="F595" s="242">
        <v>591</v>
      </c>
      <c r="G595" s="243">
        <f t="shared" ca="1" si="22"/>
        <v>3.1871101790341375E-2</v>
      </c>
    </row>
    <row r="596" spans="2:7" ht="15" thickBot="1" x14ac:dyDescent="0.35">
      <c r="B596" s="170">
        <v>45713.645833333336</v>
      </c>
      <c r="C596" s="238">
        <v>3530.75</v>
      </c>
      <c r="D596" s="241">
        <f t="shared" si="21"/>
        <v>-0.14385305528612996</v>
      </c>
      <c r="E596" s="241">
        <v>6.714758211678884E-3</v>
      </c>
      <c r="F596" s="242">
        <v>592</v>
      </c>
      <c r="G596" s="243">
        <f t="shared" ca="1" si="22"/>
        <v>-4.2168206303802788E-3</v>
      </c>
    </row>
    <row r="597" spans="2:7" ht="15" thickBot="1" x14ac:dyDescent="0.35">
      <c r="B597" s="170">
        <v>44628.645833333336</v>
      </c>
      <c r="C597" s="238">
        <v>4124</v>
      </c>
      <c r="D597" s="241">
        <f t="shared" si="21"/>
        <v>0.31784555898189726</v>
      </c>
      <c r="E597" s="241">
        <v>6.6639002123660956E-3</v>
      </c>
      <c r="F597" s="242">
        <v>593</v>
      </c>
      <c r="G597" s="243">
        <f t="shared" ca="1" si="22"/>
        <v>3.0232853345957812E-2</v>
      </c>
    </row>
    <row r="598" spans="2:7" ht="15" thickBot="1" x14ac:dyDescent="0.35">
      <c r="B598" s="170">
        <v>44267.645833333336</v>
      </c>
      <c r="C598" s="238">
        <v>3129.35</v>
      </c>
      <c r="D598" s="241">
        <f t="shared" si="21"/>
        <v>0.38381091359334918</v>
      </c>
      <c r="E598" s="241">
        <v>6.6264575794129183E-3</v>
      </c>
      <c r="F598" s="242">
        <v>594</v>
      </c>
      <c r="G598" s="243">
        <f t="shared" ca="1" si="22"/>
        <v>2.9040697537659637E-3</v>
      </c>
    </row>
    <row r="599" spans="2:7" ht="15" thickBot="1" x14ac:dyDescent="0.35">
      <c r="B599" s="170">
        <v>44081.645833333336</v>
      </c>
      <c r="C599" s="238">
        <v>2261.4</v>
      </c>
      <c r="D599" s="241">
        <f t="shared" si="21"/>
        <v>0.38265415303720468</v>
      </c>
      <c r="E599" s="241">
        <v>6.5877325736669557E-3</v>
      </c>
      <c r="F599" s="242">
        <v>595</v>
      </c>
      <c r="G599" s="243">
        <f t="shared" ca="1" si="22"/>
        <v>-4.5716113132714788E-3</v>
      </c>
    </row>
    <row r="600" spans="2:7" ht="15" thickBot="1" x14ac:dyDescent="0.35">
      <c r="B600" s="170">
        <v>43318.645833333336</v>
      </c>
      <c r="C600" s="238">
        <v>1635.55</v>
      </c>
      <c r="D600" s="241">
        <f t="shared" si="21"/>
        <v>-0.62668051402615776</v>
      </c>
      <c r="E600" s="241">
        <v>6.5852232513770783E-3</v>
      </c>
      <c r="F600" s="242">
        <v>596</v>
      </c>
      <c r="G600" s="243">
        <f t="shared" ca="1" si="22"/>
        <v>-6.4041464659245666E-3</v>
      </c>
    </row>
    <row r="601" spans="2:7" ht="15" thickBot="1" x14ac:dyDescent="0.35">
      <c r="B601" s="170">
        <v>44845.645833333336</v>
      </c>
      <c r="C601" s="238">
        <v>4381.1000000000004</v>
      </c>
      <c r="D601" s="241">
        <f t="shared" si="21"/>
        <v>-8.6623858566484593E-2</v>
      </c>
      <c r="E601" s="241">
        <v>6.4784396609158792E-3</v>
      </c>
      <c r="F601" s="242">
        <v>597</v>
      </c>
      <c r="G601" s="243">
        <f t="shared" ca="1" si="22"/>
        <v>-8.15454254347574E-4</v>
      </c>
    </row>
    <row r="602" spans="2:7" ht="15" thickBot="1" x14ac:dyDescent="0.35">
      <c r="B602" s="170">
        <v>44540.645833333336</v>
      </c>
      <c r="C602" s="238">
        <v>4796.6000000000004</v>
      </c>
      <c r="D602" s="241">
        <f t="shared" si="21"/>
        <v>0.14362691335654013</v>
      </c>
      <c r="E602" s="241">
        <v>6.4627135003567458E-3</v>
      </c>
      <c r="F602" s="242">
        <v>598</v>
      </c>
      <c r="G602" s="243">
        <f t="shared" ca="1" si="22"/>
        <v>1.1388597497129111E-2</v>
      </c>
    </row>
    <row r="603" spans="2:7" ht="15" thickBot="1" x14ac:dyDescent="0.35">
      <c r="B603" s="170">
        <v>44868.645833333336</v>
      </c>
      <c r="C603" s="238">
        <v>4194.2</v>
      </c>
      <c r="D603" s="241">
        <f t="shared" si="21"/>
        <v>4.8602430121505981E-2</v>
      </c>
      <c r="E603" s="241">
        <v>6.4429433572892733E-3</v>
      </c>
      <c r="F603" s="242">
        <v>599</v>
      </c>
      <c r="G603" s="243">
        <f t="shared" ca="1" si="22"/>
        <v>-5.7696174732744026E-3</v>
      </c>
    </row>
    <row r="604" spans="2:7" ht="15" thickBot="1" x14ac:dyDescent="0.35">
      <c r="B604" s="170">
        <v>45784.645833333336</v>
      </c>
      <c r="C604" s="239">
        <v>3999.8</v>
      </c>
      <c r="D604" s="241">
        <f t="shared" si="21"/>
        <v>1.1973301104213592</v>
      </c>
      <c r="E604" s="241">
        <v>6.4162242407467983E-3</v>
      </c>
      <c r="F604" s="242">
        <v>600</v>
      </c>
      <c r="G604" s="243">
        <f t="shared" ca="1" si="22"/>
        <v>-6.1438229113393392E-3</v>
      </c>
    </row>
    <row r="605" spans="2:7" ht="15" thickBot="1" x14ac:dyDescent="0.35">
      <c r="B605" s="170">
        <v>43913.645833333336</v>
      </c>
      <c r="C605" s="238">
        <v>1820.3</v>
      </c>
      <c r="D605" s="241">
        <f t="shared" si="21"/>
        <v>0.16562610059872562</v>
      </c>
      <c r="E605" s="241">
        <v>6.4134461215236962E-3</v>
      </c>
      <c r="F605" s="242">
        <v>601</v>
      </c>
      <c r="G605" s="243">
        <f t="shared" ca="1" si="22"/>
        <v>-6.4991502284022619E-3</v>
      </c>
    </row>
    <row r="606" spans="2:7" ht="15" thickBot="1" x14ac:dyDescent="0.35">
      <c r="B606" s="170">
        <v>43298.645833333336</v>
      </c>
      <c r="C606" s="238">
        <v>1561.65</v>
      </c>
      <c r="D606" s="241">
        <f t="shared" si="21"/>
        <v>-0.58992437371986761</v>
      </c>
      <c r="E606" s="241">
        <v>6.3474674571466277E-3</v>
      </c>
      <c r="F606" s="242">
        <v>602</v>
      </c>
      <c r="G606" s="243">
        <f t="shared" ca="1" si="22"/>
        <v>1.3526748697159993E-2</v>
      </c>
    </row>
    <row r="607" spans="2:7" ht="15" thickBot="1" x14ac:dyDescent="0.35">
      <c r="B607" s="170">
        <v>45323.645833333336</v>
      </c>
      <c r="C607" s="238">
        <v>3808.2</v>
      </c>
      <c r="D607" s="241">
        <f t="shared" si="21"/>
        <v>1.7109450080085422</v>
      </c>
      <c r="E607" s="241">
        <v>6.3155669476520453E-3</v>
      </c>
      <c r="F607" s="242">
        <v>603</v>
      </c>
      <c r="G607" s="243">
        <f t="shared" ca="1" si="22"/>
        <v>-3.3677568818071477E-2</v>
      </c>
    </row>
    <row r="608" spans="2:7" ht="15" thickBot="1" x14ac:dyDescent="0.35">
      <c r="B608" s="170">
        <v>43370.645833333336</v>
      </c>
      <c r="C608" s="238">
        <v>1404.75</v>
      </c>
      <c r="D608" s="241">
        <f t="shared" si="21"/>
        <v>-3.2074691655756875E-2</v>
      </c>
      <c r="E608" s="241">
        <v>6.3039507145671077E-3</v>
      </c>
      <c r="F608" s="242">
        <v>604</v>
      </c>
      <c r="G608" s="243">
        <f t="shared" ca="1" si="22"/>
        <v>1.8672538146464888E-2</v>
      </c>
    </row>
    <row r="609" spans="2:7" ht="15" thickBot="1" x14ac:dyDescent="0.35">
      <c r="B609" s="170">
        <v>43507.645833333336</v>
      </c>
      <c r="C609" s="238">
        <v>1451.3</v>
      </c>
      <c r="D609" s="241">
        <f t="shared" si="21"/>
        <v>-0.49169935556178201</v>
      </c>
      <c r="E609" s="241">
        <v>6.2749176633731703E-3</v>
      </c>
      <c r="F609" s="242">
        <v>605</v>
      </c>
      <c r="G609" s="243">
        <f t="shared" ca="1" si="22"/>
        <v>1.2697375318438684E-2</v>
      </c>
    </row>
    <row r="610" spans="2:7" ht="15" thickBot="1" x14ac:dyDescent="0.35">
      <c r="B610" s="170">
        <v>44281.645833333336</v>
      </c>
      <c r="C610" s="238">
        <v>2855.2</v>
      </c>
      <c r="D610" s="241">
        <f t="shared" si="21"/>
        <v>1.5453009691473217E-2</v>
      </c>
      <c r="E610" s="241">
        <v>6.2201547109300755E-3</v>
      </c>
      <c r="F610" s="242">
        <v>606</v>
      </c>
      <c r="G610" s="243">
        <f t="shared" ca="1" si="22"/>
        <v>1.2017748976442588E-2</v>
      </c>
    </row>
    <row r="611" spans="2:7" ht="15" thickBot="1" x14ac:dyDescent="0.35">
      <c r="B611" s="170">
        <v>44223.645833333336</v>
      </c>
      <c r="C611" s="238">
        <v>2811.75</v>
      </c>
      <c r="D611" s="241">
        <f t="shared" si="21"/>
        <v>-0.30550066689719901</v>
      </c>
      <c r="E611" s="241">
        <v>6.1908425629373159E-3</v>
      </c>
      <c r="F611" s="242">
        <v>607</v>
      </c>
      <c r="G611" s="243">
        <f t="shared" ca="1" si="22"/>
        <v>-1.6354922853860062E-5</v>
      </c>
    </row>
    <row r="612" spans="2:7" ht="15" thickBot="1" x14ac:dyDescent="0.35">
      <c r="B612" s="170">
        <v>45856.645833333336</v>
      </c>
      <c r="C612" s="239">
        <v>4048.6</v>
      </c>
      <c r="D612" s="241">
        <f t="shared" si="21"/>
        <v>0.15669328457351822</v>
      </c>
      <c r="E612" s="241">
        <v>6.1883341203370261E-3</v>
      </c>
      <c r="F612" s="242">
        <v>608</v>
      </c>
      <c r="G612" s="243">
        <f t="shared" ca="1" si="22"/>
        <v>1.722820056938346E-2</v>
      </c>
    </row>
    <row r="613" spans="2:7" ht="15" thickBot="1" x14ac:dyDescent="0.35">
      <c r="B613" s="170">
        <v>44979.645833333336</v>
      </c>
      <c r="C613" s="238">
        <v>3500.15</v>
      </c>
      <c r="D613" s="241">
        <f t="shared" si="21"/>
        <v>1.3170594465775192</v>
      </c>
      <c r="E613" s="241">
        <v>6.1516349263385098E-3</v>
      </c>
      <c r="F613" s="242">
        <v>609</v>
      </c>
      <c r="G613" s="243">
        <f t="shared" ca="1" si="22"/>
        <v>-8.0774658884923585E-3</v>
      </c>
    </row>
    <row r="614" spans="2:7" ht="15" thickBot="1" x14ac:dyDescent="0.35">
      <c r="B614" s="170">
        <v>43536.645833333336</v>
      </c>
      <c r="C614" s="238">
        <v>1510.6</v>
      </c>
      <c r="D614" s="241">
        <f t="shared" si="21"/>
        <v>-0.62745388181907868</v>
      </c>
      <c r="E614" s="241">
        <v>6.127614226721605E-3</v>
      </c>
      <c r="F614" s="242">
        <v>610</v>
      </c>
      <c r="G614" s="243">
        <f t="shared" ca="1" si="22"/>
        <v>8.5156183825770108E-3</v>
      </c>
    </row>
    <row r="615" spans="2:7" ht="15" thickBot="1" x14ac:dyDescent="0.35">
      <c r="B615" s="170">
        <v>44671.645833333336</v>
      </c>
      <c r="C615" s="238">
        <v>4054.8</v>
      </c>
      <c r="D615" s="241">
        <f t="shared" si="21"/>
        <v>2.4470798265748535</v>
      </c>
      <c r="E615" s="241">
        <v>6.0914335338999271E-3</v>
      </c>
      <c r="F615" s="242">
        <v>611</v>
      </c>
      <c r="G615" s="243">
        <f t="shared" ca="1" si="22"/>
        <v>-4.6924330327960562E-2</v>
      </c>
    </row>
    <row r="616" spans="2:7" ht="15" thickBot="1" x14ac:dyDescent="0.35">
      <c r="B616" s="170">
        <v>43122.645833333336</v>
      </c>
      <c r="C616" s="238">
        <v>1176.3</v>
      </c>
      <c r="D616" s="241">
        <f t="shared" si="21"/>
        <v>-0.71098635151902312</v>
      </c>
      <c r="E616" s="241">
        <v>6.0725282244268805E-3</v>
      </c>
      <c r="F616" s="242">
        <v>612</v>
      </c>
      <c r="G616" s="243">
        <f t="shared" ca="1" si="22"/>
        <v>3.5469060372974519E-3</v>
      </c>
    </row>
    <row r="617" spans="2:7" ht="15" thickBot="1" x14ac:dyDescent="0.35">
      <c r="B617" s="170">
        <v>45274.645833333336</v>
      </c>
      <c r="C617" s="238">
        <v>4070.05</v>
      </c>
      <c r="D617" s="241">
        <f t="shared" si="21"/>
        <v>-3.744915334405436E-2</v>
      </c>
      <c r="E617" s="241">
        <v>6.0311692805853426E-3</v>
      </c>
      <c r="F617" s="242">
        <v>613</v>
      </c>
      <c r="G617" s="243">
        <f t="shared" ca="1" si="22"/>
        <v>-1.7983953022965054E-2</v>
      </c>
    </row>
    <row r="618" spans="2:7" ht="15" thickBot="1" x14ac:dyDescent="0.35">
      <c r="B618" s="170">
        <v>45826.645833333336</v>
      </c>
      <c r="C618" s="239">
        <v>4228.3999999999996</v>
      </c>
      <c r="D618" s="241">
        <f t="shared" si="21"/>
        <v>5.157920915195216E-2</v>
      </c>
      <c r="E618" s="241">
        <v>6.0193666579427731E-3</v>
      </c>
      <c r="F618" s="242">
        <v>614</v>
      </c>
      <c r="G618" s="243">
        <f t="shared" ca="1" si="22"/>
        <v>1.7172964779258108E-2</v>
      </c>
    </row>
    <row r="619" spans="2:7" ht="15" thickBot="1" x14ac:dyDescent="0.35">
      <c r="B619" s="170">
        <v>45862.645833333336</v>
      </c>
      <c r="C619" s="239">
        <v>4021</v>
      </c>
      <c r="D619" s="241">
        <f t="shared" si="21"/>
        <v>0.85860546811805238</v>
      </c>
      <c r="E619" s="241">
        <v>6.0045033775331502E-3</v>
      </c>
      <c r="F619" s="242">
        <v>615</v>
      </c>
      <c r="G619" s="243">
        <f t="shared" ca="1" si="22"/>
        <v>3.636663061734291E-2</v>
      </c>
    </row>
    <row r="620" spans="2:7" ht="15" thickBot="1" x14ac:dyDescent="0.35">
      <c r="B620" s="170">
        <v>44048.645833333336</v>
      </c>
      <c r="C620" s="238">
        <v>2163.4499999999998</v>
      </c>
      <c r="D620" s="241">
        <f t="shared" si="21"/>
        <v>-0.32275786508060733</v>
      </c>
      <c r="E620" s="241">
        <v>5.9984655088231543E-3</v>
      </c>
      <c r="F620" s="242">
        <v>616</v>
      </c>
      <c r="G620" s="243">
        <f t="shared" ca="1" si="22"/>
        <v>-8.0560263330682925E-3</v>
      </c>
    </row>
    <row r="621" spans="2:7" ht="15" thickBot="1" x14ac:dyDescent="0.35">
      <c r="B621" s="170">
        <v>44357.645833333336</v>
      </c>
      <c r="C621" s="238">
        <v>3194.5</v>
      </c>
      <c r="D621" s="241">
        <f t="shared" si="21"/>
        <v>-0.25031095257093244</v>
      </c>
      <c r="E621" s="241">
        <v>5.9674702020121925E-3</v>
      </c>
      <c r="F621" s="242">
        <v>617</v>
      </c>
      <c r="G621" s="243">
        <f t="shared" ca="1" si="22"/>
        <v>2.186050654271747E-2</v>
      </c>
    </row>
    <row r="622" spans="2:7" ht="15" thickBot="1" x14ac:dyDescent="0.35">
      <c r="B622" s="170">
        <v>45842.645833333336</v>
      </c>
      <c r="C622" s="239">
        <v>4261.1000000000004</v>
      </c>
      <c r="D622" s="241">
        <f t="shared" si="21"/>
        <v>1.7082115164611669</v>
      </c>
      <c r="E622" s="241">
        <v>5.8541651913226588E-3</v>
      </c>
      <c r="F622" s="242">
        <v>618</v>
      </c>
      <c r="G622" s="243">
        <f t="shared" ca="1" si="22"/>
        <v>4.6297002759322942E-2</v>
      </c>
    </row>
    <row r="623" spans="2:7" ht="15" thickBot="1" x14ac:dyDescent="0.35">
      <c r="B623" s="170">
        <v>43347.645833333336</v>
      </c>
      <c r="C623" s="238">
        <v>1573.4</v>
      </c>
      <c r="D623" s="241">
        <f t="shared" si="21"/>
        <v>-0.57969814344864434</v>
      </c>
      <c r="E623" s="241">
        <v>5.8172984721601593E-3</v>
      </c>
      <c r="F623" s="242">
        <v>619</v>
      </c>
      <c r="G623" s="243">
        <f t="shared" ca="1" si="22"/>
        <v>1.6343988423588441E-3</v>
      </c>
    </row>
    <row r="624" spans="2:7" ht="15" thickBot="1" x14ac:dyDescent="0.35">
      <c r="B624" s="170">
        <v>45695.645833333336</v>
      </c>
      <c r="C624" s="238">
        <v>3743.5</v>
      </c>
      <c r="D624" s="241">
        <f t="shared" si="21"/>
        <v>0.97441983122362874</v>
      </c>
      <c r="E624" s="241">
        <v>5.7629532112679349E-3</v>
      </c>
      <c r="F624" s="242">
        <v>620</v>
      </c>
      <c r="G624" s="243">
        <f t="shared" ca="1" si="22"/>
        <v>-3.5879872314847003E-2</v>
      </c>
    </row>
    <row r="625" spans="2:7" ht="15" thickBot="1" x14ac:dyDescent="0.35">
      <c r="B625" s="170">
        <v>43739.645833333336</v>
      </c>
      <c r="C625" s="238">
        <v>1896</v>
      </c>
      <c r="D625" s="241">
        <f t="shared" si="21"/>
        <v>-0.53114567620366482</v>
      </c>
      <c r="E625" s="241">
        <v>5.7288351368554816E-3</v>
      </c>
      <c r="F625" s="242">
        <v>621</v>
      </c>
      <c r="G625" s="243">
        <f t="shared" ca="1" si="22"/>
        <v>2.1702207726612435E-2</v>
      </c>
    </row>
    <row r="626" spans="2:7" ht="15" thickBot="1" x14ac:dyDescent="0.35">
      <c r="B626" s="170">
        <v>45861.645833333336</v>
      </c>
      <c r="C626" s="239">
        <v>4043.9</v>
      </c>
      <c r="D626" s="241">
        <f t="shared" si="21"/>
        <v>1.1008909785178067</v>
      </c>
      <c r="E626" s="241">
        <v>5.6951007212136511E-3</v>
      </c>
      <c r="F626" s="242">
        <v>622</v>
      </c>
      <c r="G626" s="243">
        <f t="shared" ca="1" si="22"/>
        <v>-8.1551713024046639E-4</v>
      </c>
    </row>
    <row r="627" spans="2:7" ht="15" thickBot="1" x14ac:dyDescent="0.35">
      <c r="B627" s="170">
        <v>43756.645833333336</v>
      </c>
      <c r="C627" s="238">
        <v>1924.85</v>
      </c>
      <c r="D627" s="241">
        <f t="shared" si="21"/>
        <v>-0.10494989653809503</v>
      </c>
      <c r="E627" s="241">
        <v>5.6950286057628795E-3</v>
      </c>
      <c r="F627" s="242">
        <v>623</v>
      </c>
      <c r="G627" s="243">
        <f t="shared" ca="1" si="22"/>
        <v>4.6812282035838503E-3</v>
      </c>
    </row>
    <row r="628" spans="2:7" ht="15" thickBot="1" x14ac:dyDescent="0.35">
      <c r="B628" s="170">
        <v>44049.645833333336</v>
      </c>
      <c r="C628" s="238">
        <v>2150.5500000000002</v>
      </c>
      <c r="D628" s="241">
        <f t="shared" si="21"/>
        <v>-0.46067711598746075</v>
      </c>
      <c r="E628" s="241">
        <v>5.6818181818182245E-3</v>
      </c>
      <c r="F628" s="242">
        <v>624</v>
      </c>
      <c r="G628" s="243">
        <f t="shared" ca="1" si="22"/>
        <v>-1.2569760674261405E-2</v>
      </c>
    </row>
    <row r="629" spans="2:7" ht="15" thickBot="1" x14ac:dyDescent="0.35">
      <c r="B629" s="170">
        <v>45593.645833333336</v>
      </c>
      <c r="C629" s="238">
        <v>3987.5</v>
      </c>
      <c r="D629" s="241">
        <f t="shared" si="21"/>
        <v>-0.14155929430253714</v>
      </c>
      <c r="E629" s="241">
        <v>5.6366089555249885E-3</v>
      </c>
      <c r="F629" s="242">
        <v>625</v>
      </c>
      <c r="G629" s="243">
        <f t="shared" ca="1" si="22"/>
        <v>3.0632079229663524E-2</v>
      </c>
    </row>
    <row r="630" spans="2:7" ht="15" thickBot="1" x14ac:dyDescent="0.35">
      <c r="B630" s="170">
        <v>45386.645833333336</v>
      </c>
      <c r="C630" s="238">
        <v>4645.05</v>
      </c>
      <c r="D630" s="241">
        <f t="shared" si="21"/>
        <v>9.6487500885206426E-2</v>
      </c>
      <c r="E630" s="241">
        <v>5.5853222925800038E-3</v>
      </c>
      <c r="F630" s="242">
        <v>626</v>
      </c>
      <c r="G630" s="243">
        <f t="shared" ca="1" si="22"/>
        <v>-1.4062501845859951E-2</v>
      </c>
    </row>
    <row r="631" spans="2:7" ht="15" thickBot="1" x14ac:dyDescent="0.35">
      <c r="B631" s="170">
        <v>45845.645833333336</v>
      </c>
      <c r="C631" s="239">
        <v>4236.3</v>
      </c>
      <c r="D631" s="241">
        <f t="shared" si="21"/>
        <v>1.6954474596761364</v>
      </c>
      <c r="E631" s="241">
        <v>5.5305008307619703E-3</v>
      </c>
      <c r="F631" s="242">
        <v>627</v>
      </c>
      <c r="G631" s="243">
        <f t="shared" ca="1" si="22"/>
        <v>1.981710248400316E-2</v>
      </c>
    </row>
    <row r="632" spans="2:7" ht="15" thickBot="1" x14ac:dyDescent="0.35">
      <c r="B632" s="170">
        <v>43305.645833333336</v>
      </c>
      <c r="C632" s="238">
        <v>1571.65</v>
      </c>
      <c r="D632" s="241">
        <f t="shared" si="21"/>
        <v>-0.61422434953362781</v>
      </c>
      <c r="E632" s="241">
        <v>5.5020632737277355E-3</v>
      </c>
      <c r="F632" s="242">
        <v>628</v>
      </c>
      <c r="G632" s="243">
        <f t="shared" ca="1" si="22"/>
        <v>-2.7153182196245913E-2</v>
      </c>
    </row>
    <row r="633" spans="2:7" ht="15" thickBot="1" x14ac:dyDescent="0.35">
      <c r="B633" s="170">
        <v>45820.645833333336</v>
      </c>
      <c r="C633" s="239">
        <v>4074</v>
      </c>
      <c r="D633" s="241">
        <f t="shared" si="21"/>
        <v>6.4513600376264038E-2</v>
      </c>
      <c r="E633" s="241">
        <v>5.4542313482563512E-3</v>
      </c>
      <c r="F633" s="242">
        <v>629</v>
      </c>
      <c r="G633" s="243">
        <f t="shared" ca="1" si="22"/>
        <v>-4.1908763659959263E-2</v>
      </c>
    </row>
    <row r="634" spans="2:7" ht="15" thickBot="1" x14ac:dyDescent="0.35">
      <c r="B634" s="170">
        <v>45118.645833333336</v>
      </c>
      <c r="C634" s="238">
        <v>3827.1</v>
      </c>
      <c r="D634" s="241">
        <f t="shared" si="21"/>
        <v>1.8554055062299488</v>
      </c>
      <c r="E634" s="241">
        <v>5.4514167115478082E-3</v>
      </c>
      <c r="F634" s="242">
        <v>630</v>
      </c>
      <c r="G634" s="243">
        <f t="shared" ca="1" si="22"/>
        <v>1.9025571476052269E-2</v>
      </c>
    </row>
    <row r="635" spans="2:7" ht="15" thickBot="1" x14ac:dyDescent="0.35">
      <c r="B635" s="170">
        <v>43619.645833333336</v>
      </c>
      <c r="C635" s="238">
        <v>1340.3</v>
      </c>
      <c r="D635" s="241">
        <f t="shared" si="21"/>
        <v>-0.63263851772670576</v>
      </c>
      <c r="E635" s="241">
        <v>5.4386557143392975E-3</v>
      </c>
      <c r="F635" s="242">
        <v>631</v>
      </c>
      <c r="G635" s="243">
        <f t="shared" ca="1" si="22"/>
        <v>-1.4507038621650151E-2</v>
      </c>
    </row>
    <row r="636" spans="2:7" ht="15" thickBot="1" x14ac:dyDescent="0.35">
      <c r="B636" s="170">
        <v>45146.645833333336</v>
      </c>
      <c r="C636" s="238">
        <v>3648.45</v>
      </c>
      <c r="D636" s="241">
        <f t="shared" si="21"/>
        <v>0.54389268561030812</v>
      </c>
      <c r="E636" s="241">
        <v>5.428866689631366E-3</v>
      </c>
      <c r="F636" s="242">
        <v>632</v>
      </c>
      <c r="G636" s="243">
        <f t="shared" ca="1" si="22"/>
        <v>1.2198107631097476E-2</v>
      </c>
    </row>
    <row r="637" spans="2:7" ht="15" thickBot="1" x14ac:dyDescent="0.35">
      <c r="B637" s="170">
        <v>44001.645833333336</v>
      </c>
      <c r="C637" s="238">
        <v>2363.15</v>
      </c>
      <c r="D637" s="241">
        <f t="shared" si="21"/>
        <v>0.28547338646068499</v>
      </c>
      <c r="E637" s="241">
        <v>5.4246085772634445E-3</v>
      </c>
      <c r="F637" s="242">
        <v>633</v>
      </c>
      <c r="G637" s="243">
        <f t="shared" ca="1" si="22"/>
        <v>-1.1781069202295004E-2</v>
      </c>
    </row>
    <row r="638" spans="2:7" ht="15" thickBot="1" x14ac:dyDescent="0.35">
      <c r="B638" s="170">
        <v>43830.645833333336</v>
      </c>
      <c r="C638" s="238">
        <v>1838.35</v>
      </c>
      <c r="D638" s="241">
        <f t="shared" si="21"/>
        <v>-0.56246429931454689</v>
      </c>
      <c r="E638" s="241">
        <v>5.3869291769209236E-3</v>
      </c>
      <c r="F638" s="242">
        <v>634</v>
      </c>
      <c r="G638" s="243">
        <f t="shared" ca="1" si="22"/>
        <v>-2.3976940022105632E-2</v>
      </c>
    </row>
    <row r="639" spans="2:7" ht="15" thickBot="1" x14ac:dyDescent="0.35">
      <c r="B639" s="170">
        <v>45814.645833333336</v>
      </c>
      <c r="C639" s="239">
        <v>4201.6000000000004</v>
      </c>
      <c r="D639" s="241">
        <f t="shared" si="21"/>
        <v>0.13302591483968398</v>
      </c>
      <c r="E639" s="241">
        <v>5.3839343399296495E-3</v>
      </c>
      <c r="F639" s="242">
        <v>635</v>
      </c>
      <c r="G639" s="243">
        <f t="shared" ca="1" si="22"/>
        <v>1.3491076785577757E-2</v>
      </c>
    </row>
    <row r="640" spans="2:7" ht="15" thickBot="1" x14ac:dyDescent="0.35">
      <c r="B640" s="170">
        <v>45637.645833333336</v>
      </c>
      <c r="C640" s="238">
        <v>3708.3</v>
      </c>
      <c r="D640" s="241">
        <f t="shared" si="21"/>
        <v>-7.0228663123056839E-2</v>
      </c>
      <c r="E640" s="241">
        <v>5.3816643847687685E-3</v>
      </c>
      <c r="F640" s="242">
        <v>636</v>
      </c>
      <c r="G640" s="243">
        <f t="shared" ca="1" si="22"/>
        <v>1.518318807348166E-2</v>
      </c>
    </row>
    <row r="641" spans="2:7" ht="15" thickBot="1" x14ac:dyDescent="0.35">
      <c r="B641" s="170">
        <v>45261.645833333336</v>
      </c>
      <c r="C641" s="238">
        <v>3988.4</v>
      </c>
      <c r="D641" s="241">
        <f t="shared" si="21"/>
        <v>0.34393638170974167</v>
      </c>
      <c r="E641" s="241">
        <v>5.3691613521212427E-3</v>
      </c>
      <c r="F641" s="242">
        <v>637</v>
      </c>
      <c r="G641" s="243">
        <f t="shared" ca="1" si="22"/>
        <v>-4.1355854169796986E-2</v>
      </c>
    </row>
    <row r="642" spans="2:7" ht="15" thickBot="1" x14ac:dyDescent="0.35">
      <c r="B642" s="170">
        <v>44237.645833333336</v>
      </c>
      <c r="C642" s="238">
        <v>2967.7</v>
      </c>
      <c r="D642" s="241">
        <f t="shared" si="21"/>
        <v>-0.2369381878021187</v>
      </c>
      <c r="E642" s="241">
        <v>5.3524848402722747E-3</v>
      </c>
      <c r="F642" s="242">
        <v>638</v>
      </c>
      <c r="G642" s="243">
        <f t="shared" ca="1" si="22"/>
        <v>-2.579818434571711E-2</v>
      </c>
    </row>
    <row r="643" spans="2:7" ht="15" thickBot="1" x14ac:dyDescent="0.35">
      <c r="B643" s="170">
        <v>45107.645833333336</v>
      </c>
      <c r="C643" s="238">
        <v>3889.2</v>
      </c>
      <c r="D643" s="241">
        <f t="shared" si="21"/>
        <v>1.7831687419493341</v>
      </c>
      <c r="E643" s="241">
        <v>5.3249237450240161E-3</v>
      </c>
      <c r="F643" s="242">
        <v>639</v>
      </c>
      <c r="G643" s="243">
        <f t="shared" ca="1" si="22"/>
        <v>-2.3665109835199778E-2</v>
      </c>
    </row>
    <row r="644" spans="2:7" ht="15" thickBot="1" x14ac:dyDescent="0.35">
      <c r="B644" s="170">
        <v>43479.645833333336</v>
      </c>
      <c r="C644" s="238">
        <v>1397.4</v>
      </c>
      <c r="D644" s="241">
        <f t="shared" si="21"/>
        <v>-0.5827660336796846</v>
      </c>
      <c r="E644" s="241">
        <v>5.3237410071943101E-3</v>
      </c>
      <c r="F644" s="242">
        <v>640</v>
      </c>
      <c r="G644" s="243">
        <f t="shared" ca="1" si="22"/>
        <v>1.9640572064928353E-2</v>
      </c>
    </row>
    <row r="645" spans="2:7" ht="15" thickBot="1" x14ac:dyDescent="0.35">
      <c r="B645" s="170">
        <v>44393.645833333336</v>
      </c>
      <c r="C645" s="238">
        <v>3349.2</v>
      </c>
      <c r="D645" s="241">
        <f t="shared" ref="D645:D708" si="23">(C645-C646)/C646</f>
        <v>-0.20503204367434136</v>
      </c>
      <c r="E645" s="241">
        <v>5.2827470284547698E-3</v>
      </c>
      <c r="F645" s="242">
        <v>641</v>
      </c>
      <c r="G645" s="243">
        <f t="shared" ca="1" si="22"/>
        <v>-3.6419957565594796E-2</v>
      </c>
    </row>
    <row r="646" spans="2:7" ht="15" thickBot="1" x14ac:dyDescent="0.35">
      <c r="B646" s="170">
        <v>45846.645833333336</v>
      </c>
      <c r="C646" s="239">
        <v>4213</v>
      </c>
      <c r="D646" s="241">
        <f t="shared" si="23"/>
        <v>1.8333877185985611E-2</v>
      </c>
      <c r="E646" s="241">
        <v>5.2733303109118246E-3</v>
      </c>
      <c r="F646" s="242">
        <v>642</v>
      </c>
      <c r="G646" s="243">
        <f t="shared" ref="G646:G709" ca="1" si="24">_xlfn.NORM.INV(RAND(),$M$7,$M$8)</f>
        <v>-6.9447102889858385E-3</v>
      </c>
    </row>
    <row r="647" spans="2:7" ht="15" thickBot="1" x14ac:dyDescent="0.35">
      <c r="B647" s="170">
        <v>45266.645833333336</v>
      </c>
      <c r="C647" s="238">
        <v>4137.1499999999996</v>
      </c>
      <c r="D647" s="241">
        <f t="shared" si="23"/>
        <v>-1.2825407430384883E-2</v>
      </c>
      <c r="E647" s="241">
        <v>5.2728134225904387E-3</v>
      </c>
      <c r="F647" s="242">
        <v>643</v>
      </c>
      <c r="G647" s="243">
        <f t="shared" ca="1" si="24"/>
        <v>-3.1119025980859663E-3</v>
      </c>
    </row>
    <row r="648" spans="2:7" ht="15" thickBot="1" x14ac:dyDescent="0.35">
      <c r="B648" s="170">
        <v>45847.645833333336</v>
      </c>
      <c r="C648" s="239">
        <v>4190.8999999999996</v>
      </c>
      <c r="D648" s="241">
        <f t="shared" si="23"/>
        <v>0.13739432510550514</v>
      </c>
      <c r="E648" s="241">
        <v>5.2530582873589913E-3</v>
      </c>
      <c r="F648" s="242">
        <v>644</v>
      </c>
      <c r="G648" s="243">
        <f t="shared" ca="1" si="24"/>
        <v>2.5459342081473268E-3</v>
      </c>
    </row>
    <row r="649" spans="2:7" ht="15" thickBot="1" x14ac:dyDescent="0.35">
      <c r="B649" s="170">
        <v>45225.645833333336</v>
      </c>
      <c r="C649" s="238">
        <v>3684.65</v>
      </c>
      <c r="D649" s="241">
        <f t="shared" si="23"/>
        <v>-7.5417828235896187E-3</v>
      </c>
      <c r="E649" s="241">
        <v>5.2381017337571854E-3</v>
      </c>
      <c r="F649" s="242">
        <v>645</v>
      </c>
      <c r="G649" s="243">
        <f t="shared" ca="1" si="24"/>
        <v>-1.7082563495528547E-2</v>
      </c>
    </row>
    <row r="650" spans="2:7" ht="15" thickBot="1" x14ac:dyDescent="0.35">
      <c r="B650" s="170">
        <v>45133.645833333336</v>
      </c>
      <c r="C650" s="238">
        <v>3712.65</v>
      </c>
      <c r="D650" s="241">
        <f t="shared" si="23"/>
        <v>-0.22538546600179424</v>
      </c>
      <c r="E650" s="241">
        <v>5.2256081876887331E-3</v>
      </c>
      <c r="F650" s="242">
        <v>646</v>
      </c>
      <c r="G650" s="243">
        <f t="shared" ca="1" si="24"/>
        <v>4.097218997716567E-3</v>
      </c>
    </row>
    <row r="651" spans="2:7" ht="15" thickBot="1" x14ac:dyDescent="0.35">
      <c r="B651" s="170">
        <v>45476.645833333336</v>
      </c>
      <c r="C651" s="238">
        <v>4792.8999999999996</v>
      </c>
      <c r="D651" s="241">
        <f t="shared" si="23"/>
        <v>2.0031642595319399</v>
      </c>
      <c r="E651" s="241">
        <v>5.2012331956123549E-3</v>
      </c>
      <c r="F651" s="242">
        <v>647</v>
      </c>
      <c r="G651" s="243">
        <f t="shared" ca="1" si="24"/>
        <v>1.8941534712861762E-2</v>
      </c>
    </row>
    <row r="652" spans="2:7" ht="15" thickBot="1" x14ac:dyDescent="0.35">
      <c r="B652" s="170">
        <v>43292.645833333336</v>
      </c>
      <c r="C652" s="238">
        <v>1595.95</v>
      </c>
      <c r="D652" s="241">
        <f t="shared" si="23"/>
        <v>-0.56459643427137185</v>
      </c>
      <c r="E652" s="241">
        <v>5.1645410171626801E-3</v>
      </c>
      <c r="F652" s="242">
        <v>648</v>
      </c>
      <c r="G652" s="243">
        <f t="shared" ca="1" si="24"/>
        <v>-6.3175514759786612E-5</v>
      </c>
    </row>
    <row r="653" spans="2:7" ht="15" thickBot="1" x14ac:dyDescent="0.35">
      <c r="B653" s="170">
        <v>45226.645833333336</v>
      </c>
      <c r="C653" s="238">
        <v>3665.45</v>
      </c>
      <c r="D653" s="241">
        <f t="shared" si="23"/>
        <v>1.7222057185295208</v>
      </c>
      <c r="E653" s="241">
        <v>5.1554166152495374E-3</v>
      </c>
      <c r="F653" s="242">
        <v>649</v>
      </c>
      <c r="G653" s="243">
        <f t="shared" ca="1" si="24"/>
        <v>1.3618964493937537E-2</v>
      </c>
    </row>
    <row r="654" spans="2:7" ht="15" thickBot="1" x14ac:dyDescent="0.35">
      <c r="B654" s="170">
        <v>43179.645833333336</v>
      </c>
      <c r="C654" s="238">
        <v>1346.5</v>
      </c>
      <c r="D654" s="241">
        <f t="shared" si="23"/>
        <v>-0.14322982947314833</v>
      </c>
      <c r="E654" s="241">
        <v>5.1507912809794654E-3</v>
      </c>
      <c r="F654" s="242">
        <v>650</v>
      </c>
      <c r="G654" s="243">
        <f t="shared" ca="1" si="24"/>
        <v>1.4588936197526175E-2</v>
      </c>
    </row>
    <row r="655" spans="2:7" ht="15" thickBot="1" x14ac:dyDescent="0.35">
      <c r="B655" s="170">
        <v>43326.645833333336</v>
      </c>
      <c r="C655" s="238">
        <v>1571.6</v>
      </c>
      <c r="D655" s="241">
        <f t="shared" si="23"/>
        <v>-0.56324426473244682</v>
      </c>
      <c r="E655" s="241">
        <v>5.1485401809983405E-3</v>
      </c>
      <c r="F655" s="242">
        <v>651</v>
      </c>
      <c r="G655" s="243">
        <f t="shared" ca="1" si="24"/>
        <v>3.0731309061241475E-2</v>
      </c>
    </row>
    <row r="656" spans="2:7" ht="15" thickBot="1" x14ac:dyDescent="0.35">
      <c r="B656" s="170">
        <v>45680.645833333336</v>
      </c>
      <c r="C656" s="238">
        <v>3598.35</v>
      </c>
      <c r="D656" s="241">
        <f t="shared" si="23"/>
        <v>-0.25364017257114413</v>
      </c>
      <c r="E656" s="241">
        <v>5.1397365884998649E-3</v>
      </c>
      <c r="F656" s="242">
        <v>652</v>
      </c>
      <c r="G656" s="243">
        <f t="shared" ca="1" si="24"/>
        <v>3.4107990419627122E-2</v>
      </c>
    </row>
    <row r="657" spans="2:7" ht="15" thickBot="1" x14ac:dyDescent="0.35">
      <c r="B657" s="170">
        <v>44539.645833333336</v>
      </c>
      <c r="C657" s="238">
        <v>4821.2</v>
      </c>
      <c r="D657" s="241">
        <f t="shared" si="23"/>
        <v>0.41546049734300222</v>
      </c>
      <c r="E657" s="241">
        <v>5.1286327815534861E-3</v>
      </c>
      <c r="F657" s="242">
        <v>653</v>
      </c>
      <c r="G657" s="243">
        <f t="shared" ca="1" si="24"/>
        <v>2.2249645499504086E-2</v>
      </c>
    </row>
    <row r="658" spans="2:7" ht="15" thickBot="1" x14ac:dyDescent="0.35">
      <c r="B658" s="170">
        <v>44742.645833333336</v>
      </c>
      <c r="C658" s="238">
        <v>3406.1</v>
      </c>
      <c r="D658" s="241">
        <f t="shared" si="23"/>
        <v>0.73197396521916003</v>
      </c>
      <c r="E658" s="241">
        <v>5.1198819623754803E-3</v>
      </c>
      <c r="F658" s="242">
        <v>654</v>
      </c>
      <c r="G658" s="243">
        <f t="shared" ca="1" si="24"/>
        <v>-3.9866155348704767E-3</v>
      </c>
    </row>
    <row r="659" spans="2:7" ht="15" thickBot="1" x14ac:dyDescent="0.35">
      <c r="B659" s="170">
        <v>43770.645833333336</v>
      </c>
      <c r="C659" s="238">
        <v>1966.6</v>
      </c>
      <c r="D659" s="241">
        <f t="shared" si="23"/>
        <v>-0.54009494632959942</v>
      </c>
      <c r="E659" s="241">
        <v>5.0852221909896082E-3</v>
      </c>
      <c r="F659" s="242">
        <v>655</v>
      </c>
      <c r="G659" s="243">
        <f t="shared" ca="1" si="24"/>
        <v>4.2146828891370773E-3</v>
      </c>
    </row>
    <row r="660" spans="2:7" ht="15" thickBot="1" x14ac:dyDescent="0.35">
      <c r="B660" s="170">
        <v>44573.645833333336</v>
      </c>
      <c r="C660" s="238">
        <v>4276.1000000000004</v>
      </c>
      <c r="D660" s="241">
        <f t="shared" si="23"/>
        <v>0.21628694143413846</v>
      </c>
      <c r="E660" s="241">
        <v>5.0533540168288434E-3</v>
      </c>
      <c r="F660" s="242">
        <v>656</v>
      </c>
      <c r="G660" s="243">
        <f t="shared" ca="1" si="24"/>
        <v>5.4230618442142695E-3</v>
      </c>
    </row>
    <row r="661" spans="2:7" ht="15" thickBot="1" x14ac:dyDescent="0.35">
      <c r="B661" s="170">
        <v>45644.645833333336</v>
      </c>
      <c r="C661" s="238">
        <v>3515.7</v>
      </c>
      <c r="D661" s="241">
        <f t="shared" si="23"/>
        <v>1.2031646561178129</v>
      </c>
      <c r="E661" s="241">
        <v>5.0169375241198135E-3</v>
      </c>
      <c r="F661" s="242">
        <v>657</v>
      </c>
      <c r="G661" s="243">
        <f t="shared" ca="1" si="24"/>
        <v>-2.4120196236203751E-2</v>
      </c>
    </row>
    <row r="662" spans="2:7" ht="15" thickBot="1" x14ac:dyDescent="0.35">
      <c r="B662" s="170">
        <v>43474.645833333336</v>
      </c>
      <c r="C662" s="238">
        <v>1595.75</v>
      </c>
      <c r="D662" s="241">
        <f t="shared" si="23"/>
        <v>-0.56611879222915562</v>
      </c>
      <c r="E662" s="241">
        <v>5.0069278246630848E-3</v>
      </c>
      <c r="F662" s="242">
        <v>658</v>
      </c>
      <c r="G662" s="243">
        <f t="shared" ca="1" si="24"/>
        <v>-1.0589863674667516E-2</v>
      </c>
    </row>
    <row r="663" spans="2:7" ht="15" thickBot="1" x14ac:dyDescent="0.35">
      <c r="B663" s="170">
        <v>45054.645833333336</v>
      </c>
      <c r="C663" s="238">
        <v>3677.85</v>
      </c>
      <c r="D663" s="241">
        <f t="shared" si="23"/>
        <v>0.39309861555652342</v>
      </c>
      <c r="E663" s="241">
        <v>4.9594229035167066E-3</v>
      </c>
      <c r="F663" s="242">
        <v>659</v>
      </c>
      <c r="G663" s="243">
        <f t="shared" ca="1" si="24"/>
        <v>-1.5501361528607606E-4</v>
      </c>
    </row>
    <row r="664" spans="2:7" ht="15" thickBot="1" x14ac:dyDescent="0.35">
      <c r="B664" s="170">
        <v>44180.645833333336</v>
      </c>
      <c r="C664" s="238">
        <v>2640.05</v>
      </c>
      <c r="D664" s="241">
        <f t="shared" si="23"/>
        <v>0.79278147494227924</v>
      </c>
      <c r="E664" s="241">
        <v>4.9485163967187525E-3</v>
      </c>
      <c r="F664" s="242">
        <v>660</v>
      </c>
      <c r="G664" s="243">
        <f t="shared" ca="1" si="24"/>
        <v>-3.0428738121925262E-2</v>
      </c>
    </row>
    <row r="665" spans="2:7" ht="15" thickBot="1" x14ac:dyDescent="0.35">
      <c r="B665" s="170">
        <v>43566.645833333336</v>
      </c>
      <c r="C665" s="238">
        <v>1472.6</v>
      </c>
      <c r="D665" s="241">
        <f t="shared" si="23"/>
        <v>-0.64623921973718979</v>
      </c>
      <c r="E665" s="241">
        <v>4.9476234346743104E-3</v>
      </c>
      <c r="F665" s="242">
        <v>661</v>
      </c>
      <c r="G665" s="243">
        <f t="shared" ca="1" si="24"/>
        <v>3.2957844675362613E-2</v>
      </c>
    </row>
    <row r="666" spans="2:7" ht="15" thickBot="1" x14ac:dyDescent="0.35">
      <c r="B666" s="170">
        <v>44602.645833333336</v>
      </c>
      <c r="C666" s="238">
        <v>4162.7</v>
      </c>
      <c r="D666" s="241">
        <f t="shared" si="23"/>
        <v>0.55029607835834793</v>
      </c>
      <c r="E666" s="241">
        <v>4.9369304122155394E-3</v>
      </c>
      <c r="F666" s="242">
        <v>662</v>
      </c>
      <c r="G666" s="243">
        <f t="shared" ca="1" si="24"/>
        <v>6.5380410734046769E-3</v>
      </c>
    </row>
    <row r="667" spans="2:7" ht="15" thickBot="1" x14ac:dyDescent="0.35">
      <c r="B667" s="170">
        <v>44176.645833333336</v>
      </c>
      <c r="C667" s="238">
        <v>2685.1</v>
      </c>
      <c r="D667" s="241">
        <f t="shared" si="23"/>
        <v>-0.31951290596449433</v>
      </c>
      <c r="E667" s="241">
        <v>4.9214992795524213E-3</v>
      </c>
      <c r="F667" s="242">
        <v>663</v>
      </c>
      <c r="G667" s="243">
        <f t="shared" ca="1" si="24"/>
        <v>-3.8811327575415315E-3</v>
      </c>
    </row>
    <row r="668" spans="2:7" ht="15" thickBot="1" x14ac:dyDescent="0.35">
      <c r="B668" s="170">
        <v>45600.645833333336</v>
      </c>
      <c r="C668" s="238">
        <v>3945.85</v>
      </c>
      <c r="D668" s="241">
        <f t="shared" si="23"/>
        <v>0.4201878779153469</v>
      </c>
      <c r="E668" s="241">
        <v>4.9152563955634655E-3</v>
      </c>
      <c r="F668" s="242">
        <v>664</v>
      </c>
      <c r="G668" s="243">
        <f t="shared" ca="1" si="24"/>
        <v>-3.5552878512181956E-3</v>
      </c>
    </row>
    <row r="669" spans="2:7" ht="15" thickBot="1" x14ac:dyDescent="0.35">
      <c r="B669" s="170">
        <v>44215.645833333336</v>
      </c>
      <c r="C669" s="238">
        <v>2778.4</v>
      </c>
      <c r="D669" s="241">
        <f t="shared" si="23"/>
        <v>0.90634327078115884</v>
      </c>
      <c r="E669" s="241">
        <v>4.8644640951916937E-3</v>
      </c>
      <c r="F669" s="242">
        <v>665</v>
      </c>
      <c r="G669" s="243">
        <f t="shared" ca="1" si="24"/>
        <v>1.7300934852676933E-2</v>
      </c>
    </row>
    <row r="670" spans="2:7" ht="15" thickBot="1" x14ac:dyDescent="0.35">
      <c r="B670" s="170">
        <v>43531.645833333336</v>
      </c>
      <c r="C670" s="238">
        <v>1457.45</v>
      </c>
      <c r="D670" s="241">
        <f t="shared" si="23"/>
        <v>-0.36785148879876822</v>
      </c>
      <c r="E670" s="241">
        <v>4.8607280750137573E-3</v>
      </c>
      <c r="F670" s="242">
        <v>666</v>
      </c>
      <c r="G670" s="243">
        <f t="shared" ca="1" si="24"/>
        <v>2.3863864498833473E-2</v>
      </c>
    </row>
    <row r="671" spans="2:7" ht="15" thickBot="1" x14ac:dyDescent="0.35">
      <c r="B671" s="170">
        <v>44007.645833333336</v>
      </c>
      <c r="C671" s="238">
        <v>2305.5500000000002</v>
      </c>
      <c r="D671" s="241">
        <f t="shared" si="23"/>
        <v>0.70188971728057881</v>
      </c>
      <c r="E671" s="241">
        <v>4.8596582984658694E-3</v>
      </c>
      <c r="F671" s="242">
        <v>667</v>
      </c>
      <c r="G671" s="243">
        <f t="shared" ca="1" si="24"/>
        <v>-1.456242440158623E-2</v>
      </c>
    </row>
    <row r="672" spans="2:7" ht="15" thickBot="1" x14ac:dyDescent="0.35">
      <c r="B672" s="170">
        <v>43158.645833333336</v>
      </c>
      <c r="C672" s="238">
        <v>1354.7</v>
      </c>
      <c r="D672" s="241">
        <f t="shared" si="23"/>
        <v>-0.67424916440233729</v>
      </c>
      <c r="E672" s="241">
        <v>4.8585098097392379E-3</v>
      </c>
      <c r="F672" s="242">
        <v>668</v>
      </c>
      <c r="G672" s="243">
        <f t="shared" ca="1" si="24"/>
        <v>-1.4308581545933086E-4</v>
      </c>
    </row>
    <row r="673" spans="2:7" ht="15" thickBot="1" x14ac:dyDescent="0.35">
      <c r="B673" s="170">
        <v>44874.645833333336</v>
      </c>
      <c r="C673" s="238">
        <v>4158.7</v>
      </c>
      <c r="D673" s="241">
        <f t="shared" si="23"/>
        <v>9.1264530688288784E-2</v>
      </c>
      <c r="E673" s="241">
        <v>4.7960182176207044E-3</v>
      </c>
      <c r="F673" s="242">
        <v>669</v>
      </c>
      <c r="G673" s="243">
        <f t="shared" ca="1" si="24"/>
        <v>3.0336715930923738E-2</v>
      </c>
    </row>
    <row r="674" spans="2:7" ht="15" thickBot="1" x14ac:dyDescent="0.35">
      <c r="B674" s="170">
        <v>45247.645833333336</v>
      </c>
      <c r="C674" s="238">
        <v>3810.9</v>
      </c>
      <c r="D674" s="241">
        <f t="shared" si="23"/>
        <v>-9.1247272597202861E-2</v>
      </c>
      <c r="E674" s="241">
        <v>4.7457090880329037E-3</v>
      </c>
      <c r="F674" s="242">
        <v>670</v>
      </c>
      <c r="G674" s="243">
        <f t="shared" ca="1" si="24"/>
        <v>-5.1262407330524679E-4</v>
      </c>
    </row>
    <row r="675" spans="2:7" ht="15" thickBot="1" x14ac:dyDescent="0.35">
      <c r="B675" s="170">
        <v>45580.645833333336</v>
      </c>
      <c r="C675" s="238">
        <v>4193.55</v>
      </c>
      <c r="D675" s="241">
        <f t="shared" si="23"/>
        <v>2.124850968703428</v>
      </c>
      <c r="E675" s="241">
        <v>4.7318989889309502E-3</v>
      </c>
      <c r="F675" s="242">
        <v>671</v>
      </c>
      <c r="G675" s="243">
        <f t="shared" ca="1" si="24"/>
        <v>5.1368774890280321E-2</v>
      </c>
    </row>
    <row r="676" spans="2:7" ht="15" thickBot="1" x14ac:dyDescent="0.35">
      <c r="B676" s="170">
        <v>43634.645833333336</v>
      </c>
      <c r="C676" s="238">
        <v>1342</v>
      </c>
      <c r="D676" s="241">
        <f t="shared" si="23"/>
        <v>-9.2875490063539332E-2</v>
      </c>
      <c r="E676" s="241">
        <v>4.7166279853260119E-3</v>
      </c>
      <c r="F676" s="242">
        <v>672</v>
      </c>
      <c r="G676" s="243">
        <f t="shared" ca="1" si="24"/>
        <v>-1.8757167000533679E-2</v>
      </c>
    </row>
    <row r="677" spans="2:7" ht="15" thickBot="1" x14ac:dyDescent="0.35">
      <c r="B677" s="170">
        <v>43551.645833333336</v>
      </c>
      <c r="C677" s="238">
        <v>1479.4</v>
      </c>
      <c r="D677" s="241">
        <f t="shared" si="23"/>
        <v>-0.50017737385340466</v>
      </c>
      <c r="E677" s="241">
        <v>4.685908319185121E-3</v>
      </c>
      <c r="F677" s="242">
        <v>673</v>
      </c>
      <c r="G677" s="243">
        <f t="shared" ca="1" si="24"/>
        <v>1.1011846726775696E-2</v>
      </c>
    </row>
    <row r="678" spans="2:7" ht="15" thickBot="1" x14ac:dyDescent="0.35">
      <c r="B678" s="170">
        <v>44231.645833333336</v>
      </c>
      <c r="C678" s="238">
        <v>2959.85</v>
      </c>
      <c r="D678" s="241">
        <f t="shared" si="23"/>
        <v>1.3974161671796534</v>
      </c>
      <c r="E678" s="241">
        <v>4.6842382172738841E-3</v>
      </c>
      <c r="F678" s="242">
        <v>674</v>
      </c>
      <c r="G678" s="243">
        <f t="shared" ca="1" si="24"/>
        <v>7.0275888486149929E-3</v>
      </c>
    </row>
    <row r="679" spans="2:7" ht="15" thickBot="1" x14ac:dyDescent="0.35">
      <c r="B679" s="170">
        <v>43112.645833333336</v>
      </c>
      <c r="C679" s="238">
        <v>1234.5999999999999</v>
      </c>
      <c r="D679" s="241">
        <f t="shared" si="23"/>
        <v>-0.39766795140752303</v>
      </c>
      <c r="E679" s="241">
        <v>4.6791715831875332E-3</v>
      </c>
      <c r="F679" s="242">
        <v>675</v>
      </c>
      <c r="G679" s="243">
        <f t="shared" ca="1" si="24"/>
        <v>9.2791822257064227E-3</v>
      </c>
    </row>
    <row r="680" spans="2:7" ht="15" thickBot="1" x14ac:dyDescent="0.35">
      <c r="B680" s="170">
        <v>44041.645833333336</v>
      </c>
      <c r="C680" s="238">
        <v>2049.6999999999998</v>
      </c>
      <c r="D680" s="241">
        <f t="shared" si="23"/>
        <v>-0.45732062483452479</v>
      </c>
      <c r="E680" s="241">
        <v>4.6564062346827629E-3</v>
      </c>
      <c r="F680" s="242">
        <v>676</v>
      </c>
      <c r="G680" s="243">
        <f t="shared" ca="1" si="24"/>
        <v>1.7192264186591966E-2</v>
      </c>
    </row>
    <row r="681" spans="2:7" ht="15" thickBot="1" x14ac:dyDescent="0.35">
      <c r="B681" s="170">
        <v>45608.645833333336</v>
      </c>
      <c r="C681" s="238">
        <v>3777</v>
      </c>
      <c r="D681" s="241">
        <f t="shared" si="23"/>
        <v>2.6945591143794126E-3</v>
      </c>
      <c r="E681" s="241">
        <v>4.6415129470281863E-3</v>
      </c>
      <c r="F681" s="242">
        <v>677</v>
      </c>
      <c r="G681" s="243">
        <f t="shared" ca="1" si="24"/>
        <v>-1.5961775323366248E-2</v>
      </c>
    </row>
    <row r="682" spans="2:7" ht="15" thickBot="1" x14ac:dyDescent="0.35">
      <c r="B682" s="170">
        <v>45218.645833333336</v>
      </c>
      <c r="C682" s="238">
        <v>3766.85</v>
      </c>
      <c r="D682" s="241">
        <f t="shared" si="23"/>
        <v>0.4065907393577296</v>
      </c>
      <c r="E682" s="241">
        <v>4.6272836378183514E-3</v>
      </c>
      <c r="F682" s="242">
        <v>678</v>
      </c>
      <c r="G682" s="243">
        <f t="shared" ca="1" si="24"/>
        <v>-1.4616657288128054E-2</v>
      </c>
    </row>
    <row r="683" spans="2:7" ht="15" thickBot="1" x14ac:dyDescent="0.35">
      <c r="B683" s="170">
        <v>44193.645833333336</v>
      </c>
      <c r="C683" s="238">
        <v>2678</v>
      </c>
      <c r="D683" s="241">
        <f t="shared" si="23"/>
        <v>-0.39498000587398058</v>
      </c>
      <c r="E683" s="241">
        <v>4.6141726375811916E-3</v>
      </c>
      <c r="F683" s="242">
        <v>679</v>
      </c>
      <c r="G683" s="243">
        <f t="shared" ca="1" si="24"/>
        <v>4.0843105048662696E-2</v>
      </c>
    </row>
    <row r="684" spans="2:7" ht="15" thickBot="1" x14ac:dyDescent="0.35">
      <c r="B684" s="170">
        <v>44811.645833333336</v>
      </c>
      <c r="C684" s="238">
        <v>4426.3</v>
      </c>
      <c r="D684" s="241">
        <f t="shared" si="23"/>
        <v>0.18070875068354303</v>
      </c>
      <c r="E684" s="241">
        <v>4.5959532914969185E-3</v>
      </c>
      <c r="F684" s="242">
        <v>680</v>
      </c>
      <c r="G684" s="243">
        <f t="shared" ca="1" si="24"/>
        <v>3.1414050871624119E-2</v>
      </c>
    </row>
    <row r="685" spans="2:7" ht="15" thickBot="1" x14ac:dyDescent="0.35">
      <c r="B685" s="170">
        <v>45309.645833333336</v>
      </c>
      <c r="C685" s="238">
        <v>3748.85</v>
      </c>
      <c r="D685" s="241">
        <f t="shared" si="23"/>
        <v>0.77670616113744073</v>
      </c>
      <c r="E685" s="241">
        <v>4.5957606452823353E-3</v>
      </c>
      <c r="F685" s="242">
        <v>681</v>
      </c>
      <c r="G685" s="243">
        <f t="shared" ca="1" si="24"/>
        <v>9.9214357777957334E-4</v>
      </c>
    </row>
    <row r="686" spans="2:7" ht="15" thickBot="1" x14ac:dyDescent="0.35">
      <c r="B686" s="170">
        <v>44034.645833333336</v>
      </c>
      <c r="C686" s="238">
        <v>2110</v>
      </c>
      <c r="D686" s="241">
        <f t="shared" si="23"/>
        <v>-0.49775058913141801</v>
      </c>
      <c r="E686" s="241">
        <v>4.5944723498464977E-3</v>
      </c>
      <c r="F686" s="242">
        <v>682</v>
      </c>
      <c r="G686" s="243">
        <f t="shared" ca="1" si="24"/>
        <v>-1.0117121299014181E-2</v>
      </c>
    </row>
    <row r="687" spans="2:7" ht="15" thickBot="1" x14ac:dyDescent="0.35">
      <c r="B687" s="170">
        <v>44909.645833333336</v>
      </c>
      <c r="C687" s="238">
        <v>4201.1000000000004</v>
      </c>
      <c r="D687" s="241">
        <f t="shared" si="23"/>
        <v>2.56131055821642</v>
      </c>
      <c r="E687" s="241">
        <v>4.5671927307509236E-3</v>
      </c>
      <c r="F687" s="242">
        <v>683</v>
      </c>
      <c r="G687" s="243">
        <f t="shared" ca="1" si="24"/>
        <v>3.7191174628687334E-3</v>
      </c>
    </row>
    <row r="688" spans="2:7" ht="15" thickBot="1" x14ac:dyDescent="0.35">
      <c r="B688" s="170">
        <v>43131.645833333336</v>
      </c>
      <c r="C688" s="238">
        <v>1179.6500000000001</v>
      </c>
      <c r="D688" s="241">
        <f t="shared" si="23"/>
        <v>-0.73226586171287211</v>
      </c>
      <c r="E688" s="241">
        <v>4.5559056459168329E-3</v>
      </c>
      <c r="F688" s="242">
        <v>684</v>
      </c>
      <c r="G688" s="243">
        <f t="shared" ca="1" si="24"/>
        <v>-5.1906292427826108E-2</v>
      </c>
    </row>
    <row r="689" spans="2:7" ht="15" thickBot="1" x14ac:dyDescent="0.35">
      <c r="B689" s="170">
        <v>44812.645833333336</v>
      </c>
      <c r="C689" s="238">
        <v>4406.05</v>
      </c>
      <c r="D689" s="241">
        <f t="shared" si="23"/>
        <v>0.23683804230353567</v>
      </c>
      <c r="E689" s="241">
        <v>4.5484599074348091E-3</v>
      </c>
      <c r="F689" s="242">
        <v>685</v>
      </c>
      <c r="G689" s="243">
        <f t="shared" ca="1" si="24"/>
        <v>-1.6909539686500455E-2</v>
      </c>
    </row>
    <row r="690" spans="2:7" ht="15" thickBot="1" x14ac:dyDescent="0.35">
      <c r="B690" s="170">
        <v>44953.645833333336</v>
      </c>
      <c r="C690" s="238">
        <v>3562.35</v>
      </c>
      <c r="D690" s="241">
        <f t="shared" si="23"/>
        <v>5.5980435749221846E-2</v>
      </c>
      <c r="E690" s="241">
        <v>4.5258438372387348E-3</v>
      </c>
      <c r="F690" s="242">
        <v>686</v>
      </c>
      <c r="G690" s="243">
        <f t="shared" ca="1" si="24"/>
        <v>-1.8939277279434582E-3</v>
      </c>
    </row>
    <row r="691" spans="2:7" ht="15" thickBot="1" x14ac:dyDescent="0.35">
      <c r="B691" s="170">
        <v>45008.645833333336</v>
      </c>
      <c r="C691" s="238">
        <v>3373.5</v>
      </c>
      <c r="D691" s="241">
        <f t="shared" si="23"/>
        <v>-0.14354261341999036</v>
      </c>
      <c r="E691" s="241">
        <v>4.4961886612672431E-3</v>
      </c>
      <c r="F691" s="242">
        <v>687</v>
      </c>
      <c r="G691" s="243">
        <f t="shared" ca="1" si="24"/>
        <v>2.9608633033978179E-3</v>
      </c>
    </row>
    <row r="692" spans="2:7" ht="15" thickBot="1" x14ac:dyDescent="0.35">
      <c r="B692" s="170">
        <v>44442.645833333336</v>
      </c>
      <c r="C692" s="238">
        <v>3938.9</v>
      </c>
      <c r="D692" s="241">
        <f t="shared" si="23"/>
        <v>1.7599761762954138</v>
      </c>
      <c r="E692" s="241">
        <v>4.4883074490602373E-3</v>
      </c>
      <c r="F692" s="242">
        <v>688</v>
      </c>
      <c r="G692" s="243">
        <f t="shared" ca="1" si="24"/>
        <v>7.7019923927898722E-3</v>
      </c>
    </row>
    <row r="693" spans="2:7" ht="15" thickBot="1" x14ac:dyDescent="0.35">
      <c r="B693" s="170">
        <v>43368.645833333336</v>
      </c>
      <c r="C693" s="238">
        <v>1427.15</v>
      </c>
      <c r="D693" s="241">
        <f t="shared" si="23"/>
        <v>-0.68822160810057997</v>
      </c>
      <c r="E693" s="241">
        <v>4.4693130630631588E-3</v>
      </c>
      <c r="F693" s="242">
        <v>689</v>
      </c>
      <c r="G693" s="243">
        <f t="shared" ca="1" si="24"/>
        <v>1.6052772679432406E-2</v>
      </c>
    </row>
    <row r="694" spans="2:7" ht="15" thickBot="1" x14ac:dyDescent="0.35">
      <c r="B694" s="170">
        <v>44809.645833333336</v>
      </c>
      <c r="C694" s="238">
        <v>4577.45</v>
      </c>
      <c r="D694" s="241">
        <f t="shared" si="23"/>
        <v>1.4082335920031566</v>
      </c>
      <c r="E694" s="241">
        <v>4.4655592372340857E-3</v>
      </c>
      <c r="F694" s="242">
        <v>690</v>
      </c>
      <c r="G694" s="243">
        <f t="shared" ca="1" si="24"/>
        <v>-6.2573199229184031E-3</v>
      </c>
    </row>
    <row r="695" spans="2:7" ht="15" thickBot="1" x14ac:dyDescent="0.35">
      <c r="B695" s="170">
        <v>43761.645833333336</v>
      </c>
      <c r="C695" s="238">
        <v>1900.75</v>
      </c>
      <c r="D695" s="241">
        <f t="shared" si="23"/>
        <v>-0.50936358591138475</v>
      </c>
      <c r="E695" s="241">
        <v>4.4654653067695638E-3</v>
      </c>
      <c r="F695" s="242">
        <v>691</v>
      </c>
      <c r="G695" s="243">
        <f t="shared" ca="1" si="24"/>
        <v>1.0494659982548605E-2</v>
      </c>
    </row>
    <row r="696" spans="2:7" ht="15" thickBot="1" x14ac:dyDescent="0.35">
      <c r="B696" s="170">
        <v>44713.645833333336</v>
      </c>
      <c r="C696" s="238">
        <v>3874.05</v>
      </c>
      <c r="D696" s="241">
        <f t="shared" si="23"/>
        <v>1.0472705173598269</v>
      </c>
      <c r="E696" s="241">
        <v>4.4465762659130622E-3</v>
      </c>
      <c r="F696" s="242">
        <v>692</v>
      </c>
      <c r="G696" s="243">
        <f t="shared" ca="1" si="24"/>
        <v>3.030551004144609E-3</v>
      </c>
    </row>
    <row r="697" spans="2:7" ht="15" thickBot="1" x14ac:dyDescent="0.35">
      <c r="B697" s="170">
        <v>43762.645833333336</v>
      </c>
      <c r="C697" s="238">
        <v>1892.3</v>
      </c>
      <c r="D697" s="241">
        <f t="shared" si="23"/>
        <v>-0.18207948823237025</v>
      </c>
      <c r="E697" s="241">
        <v>4.4321770747630827E-3</v>
      </c>
      <c r="F697" s="242">
        <v>693</v>
      </c>
      <c r="G697" s="243">
        <f t="shared" ca="1" si="24"/>
        <v>9.6886949693059665E-3</v>
      </c>
    </row>
    <row r="698" spans="2:7" ht="15" thickBot="1" x14ac:dyDescent="0.35">
      <c r="B698" s="170">
        <v>43962.645833333336</v>
      </c>
      <c r="C698" s="238">
        <v>2313.5500000000002</v>
      </c>
      <c r="D698" s="241">
        <f t="shared" si="23"/>
        <v>-0.43332149461746655</v>
      </c>
      <c r="E698" s="241">
        <v>4.4283326459288747E-3</v>
      </c>
      <c r="F698" s="242">
        <v>694</v>
      </c>
      <c r="G698" s="243">
        <f t="shared" ca="1" si="24"/>
        <v>-4.6849075977022864E-3</v>
      </c>
    </row>
    <row r="699" spans="2:7" ht="15" thickBot="1" x14ac:dyDescent="0.35">
      <c r="B699" s="170">
        <v>45289.645833333336</v>
      </c>
      <c r="C699" s="238">
        <v>4082.65</v>
      </c>
      <c r="D699" s="241">
        <f t="shared" si="23"/>
        <v>2.143401601478288</v>
      </c>
      <c r="E699" s="241">
        <v>4.4037148656129134E-3</v>
      </c>
      <c r="F699" s="242">
        <v>695</v>
      </c>
      <c r="G699" s="243">
        <f t="shared" ca="1" si="24"/>
        <v>-3.1081574954992138E-2</v>
      </c>
    </row>
    <row r="700" spans="2:7" ht="15" thickBot="1" x14ac:dyDescent="0.35">
      <c r="B700" s="170">
        <v>43166.645833333336</v>
      </c>
      <c r="C700" s="238">
        <v>1298.8</v>
      </c>
      <c r="D700" s="241">
        <f t="shared" si="23"/>
        <v>-1.8060946086155604E-3</v>
      </c>
      <c r="E700" s="241">
        <v>4.3691760429956797E-3</v>
      </c>
      <c r="F700" s="242">
        <v>696</v>
      </c>
      <c r="G700" s="243">
        <f t="shared" ca="1" si="24"/>
        <v>4.9402584743915238E-3</v>
      </c>
    </row>
    <row r="701" spans="2:7" ht="15" thickBot="1" x14ac:dyDescent="0.35">
      <c r="B701" s="170">
        <v>43581.645833333336</v>
      </c>
      <c r="C701" s="238">
        <v>1301.1500000000001</v>
      </c>
      <c r="D701" s="241">
        <f t="shared" si="23"/>
        <v>-0.69706529457644084</v>
      </c>
      <c r="E701" s="241">
        <v>4.3612504824392826E-3</v>
      </c>
      <c r="F701" s="242">
        <v>697</v>
      </c>
      <c r="G701" s="243">
        <f t="shared" ca="1" si="24"/>
        <v>7.5190943591478434E-5</v>
      </c>
    </row>
    <row r="702" spans="2:7" ht="15" thickBot="1" x14ac:dyDescent="0.35">
      <c r="B702" s="170">
        <v>44622.645833333336</v>
      </c>
      <c r="C702" s="238">
        <v>4295.1499999999996</v>
      </c>
      <c r="D702" s="241">
        <f t="shared" si="23"/>
        <v>-0.19272443638345668</v>
      </c>
      <c r="E702" s="241">
        <v>4.3610429089207614E-3</v>
      </c>
      <c r="F702" s="242">
        <v>698</v>
      </c>
      <c r="G702" s="243">
        <f t="shared" ca="1" si="24"/>
        <v>-1.1294735108216524E-2</v>
      </c>
    </row>
    <row r="703" spans="2:7" ht="15" thickBot="1" x14ac:dyDescent="0.35">
      <c r="B703" s="170">
        <v>45555.645833333336</v>
      </c>
      <c r="C703" s="238">
        <v>5320.55</v>
      </c>
      <c r="D703" s="241">
        <f t="shared" si="23"/>
        <v>1.3633759022765131</v>
      </c>
      <c r="E703" s="241">
        <v>4.3605885850740199E-3</v>
      </c>
      <c r="F703" s="242">
        <v>699</v>
      </c>
      <c r="G703" s="243">
        <f t="shared" ca="1" si="24"/>
        <v>8.4503456938824877E-3</v>
      </c>
    </row>
    <row r="704" spans="2:7" ht="15" thickBot="1" x14ac:dyDescent="0.35">
      <c r="B704" s="170">
        <v>44074.645833333336</v>
      </c>
      <c r="C704" s="238">
        <v>2251.25</v>
      </c>
      <c r="D704" s="241">
        <f t="shared" si="23"/>
        <v>-0.39746540695340316</v>
      </c>
      <c r="E704" s="241">
        <v>4.3049607423269499E-3</v>
      </c>
      <c r="F704" s="242">
        <v>700</v>
      </c>
      <c r="G704" s="243">
        <f t="shared" ca="1" si="24"/>
        <v>6.4114305802828262E-3</v>
      </c>
    </row>
    <row r="705" spans="2:7" ht="15" thickBot="1" x14ac:dyDescent="0.35">
      <c r="B705" s="170">
        <v>45168.645833333336</v>
      </c>
      <c r="C705" s="238">
        <v>3736.3</v>
      </c>
      <c r="D705" s="241">
        <f t="shared" si="23"/>
        <v>1.8510492178557805</v>
      </c>
      <c r="E705" s="241">
        <v>4.273734007096036E-3</v>
      </c>
      <c r="F705" s="242">
        <v>701</v>
      </c>
      <c r="G705" s="243">
        <f t="shared" ca="1" si="24"/>
        <v>-7.8595800571140684E-3</v>
      </c>
    </row>
    <row r="706" spans="2:7" ht="15" thickBot="1" x14ac:dyDescent="0.35">
      <c r="B706" s="170">
        <v>43628.645833333336</v>
      </c>
      <c r="C706" s="238">
        <v>1310.5</v>
      </c>
      <c r="D706" s="241">
        <f t="shared" si="23"/>
        <v>-0.16938678497860879</v>
      </c>
      <c r="E706" s="241">
        <v>4.2145593869731797E-3</v>
      </c>
      <c r="F706" s="242">
        <v>702</v>
      </c>
      <c r="G706" s="243">
        <f t="shared" ca="1" si="24"/>
        <v>3.0829087423418842E-3</v>
      </c>
    </row>
    <row r="707" spans="2:7" ht="15" thickBot="1" x14ac:dyDescent="0.35">
      <c r="B707" s="170">
        <v>43469.645833333336</v>
      </c>
      <c r="C707" s="238">
        <v>1577.75</v>
      </c>
      <c r="D707" s="241">
        <f t="shared" si="23"/>
        <v>0.33188418031403016</v>
      </c>
      <c r="E707" s="241">
        <v>4.2007446774654927E-3</v>
      </c>
      <c r="F707" s="242">
        <v>703</v>
      </c>
      <c r="G707" s="243">
        <f t="shared" ca="1" si="24"/>
        <v>6.8986842865629856E-3</v>
      </c>
    </row>
    <row r="708" spans="2:7" ht="15" thickBot="1" x14ac:dyDescent="0.35">
      <c r="B708" s="170">
        <v>43130.645833333336</v>
      </c>
      <c r="C708" s="238">
        <v>1184.5999999999999</v>
      </c>
      <c r="D708" s="241">
        <f t="shared" si="23"/>
        <v>-0.7067749201712914</v>
      </c>
      <c r="E708" s="241">
        <v>4.1961598779297398E-3</v>
      </c>
      <c r="F708" s="242">
        <v>704</v>
      </c>
      <c r="G708" s="243">
        <f t="shared" ca="1" si="24"/>
        <v>-2.418398901034809E-2</v>
      </c>
    </row>
    <row r="709" spans="2:7" ht="15" thickBot="1" x14ac:dyDescent="0.35">
      <c r="B709" s="170">
        <v>45751.645833333336</v>
      </c>
      <c r="C709" s="239">
        <v>4039.9</v>
      </c>
      <c r="D709" s="241">
        <f t="shared" ref="D709:D772" si="25">(C709-C710)/C710</f>
        <v>1.5846262115735263</v>
      </c>
      <c r="E709" s="241">
        <v>4.1634042976274807E-3</v>
      </c>
      <c r="F709" s="242">
        <v>705</v>
      </c>
      <c r="G709" s="243">
        <f t="shared" ca="1" si="24"/>
        <v>-1.1023911866021223E-2</v>
      </c>
    </row>
    <row r="710" spans="2:7" ht="15" thickBot="1" x14ac:dyDescent="0.35">
      <c r="B710" s="170">
        <v>43306.645833333336</v>
      </c>
      <c r="C710" s="238">
        <v>1563.05</v>
      </c>
      <c r="D710" s="241">
        <f t="shared" si="25"/>
        <v>0.11862162742431834</v>
      </c>
      <c r="E710" s="241">
        <v>4.1436464088398083E-3</v>
      </c>
      <c r="F710" s="242">
        <v>706</v>
      </c>
      <c r="G710" s="243">
        <f t="shared" ref="G710:G773" ca="1" si="26">_xlfn.NORM.INV(RAND(),$M$7,$M$8)</f>
        <v>1.6675758323875384E-2</v>
      </c>
    </row>
    <row r="711" spans="2:7" ht="15" thickBot="1" x14ac:dyDescent="0.35">
      <c r="B711" s="170">
        <v>43488.645833333336</v>
      </c>
      <c r="C711" s="238">
        <v>1397.3</v>
      </c>
      <c r="D711" s="241">
        <f t="shared" si="25"/>
        <v>-0.7384557791296209</v>
      </c>
      <c r="E711" s="241">
        <v>4.1320829291078293E-3</v>
      </c>
      <c r="F711" s="242">
        <v>707</v>
      </c>
      <c r="G711" s="243">
        <f t="shared" ca="1" si="26"/>
        <v>-5.5062685803781205E-3</v>
      </c>
    </row>
    <row r="712" spans="2:7" ht="15" thickBot="1" x14ac:dyDescent="0.35">
      <c r="B712" s="170">
        <v>45554.645833333336</v>
      </c>
      <c r="C712" s="238">
        <v>5342.5</v>
      </c>
      <c r="D712" s="241">
        <f t="shared" si="25"/>
        <v>0.59432399767230193</v>
      </c>
      <c r="E712" s="241">
        <v>4.1255133397862659E-3</v>
      </c>
      <c r="F712" s="242">
        <v>708</v>
      </c>
      <c r="G712" s="243">
        <f t="shared" ca="1" si="26"/>
        <v>-9.8456359029640214E-3</v>
      </c>
    </row>
    <row r="713" spans="2:7" ht="15" thickBot="1" x14ac:dyDescent="0.35">
      <c r="B713" s="170">
        <v>44999.645833333336</v>
      </c>
      <c r="C713" s="238">
        <v>3350.95</v>
      </c>
      <c r="D713" s="241">
        <f t="shared" si="25"/>
        <v>-0.2790399965575851</v>
      </c>
      <c r="E713" s="241">
        <v>4.1051764177091376E-3</v>
      </c>
      <c r="F713" s="242">
        <v>709</v>
      </c>
      <c r="G713" s="243">
        <f t="shared" ca="1" si="26"/>
        <v>1.1433941433529776E-2</v>
      </c>
    </row>
    <row r="714" spans="2:7" ht="15" thickBot="1" x14ac:dyDescent="0.35">
      <c r="B714" s="170">
        <v>44553.645833333336</v>
      </c>
      <c r="C714" s="238">
        <v>4647.8999999999996</v>
      </c>
      <c r="D714" s="241">
        <f t="shared" si="25"/>
        <v>1.5451210163180373</v>
      </c>
      <c r="E714" s="241">
        <v>4.1046468923502345E-3</v>
      </c>
      <c r="F714" s="242">
        <v>710</v>
      </c>
      <c r="G714" s="243">
        <f t="shared" ca="1" si="26"/>
        <v>-2.3318334136264805E-2</v>
      </c>
    </row>
    <row r="715" spans="2:7" ht="15" thickBot="1" x14ac:dyDescent="0.35">
      <c r="B715" s="170">
        <v>43789.645833333336</v>
      </c>
      <c r="C715" s="238">
        <v>1826.2</v>
      </c>
      <c r="D715" s="241">
        <f t="shared" si="25"/>
        <v>-0.19175020469583298</v>
      </c>
      <c r="E715" s="241">
        <v>4.0962199312715025E-3</v>
      </c>
      <c r="F715" s="242">
        <v>711</v>
      </c>
      <c r="G715" s="243">
        <f t="shared" ca="1" si="26"/>
        <v>2.9982757634972625E-2</v>
      </c>
    </row>
    <row r="716" spans="2:7" ht="15" thickBot="1" x14ac:dyDescent="0.35">
      <c r="B716" s="170">
        <v>44064.645833333336</v>
      </c>
      <c r="C716" s="238">
        <v>2259.4499999999998</v>
      </c>
      <c r="D716" s="241">
        <f t="shared" si="25"/>
        <v>-0.42526645130109642</v>
      </c>
      <c r="E716" s="241">
        <v>4.0661245167309401E-3</v>
      </c>
      <c r="F716" s="242">
        <v>712</v>
      </c>
      <c r="G716" s="243">
        <f t="shared" ca="1" si="26"/>
        <v>6.9833687940732275E-3</v>
      </c>
    </row>
    <row r="717" spans="2:7" ht="15" thickBot="1" x14ac:dyDescent="0.35">
      <c r="B717" s="170">
        <v>44761.645833333336</v>
      </c>
      <c r="C717" s="238">
        <v>3931.3</v>
      </c>
      <c r="D717" s="241">
        <f t="shared" si="25"/>
        <v>0.37643331057542501</v>
      </c>
      <c r="E717" s="241">
        <v>4.0480659949687428E-3</v>
      </c>
      <c r="F717" s="242">
        <v>713</v>
      </c>
      <c r="G717" s="243">
        <f t="shared" ca="1" si="26"/>
        <v>-2.2315701554277652E-2</v>
      </c>
    </row>
    <row r="718" spans="2:7" ht="15" thickBot="1" x14ac:dyDescent="0.35">
      <c r="B718" s="170">
        <v>44328.645833333336</v>
      </c>
      <c r="C718" s="238">
        <v>2856.15</v>
      </c>
      <c r="D718" s="241">
        <f t="shared" si="25"/>
        <v>0.83876263439129606</v>
      </c>
      <c r="E718" s="241">
        <v>4.0426766034485787E-3</v>
      </c>
      <c r="F718" s="242">
        <v>714</v>
      </c>
      <c r="G718" s="243">
        <f t="shared" ca="1" si="26"/>
        <v>-1.556920609251633E-2</v>
      </c>
    </row>
    <row r="719" spans="2:7" ht="15" thickBot="1" x14ac:dyDescent="0.35">
      <c r="B719" s="170">
        <v>43705.645833333336</v>
      </c>
      <c r="C719" s="238">
        <v>1553.3</v>
      </c>
      <c r="D719" s="241">
        <f t="shared" si="25"/>
        <v>-0.35068138115542175</v>
      </c>
      <c r="E719" s="241">
        <v>4.0399469958954139E-3</v>
      </c>
      <c r="F719" s="242">
        <v>715</v>
      </c>
      <c r="G719" s="243">
        <f t="shared" ca="1" si="26"/>
        <v>-1.7020031077808199E-2</v>
      </c>
    </row>
    <row r="720" spans="2:7" ht="15" thickBot="1" x14ac:dyDescent="0.35">
      <c r="B720" s="170">
        <v>44154.645833333336</v>
      </c>
      <c r="C720" s="238">
        <v>2392.1999999999998</v>
      </c>
      <c r="D720" s="241">
        <f t="shared" si="25"/>
        <v>0.61607836514102332</v>
      </c>
      <c r="E720" s="241">
        <v>4.0292117854444347E-3</v>
      </c>
      <c r="F720" s="242">
        <v>716</v>
      </c>
      <c r="G720" s="243">
        <f t="shared" ca="1" si="26"/>
        <v>2.4244485326061542E-2</v>
      </c>
    </row>
    <row r="721" spans="2:7" ht="15" thickBot="1" x14ac:dyDescent="0.35">
      <c r="B721" s="170">
        <v>43215.645833333336</v>
      </c>
      <c r="C721" s="238">
        <v>1480.25</v>
      </c>
      <c r="D721" s="241">
        <f t="shared" si="25"/>
        <v>-0.61629685312872629</v>
      </c>
      <c r="E721" s="241">
        <v>4.0017634889952126E-3</v>
      </c>
      <c r="F721" s="242">
        <v>717</v>
      </c>
      <c r="G721" s="243">
        <f t="shared" ca="1" si="26"/>
        <v>-1.7981443356968281E-2</v>
      </c>
    </row>
    <row r="722" spans="2:7" ht="15" thickBot="1" x14ac:dyDescent="0.35">
      <c r="B722" s="170">
        <v>44931.645833333336</v>
      </c>
      <c r="C722" s="238">
        <v>3857.8</v>
      </c>
      <c r="D722" s="241">
        <f t="shared" si="25"/>
        <v>0.79028702693923025</v>
      </c>
      <c r="E722" s="241">
        <v>3.9817826935589279E-3</v>
      </c>
      <c r="F722" s="242">
        <v>718</v>
      </c>
      <c r="G722" s="243">
        <f t="shared" ca="1" si="26"/>
        <v>3.2485852021009093E-2</v>
      </c>
    </row>
    <row r="723" spans="2:7" ht="15" thickBot="1" x14ac:dyDescent="0.35">
      <c r="B723" s="170">
        <v>44026.645833333336</v>
      </c>
      <c r="C723" s="238">
        <v>2154.85</v>
      </c>
      <c r="D723" s="241">
        <f t="shared" si="25"/>
        <v>0.43412864796512596</v>
      </c>
      <c r="E723" s="241">
        <v>3.9602115218859927E-3</v>
      </c>
      <c r="F723" s="242">
        <v>719</v>
      </c>
      <c r="G723" s="243">
        <f t="shared" ca="1" si="26"/>
        <v>1.2296636785313901E-3</v>
      </c>
    </row>
    <row r="724" spans="2:7" ht="15" thickBot="1" x14ac:dyDescent="0.35">
      <c r="B724" s="170">
        <v>43439.645833333336</v>
      </c>
      <c r="C724" s="238">
        <v>1502.55</v>
      </c>
      <c r="D724" s="241">
        <f t="shared" si="25"/>
        <v>0.28040051129100974</v>
      </c>
      <c r="E724" s="241">
        <v>3.9421374402832084E-3</v>
      </c>
      <c r="F724" s="242">
        <v>720</v>
      </c>
      <c r="G724" s="243">
        <f t="shared" ca="1" si="26"/>
        <v>1.374928176049839E-2</v>
      </c>
    </row>
    <row r="725" spans="2:7" ht="15" thickBot="1" x14ac:dyDescent="0.35">
      <c r="B725" s="170">
        <v>43147.645833333336</v>
      </c>
      <c r="C725" s="238">
        <v>1173.5</v>
      </c>
      <c r="D725" s="241">
        <f t="shared" si="25"/>
        <v>-0.62769079458747756</v>
      </c>
      <c r="E725" s="241">
        <v>3.9353238087089645E-3</v>
      </c>
      <c r="F725" s="242">
        <v>721</v>
      </c>
      <c r="G725" s="243">
        <f t="shared" ca="1" si="26"/>
        <v>1.1209311855093008E-2</v>
      </c>
    </row>
    <row r="726" spans="2:7" ht="15" thickBot="1" x14ac:dyDescent="0.35">
      <c r="B726" s="170">
        <v>44250.645833333336</v>
      </c>
      <c r="C726" s="238">
        <v>3151.95</v>
      </c>
      <c r="D726" s="241">
        <f t="shared" si="25"/>
        <v>1.1832444413659347</v>
      </c>
      <c r="E726" s="241">
        <v>3.9016466541389309E-3</v>
      </c>
      <c r="F726" s="242">
        <v>722</v>
      </c>
      <c r="G726" s="243">
        <f t="shared" ca="1" si="26"/>
        <v>-2.0372339694186541E-2</v>
      </c>
    </row>
    <row r="727" spans="2:7" ht="15" thickBot="1" x14ac:dyDescent="0.35">
      <c r="B727" s="170">
        <v>43432.645833333336</v>
      </c>
      <c r="C727" s="238">
        <v>1443.7</v>
      </c>
      <c r="D727" s="241">
        <f t="shared" si="25"/>
        <v>-0.29757213058920845</v>
      </c>
      <c r="E727" s="241">
        <v>3.8940268409708204E-3</v>
      </c>
      <c r="F727" s="242">
        <v>723</v>
      </c>
      <c r="G727" s="243">
        <f t="shared" ca="1" si="26"/>
        <v>-7.3210698011783601E-4</v>
      </c>
    </row>
    <row r="728" spans="2:7" ht="15" thickBot="1" x14ac:dyDescent="0.35">
      <c r="B728" s="170">
        <v>44097.645833333336</v>
      </c>
      <c r="C728" s="238">
        <v>2055.3000000000002</v>
      </c>
      <c r="D728" s="241">
        <f t="shared" si="25"/>
        <v>-0.10280251440544787</v>
      </c>
      <c r="E728" s="241">
        <v>3.8830683566562986E-3</v>
      </c>
      <c r="F728" s="242">
        <v>724</v>
      </c>
      <c r="G728" s="243">
        <f t="shared" ca="1" si="26"/>
        <v>-1.3733015202418913E-2</v>
      </c>
    </row>
    <row r="729" spans="2:7" ht="15" thickBot="1" x14ac:dyDescent="0.35">
      <c r="B729" s="170">
        <v>44139.645833333336</v>
      </c>
      <c r="C729" s="238">
        <v>2290.8000000000002</v>
      </c>
      <c r="D729" s="241">
        <f t="shared" si="25"/>
        <v>-0.54182625478764368</v>
      </c>
      <c r="E729" s="241">
        <v>3.878262012752411E-3</v>
      </c>
      <c r="F729" s="242">
        <v>725</v>
      </c>
      <c r="G729" s="243">
        <f t="shared" ca="1" si="26"/>
        <v>-1.4911990575344545E-3</v>
      </c>
    </row>
    <row r="730" spans="2:7" ht="15" thickBot="1" x14ac:dyDescent="0.35">
      <c r="B730" s="170">
        <v>45537.645833333336</v>
      </c>
      <c r="C730" s="238">
        <v>4999.8500000000004</v>
      </c>
      <c r="D730" s="241">
        <f t="shared" si="25"/>
        <v>0.29940485472217893</v>
      </c>
      <c r="E730" s="241">
        <v>3.8649961851985703E-3</v>
      </c>
      <c r="F730" s="242">
        <v>726</v>
      </c>
      <c r="G730" s="243">
        <f t="shared" ca="1" si="26"/>
        <v>1.3917141777059829E-2</v>
      </c>
    </row>
    <row r="731" spans="2:7" ht="15" thickBot="1" x14ac:dyDescent="0.35">
      <c r="B731" s="170">
        <v>44434.645833333336</v>
      </c>
      <c r="C731" s="238">
        <v>3847.8</v>
      </c>
      <c r="D731" s="241">
        <f t="shared" si="25"/>
        <v>1.8203474309169538</v>
      </c>
      <c r="E731" s="241">
        <v>3.8481105125161424E-3</v>
      </c>
      <c r="F731" s="242">
        <v>727</v>
      </c>
      <c r="G731" s="243">
        <f t="shared" ca="1" si="26"/>
        <v>-3.3398621902396647E-2</v>
      </c>
    </row>
    <row r="732" spans="2:7" ht="15" thickBot="1" x14ac:dyDescent="0.35">
      <c r="B732" s="170">
        <v>43193.645833333336</v>
      </c>
      <c r="C732" s="238">
        <v>1364.3</v>
      </c>
      <c r="D732" s="241">
        <f t="shared" si="25"/>
        <v>-0.64919904348049684</v>
      </c>
      <c r="E732" s="241">
        <v>3.7891329139534734E-3</v>
      </c>
      <c r="F732" s="242">
        <v>728</v>
      </c>
      <c r="G732" s="243">
        <f t="shared" ca="1" si="26"/>
        <v>-7.2186095631908507E-3</v>
      </c>
    </row>
    <row r="733" spans="2:7" ht="15" thickBot="1" x14ac:dyDescent="0.35">
      <c r="B733" s="170">
        <v>45603.645833333336</v>
      </c>
      <c r="C733" s="238">
        <v>3889.1</v>
      </c>
      <c r="D733" s="241">
        <f t="shared" si="25"/>
        <v>0.88302224804512552</v>
      </c>
      <c r="E733" s="241">
        <v>3.7682281584720373E-3</v>
      </c>
      <c r="F733" s="242">
        <v>729</v>
      </c>
      <c r="G733" s="243">
        <f t="shared" ca="1" si="26"/>
        <v>-1.8593450617260854E-2</v>
      </c>
    </row>
    <row r="734" spans="2:7" ht="15" thickBot="1" x14ac:dyDescent="0.35">
      <c r="B734" s="170">
        <v>44112.645833333336</v>
      </c>
      <c r="C734" s="238">
        <v>2065.35</v>
      </c>
      <c r="D734" s="241">
        <f t="shared" si="25"/>
        <v>-0.44126876775328017</v>
      </c>
      <c r="E734" s="241">
        <v>3.7665241057542771E-3</v>
      </c>
      <c r="F734" s="242">
        <v>730</v>
      </c>
      <c r="G734" s="243">
        <f t="shared" ca="1" si="26"/>
        <v>-1.1984325722579644E-2</v>
      </c>
    </row>
    <row r="735" spans="2:7" ht="15" thickBot="1" x14ac:dyDescent="0.35">
      <c r="B735" s="170">
        <v>45701.645833333336</v>
      </c>
      <c r="C735" s="238">
        <v>3696.5</v>
      </c>
      <c r="D735" s="241">
        <f t="shared" si="25"/>
        <v>-0.13182864390060597</v>
      </c>
      <c r="E735" s="241">
        <v>3.7608787150557096E-3</v>
      </c>
      <c r="F735" s="242">
        <v>731</v>
      </c>
      <c r="G735" s="243">
        <f t="shared" ca="1" si="26"/>
        <v>2.2761416264362238E-3</v>
      </c>
    </row>
    <row r="736" spans="2:7" ht="15" thickBot="1" x14ac:dyDescent="0.35">
      <c r="B736" s="170">
        <v>45874.645833333336</v>
      </c>
      <c r="C736" s="239">
        <v>4257.8</v>
      </c>
      <c r="D736" s="241">
        <f t="shared" si="25"/>
        <v>-0.15205225738354608</v>
      </c>
      <c r="E736" s="241">
        <v>3.7246581801037675E-3</v>
      </c>
      <c r="F736" s="242">
        <v>732</v>
      </c>
      <c r="G736" s="243">
        <f t="shared" ca="1" si="26"/>
        <v>-6.7103088299414861E-3</v>
      </c>
    </row>
    <row r="737" spans="2:7" ht="15" thickBot="1" x14ac:dyDescent="0.35">
      <c r="B737" s="170">
        <v>45520.645833333336</v>
      </c>
      <c r="C737" s="238">
        <v>5021.3</v>
      </c>
      <c r="D737" s="241">
        <f t="shared" si="25"/>
        <v>8.1174773378119416E-2</v>
      </c>
      <c r="E737" s="241">
        <v>3.7179922841666228E-3</v>
      </c>
      <c r="F737" s="242">
        <v>733</v>
      </c>
      <c r="G737" s="243">
        <f t="shared" ca="1" si="26"/>
        <v>-4.5725511881583296E-2</v>
      </c>
    </row>
    <row r="738" spans="2:7" ht="15" thickBot="1" x14ac:dyDescent="0.35">
      <c r="B738" s="170">
        <v>45398.645833333336</v>
      </c>
      <c r="C738" s="238">
        <v>4644.3</v>
      </c>
      <c r="D738" s="241">
        <f t="shared" si="25"/>
        <v>2.1121758359579172</v>
      </c>
      <c r="E738" s="241">
        <v>3.7172310950703068E-3</v>
      </c>
      <c r="F738" s="242">
        <v>734</v>
      </c>
      <c r="G738" s="243">
        <f t="shared" ca="1" si="26"/>
        <v>7.2390889033090008E-3</v>
      </c>
    </row>
    <row r="739" spans="2:7" ht="15" thickBot="1" x14ac:dyDescent="0.35">
      <c r="B739" s="170">
        <v>43223.645833333336</v>
      </c>
      <c r="C739" s="238">
        <v>1492.3</v>
      </c>
      <c r="D739" s="241">
        <f t="shared" si="25"/>
        <v>-0.63280923205629791</v>
      </c>
      <c r="E739" s="241">
        <v>3.6992198009147162E-3</v>
      </c>
      <c r="F739" s="242">
        <v>735</v>
      </c>
      <c r="G739" s="243">
        <f t="shared" ca="1" si="26"/>
        <v>9.4213802233362332E-3</v>
      </c>
    </row>
    <row r="740" spans="2:7" ht="15" thickBot="1" x14ac:dyDescent="0.35">
      <c r="B740" s="170">
        <v>45790.645833333336</v>
      </c>
      <c r="C740" s="239">
        <v>4064.1</v>
      </c>
      <c r="D740" s="241">
        <f t="shared" si="25"/>
        <v>2.9994297662041414E-2</v>
      </c>
      <c r="E740" s="241">
        <v>3.6797392077447624E-3</v>
      </c>
      <c r="F740" s="242">
        <v>736</v>
      </c>
      <c r="G740" s="243">
        <f t="shared" ca="1" si="26"/>
        <v>-6.9807676797126661E-3</v>
      </c>
    </row>
    <row r="741" spans="2:7" ht="15" thickBot="1" x14ac:dyDescent="0.35">
      <c r="B741" s="170">
        <v>44760.645833333336</v>
      </c>
      <c r="C741" s="238">
        <v>3945.75</v>
      </c>
      <c r="D741" s="241">
        <f t="shared" si="25"/>
        <v>-0.16242119340253447</v>
      </c>
      <c r="E741" s="241">
        <v>3.6756289268180544E-3</v>
      </c>
      <c r="F741" s="242">
        <v>737</v>
      </c>
      <c r="G741" s="243">
        <f t="shared" ca="1" si="26"/>
        <v>1.9445717529228451E-3</v>
      </c>
    </row>
    <row r="742" spans="2:7" ht="15" thickBot="1" x14ac:dyDescent="0.35">
      <c r="B742" s="170">
        <v>44530.645833333336</v>
      </c>
      <c r="C742" s="238">
        <v>4710.8999999999996</v>
      </c>
      <c r="D742" s="241">
        <f t="shared" si="25"/>
        <v>0.26862174826304719</v>
      </c>
      <c r="E742" s="241">
        <v>3.6644864392696209E-3</v>
      </c>
      <c r="F742" s="242">
        <v>738</v>
      </c>
      <c r="G742" s="243">
        <f t="shared" ca="1" si="26"/>
        <v>-1.9620244690081834E-2</v>
      </c>
    </row>
    <row r="743" spans="2:7" ht="15" thickBot="1" x14ac:dyDescent="0.35">
      <c r="B743" s="170">
        <v>45140.645833333336</v>
      </c>
      <c r="C743" s="238">
        <v>3713.4</v>
      </c>
      <c r="D743" s="241">
        <f t="shared" si="25"/>
        <v>1.8304471227016575E-2</v>
      </c>
      <c r="E743" s="241">
        <v>3.6487472634395522E-3</v>
      </c>
      <c r="F743" s="242">
        <v>739</v>
      </c>
      <c r="G743" s="243">
        <f t="shared" ca="1" si="26"/>
        <v>-1.1131674773480888E-2</v>
      </c>
    </row>
    <row r="744" spans="2:7" ht="15" thickBot="1" x14ac:dyDescent="0.35">
      <c r="B744" s="170">
        <v>45229.645833333336</v>
      </c>
      <c r="C744" s="238">
        <v>3646.65</v>
      </c>
      <c r="D744" s="241">
        <f t="shared" si="25"/>
        <v>-4.0829145728642716E-3</v>
      </c>
      <c r="E744" s="241">
        <v>3.6467220784939724E-3</v>
      </c>
      <c r="F744" s="242">
        <v>740</v>
      </c>
      <c r="G744" s="243">
        <f t="shared" ca="1" si="26"/>
        <v>8.0442899350236571E-3</v>
      </c>
    </row>
    <row r="745" spans="2:7" ht="15" thickBot="1" x14ac:dyDescent="0.35">
      <c r="B745" s="170">
        <v>44725.645833333336</v>
      </c>
      <c r="C745" s="238">
        <v>3661.6</v>
      </c>
      <c r="D745" s="241">
        <f t="shared" si="25"/>
        <v>-5.0611906243518009E-2</v>
      </c>
      <c r="E745" s="241">
        <v>3.6455335361674549E-3</v>
      </c>
      <c r="F745" s="242">
        <v>741</v>
      </c>
      <c r="G745" s="243">
        <f t="shared" ca="1" si="26"/>
        <v>-2.2735009477613696E-2</v>
      </c>
    </row>
    <row r="746" spans="2:7" ht="15" thickBot="1" x14ac:dyDescent="0.35">
      <c r="B746" s="170">
        <v>45215.645833333336</v>
      </c>
      <c r="C746" s="238">
        <v>3856.8</v>
      </c>
      <c r="D746" s="241">
        <f t="shared" si="25"/>
        <v>0.60265946395179726</v>
      </c>
      <c r="E746" s="241">
        <v>3.6301182715953715E-3</v>
      </c>
      <c r="F746" s="242">
        <v>742</v>
      </c>
      <c r="G746" s="243">
        <f t="shared" ca="1" si="26"/>
        <v>3.3573083423665967E-2</v>
      </c>
    </row>
    <row r="747" spans="2:7" ht="15" thickBot="1" x14ac:dyDescent="0.35">
      <c r="B747" s="170">
        <v>43993.645833333336</v>
      </c>
      <c r="C747" s="238">
        <v>2406.5</v>
      </c>
      <c r="D747" s="241">
        <f t="shared" si="25"/>
        <v>0.72292822623948449</v>
      </c>
      <c r="E747" s="241">
        <v>3.62832596546827E-3</v>
      </c>
      <c r="F747" s="242">
        <v>743</v>
      </c>
      <c r="G747" s="243">
        <f t="shared" ca="1" si="26"/>
        <v>1.5062653246167486E-2</v>
      </c>
    </row>
    <row r="748" spans="2:7" ht="15" thickBot="1" x14ac:dyDescent="0.35">
      <c r="B748" s="170">
        <v>43413.645833333336</v>
      </c>
      <c r="C748" s="238">
        <v>1396.75</v>
      </c>
      <c r="D748" s="241">
        <f t="shared" si="25"/>
        <v>-0.60038052185854884</v>
      </c>
      <c r="E748" s="241">
        <v>3.5925992455541583E-3</v>
      </c>
      <c r="F748" s="242">
        <v>744</v>
      </c>
      <c r="G748" s="243">
        <f t="shared" ca="1" si="26"/>
        <v>6.0806617206633417E-3</v>
      </c>
    </row>
    <row r="749" spans="2:7" ht="15" thickBot="1" x14ac:dyDescent="0.35">
      <c r="B749" s="170">
        <v>44970.645833333336</v>
      </c>
      <c r="C749" s="238">
        <v>3495.2</v>
      </c>
      <c r="D749" s="241">
        <f t="shared" si="25"/>
        <v>-0.16252545824847256</v>
      </c>
      <c r="E749" s="241">
        <v>3.5891693226519656E-3</v>
      </c>
      <c r="F749" s="242">
        <v>745</v>
      </c>
      <c r="G749" s="243">
        <f t="shared" ca="1" si="26"/>
        <v>1.3898913178631225E-2</v>
      </c>
    </row>
    <row r="750" spans="2:7" ht="15" thickBot="1" x14ac:dyDescent="0.35">
      <c r="B750" s="170">
        <v>44872.645833333336</v>
      </c>
      <c r="C750" s="238">
        <v>4173.5</v>
      </c>
      <c r="D750" s="241">
        <f t="shared" si="25"/>
        <v>-1.8046209590136891E-2</v>
      </c>
      <c r="E750" s="241">
        <v>3.558804434078001E-3</v>
      </c>
      <c r="F750" s="242">
        <v>746</v>
      </c>
      <c r="G750" s="243">
        <f t="shared" ca="1" si="26"/>
        <v>2.5417737584348503E-2</v>
      </c>
    </row>
    <row r="751" spans="2:7" ht="15" thickBot="1" x14ac:dyDescent="0.35">
      <c r="B751" s="170">
        <v>44469.645833333336</v>
      </c>
      <c r="C751" s="238">
        <v>4250.2</v>
      </c>
      <c r="D751" s="241">
        <f t="shared" si="25"/>
        <v>0.25404225185884577</v>
      </c>
      <c r="E751" s="241">
        <v>3.4469732741522932E-3</v>
      </c>
      <c r="F751" s="242">
        <v>747</v>
      </c>
      <c r="G751" s="243">
        <f t="shared" ca="1" si="26"/>
        <v>-1.4552614725300414E-2</v>
      </c>
    </row>
    <row r="752" spans="2:7" ht="15" thickBot="1" x14ac:dyDescent="0.35">
      <c r="B752" s="170">
        <v>44385.645833333336</v>
      </c>
      <c r="C752" s="238">
        <v>3389.2</v>
      </c>
      <c r="D752" s="241">
        <f t="shared" si="25"/>
        <v>-0.22214316862133082</v>
      </c>
      <c r="E752" s="241">
        <v>3.4343912837517497E-3</v>
      </c>
      <c r="F752" s="242">
        <v>748</v>
      </c>
      <c r="G752" s="243">
        <f t="shared" ca="1" si="26"/>
        <v>-2.3731184660779909E-4</v>
      </c>
    </row>
    <row r="753" spans="2:7" ht="15" thickBot="1" x14ac:dyDescent="0.35">
      <c r="B753" s="170">
        <v>45764.645833333336</v>
      </c>
      <c r="C753" s="239">
        <v>4357.1000000000004</v>
      </c>
      <c r="D753" s="241">
        <f t="shared" si="25"/>
        <v>4.903152800683782E-2</v>
      </c>
      <c r="E753" s="241">
        <v>3.40833198995928E-3</v>
      </c>
      <c r="F753" s="242">
        <v>749</v>
      </c>
      <c r="G753" s="243">
        <f t="shared" ca="1" si="26"/>
        <v>5.2887391607521865E-3</v>
      </c>
    </row>
    <row r="754" spans="2:7" ht="15" thickBot="1" x14ac:dyDescent="0.35">
      <c r="B754" s="170">
        <v>44851.645833333336</v>
      </c>
      <c r="C754" s="238">
        <v>4153.45</v>
      </c>
      <c r="D754" s="241">
        <f t="shared" si="25"/>
        <v>1.5075919944456184</v>
      </c>
      <c r="E754" s="241">
        <v>3.4063319120150393E-3</v>
      </c>
      <c r="F754" s="242">
        <v>750</v>
      </c>
      <c r="G754" s="243">
        <f t="shared" ca="1" si="26"/>
        <v>9.2802126417592806E-3</v>
      </c>
    </row>
    <row r="755" spans="2:7" ht="15" thickBot="1" x14ac:dyDescent="0.35">
      <c r="B755" s="170">
        <v>43314.645833333336</v>
      </c>
      <c r="C755" s="238">
        <v>1656.35</v>
      </c>
      <c r="D755" s="241">
        <f t="shared" si="25"/>
        <v>-0.6313692761364269</v>
      </c>
      <c r="E755" s="241">
        <v>3.3923973951233738E-3</v>
      </c>
      <c r="F755" s="242">
        <v>751</v>
      </c>
      <c r="G755" s="243">
        <f t="shared" ca="1" si="26"/>
        <v>1.1792968574815413E-2</v>
      </c>
    </row>
    <row r="756" spans="2:7" ht="15" thickBot="1" x14ac:dyDescent="0.35">
      <c r="B756" s="170">
        <v>44817.645833333336</v>
      </c>
      <c r="C756" s="238">
        <v>4493.25</v>
      </c>
      <c r="D756" s="241">
        <f t="shared" si="25"/>
        <v>0.19730601151140476</v>
      </c>
      <c r="E756" s="241">
        <v>3.3495226930162453E-3</v>
      </c>
      <c r="F756" s="242">
        <v>752</v>
      </c>
      <c r="G756" s="243">
        <f t="shared" ca="1" si="26"/>
        <v>-9.5456338393404439E-3</v>
      </c>
    </row>
    <row r="757" spans="2:7" ht="15" thickBot="1" x14ac:dyDescent="0.35">
      <c r="B757" s="170">
        <v>45138.645833333336</v>
      </c>
      <c r="C757" s="238">
        <v>3752.8</v>
      </c>
      <c r="D757" s="241">
        <f t="shared" si="25"/>
        <v>-5.8670078009381101E-2</v>
      </c>
      <c r="E757" s="241">
        <v>3.3419779162099294E-3</v>
      </c>
      <c r="F757" s="242">
        <v>753</v>
      </c>
      <c r="G757" s="243">
        <f t="shared" ca="1" si="26"/>
        <v>1.4248753853039264E-2</v>
      </c>
    </row>
    <row r="758" spans="2:7" ht="15" thickBot="1" x14ac:dyDescent="0.35">
      <c r="B758" s="170">
        <v>45583.645833333336</v>
      </c>
      <c r="C758" s="238">
        <v>3986.7</v>
      </c>
      <c r="D758" s="241">
        <f t="shared" si="25"/>
        <v>-6.2647684657253996E-2</v>
      </c>
      <c r="E758" s="241">
        <v>3.3346336307239302E-3</v>
      </c>
      <c r="F758" s="242">
        <v>754</v>
      </c>
      <c r="G758" s="243">
        <f t="shared" ca="1" si="26"/>
        <v>-6.1511186014055154E-3</v>
      </c>
    </row>
    <row r="759" spans="2:7" ht="15" thickBot="1" x14ac:dyDescent="0.35">
      <c r="B759" s="170">
        <v>44776.645833333336</v>
      </c>
      <c r="C759" s="238">
        <v>4253.1499999999996</v>
      </c>
      <c r="D759" s="241">
        <f t="shared" si="25"/>
        <v>-6.5983089643574539E-3</v>
      </c>
      <c r="E759" s="241">
        <v>3.3143827699274073E-3</v>
      </c>
      <c r="F759" s="242">
        <v>755</v>
      </c>
      <c r="G759" s="243">
        <f t="shared" ca="1" si="26"/>
        <v>2.7346361619502851E-2</v>
      </c>
    </row>
    <row r="760" spans="2:7" ht="15" thickBot="1" x14ac:dyDescent="0.35">
      <c r="B760" s="170">
        <v>45868.645833333336</v>
      </c>
      <c r="C760" s="239">
        <v>4281.3999999999996</v>
      </c>
      <c r="D760" s="241">
        <f t="shared" si="25"/>
        <v>2.9256917566170593E-2</v>
      </c>
      <c r="E760" s="241">
        <v>3.2806861320710504E-3</v>
      </c>
      <c r="F760" s="242">
        <v>756</v>
      </c>
      <c r="G760" s="243">
        <f t="shared" ca="1" si="26"/>
        <v>4.4951562392942714E-2</v>
      </c>
    </row>
    <row r="761" spans="2:7" ht="15" thickBot="1" x14ac:dyDescent="0.35">
      <c r="B761" s="170">
        <v>44658.645833333336</v>
      </c>
      <c r="C761" s="238">
        <v>4159.7</v>
      </c>
      <c r="D761" s="241">
        <f t="shared" si="25"/>
        <v>0.1389885271487637</v>
      </c>
      <c r="E761" s="241">
        <v>3.2438950859209692E-3</v>
      </c>
      <c r="F761" s="242">
        <v>757</v>
      </c>
      <c r="G761" s="243">
        <f t="shared" ca="1" si="26"/>
        <v>-2.0038394177597302E-2</v>
      </c>
    </row>
    <row r="762" spans="2:7" ht="15" thickBot="1" x14ac:dyDescent="0.35">
      <c r="B762" s="170">
        <v>45142.645833333336</v>
      </c>
      <c r="C762" s="238">
        <v>3652.1</v>
      </c>
      <c r="D762" s="241">
        <f t="shared" si="25"/>
        <v>-9.0386052303860542E-2</v>
      </c>
      <c r="E762" s="241">
        <v>3.2277116211353305E-3</v>
      </c>
      <c r="F762" s="242">
        <v>758</v>
      </c>
      <c r="G762" s="243">
        <f t="shared" ca="1" si="26"/>
        <v>1.5148614508379872E-2</v>
      </c>
    </row>
    <row r="763" spans="2:7" ht="15" thickBot="1" x14ac:dyDescent="0.35">
      <c r="B763" s="170">
        <v>44600.645833333336</v>
      </c>
      <c r="C763" s="238">
        <v>4015</v>
      </c>
      <c r="D763" s="241">
        <f t="shared" si="25"/>
        <v>1.042009968467094</v>
      </c>
      <c r="E763" s="241">
        <v>3.2233077634242252E-3</v>
      </c>
      <c r="F763" s="242">
        <v>759</v>
      </c>
      <c r="G763" s="243">
        <f t="shared" ca="1" si="26"/>
        <v>1.8433128982896733E-3</v>
      </c>
    </row>
    <row r="764" spans="2:7" ht="15" thickBot="1" x14ac:dyDescent="0.35">
      <c r="B764" s="170">
        <v>43780.645833333336</v>
      </c>
      <c r="C764" s="238">
        <v>1966.2</v>
      </c>
      <c r="D764" s="241">
        <f t="shared" si="25"/>
        <v>-0.47301697913455998</v>
      </c>
      <c r="E764" s="241">
        <v>3.1888568585933313E-3</v>
      </c>
      <c r="F764" s="242">
        <v>760</v>
      </c>
      <c r="G764" s="243">
        <f t="shared" ca="1" si="26"/>
        <v>-2.3517689417458673E-2</v>
      </c>
    </row>
    <row r="765" spans="2:7" ht="15" thickBot="1" x14ac:dyDescent="0.35">
      <c r="B765" s="170">
        <v>45330.645833333336</v>
      </c>
      <c r="C765" s="238">
        <v>3731.05</v>
      </c>
      <c r="D765" s="241">
        <f t="shared" si="25"/>
        <v>-2.5593815698410832E-2</v>
      </c>
      <c r="E765" s="241">
        <v>3.1861690686170049E-3</v>
      </c>
      <c r="F765" s="242">
        <v>761</v>
      </c>
      <c r="G765" s="243">
        <f t="shared" ca="1" si="26"/>
        <v>-1.0644235696611989E-2</v>
      </c>
    </row>
    <row r="766" spans="2:7" ht="15" thickBot="1" x14ac:dyDescent="0.35">
      <c r="B766" s="170">
        <v>45635.645833333336</v>
      </c>
      <c r="C766" s="238">
        <v>3829.05</v>
      </c>
      <c r="D766" s="241">
        <f t="shared" si="25"/>
        <v>1.6696297845638988</v>
      </c>
      <c r="E766" s="241">
        <v>3.1832115067201368E-3</v>
      </c>
      <c r="F766" s="242">
        <v>762</v>
      </c>
      <c r="G766" s="243">
        <f t="shared" ca="1" si="26"/>
        <v>3.2231590281963751E-3</v>
      </c>
    </row>
    <row r="767" spans="2:7" ht="15" thickBot="1" x14ac:dyDescent="0.35">
      <c r="B767" s="170">
        <v>43684.645833333336</v>
      </c>
      <c r="C767" s="238">
        <v>1434.3</v>
      </c>
      <c r="D767" s="241">
        <f t="shared" si="25"/>
        <v>-0.7324765919349423</v>
      </c>
      <c r="E767" s="241">
        <v>3.1823745410036403E-3</v>
      </c>
      <c r="F767" s="242">
        <v>763</v>
      </c>
      <c r="G767" s="243">
        <f t="shared" ca="1" si="26"/>
        <v>1.4714523730282413E-2</v>
      </c>
    </row>
    <row r="768" spans="2:7" ht="15" thickBot="1" x14ac:dyDescent="0.35">
      <c r="B768" s="170">
        <v>45544.645833333336</v>
      </c>
      <c r="C768" s="238">
        <v>5361.4</v>
      </c>
      <c r="D768" s="241">
        <f t="shared" si="25"/>
        <v>0.40791218602696905</v>
      </c>
      <c r="E768" s="241">
        <v>3.1808996332609836E-3</v>
      </c>
      <c r="F768" s="242">
        <v>764</v>
      </c>
      <c r="G768" s="243">
        <f t="shared" ca="1" si="26"/>
        <v>5.7621844197315152E-3</v>
      </c>
    </row>
    <row r="769" spans="2:7" ht="15" thickBot="1" x14ac:dyDescent="0.35">
      <c r="B769" s="170">
        <v>45183.645833333336</v>
      </c>
      <c r="C769" s="238">
        <v>3808.05</v>
      </c>
      <c r="D769" s="241">
        <f t="shared" si="25"/>
        <v>0.65975112777039258</v>
      </c>
      <c r="E769" s="241">
        <v>3.174394099051681E-3</v>
      </c>
      <c r="F769" s="242">
        <v>765</v>
      </c>
      <c r="G769" s="243">
        <f t="shared" ca="1" si="26"/>
        <v>-1.2506899495824583E-2</v>
      </c>
    </row>
    <row r="770" spans="2:7" ht="15" thickBot="1" x14ac:dyDescent="0.35">
      <c r="B770" s="170">
        <v>43867.645833333336</v>
      </c>
      <c r="C770" s="238">
        <v>2294.35</v>
      </c>
      <c r="D770" s="241">
        <f t="shared" si="25"/>
        <v>-0.34435903297708181</v>
      </c>
      <c r="E770" s="241">
        <v>3.126093039524349E-3</v>
      </c>
      <c r="F770" s="242">
        <v>766</v>
      </c>
      <c r="G770" s="243">
        <f t="shared" ca="1" si="26"/>
        <v>-2.5358566574910046E-2</v>
      </c>
    </row>
    <row r="771" spans="2:7" ht="15" thickBot="1" x14ac:dyDescent="0.35">
      <c r="B771" s="170">
        <v>44404.645833333336</v>
      </c>
      <c r="C771" s="238">
        <v>3499.4</v>
      </c>
      <c r="D771" s="241">
        <f t="shared" si="25"/>
        <v>-7.8329119258322824E-2</v>
      </c>
      <c r="E771" s="241">
        <v>3.1245520997563682E-3</v>
      </c>
      <c r="F771" s="242">
        <v>767</v>
      </c>
      <c r="G771" s="243">
        <f t="shared" ca="1" si="26"/>
        <v>-2.1047294524924133E-2</v>
      </c>
    </row>
    <row r="772" spans="2:7" ht="15" thickBot="1" x14ac:dyDescent="0.35">
      <c r="B772" s="170">
        <v>45175.645833333336</v>
      </c>
      <c r="C772" s="238">
        <v>3796.8</v>
      </c>
      <c r="D772" s="241">
        <f t="shared" si="25"/>
        <v>-1.2882343000506903E-2</v>
      </c>
      <c r="E772" s="241">
        <v>3.0910676071967116E-3</v>
      </c>
      <c r="F772" s="242">
        <v>768</v>
      </c>
      <c r="G772" s="243">
        <f t="shared" ca="1" si="26"/>
        <v>-3.0322362783248121E-2</v>
      </c>
    </row>
    <row r="773" spans="2:7" ht="15" thickBot="1" x14ac:dyDescent="0.35">
      <c r="B773" s="170">
        <v>45355.645833333336</v>
      </c>
      <c r="C773" s="238">
        <v>3846.35</v>
      </c>
      <c r="D773" s="241">
        <f t="shared" ref="D773:D836" si="27">(C773-C774)/C774</f>
        <v>0.31324046570384778</v>
      </c>
      <c r="E773" s="241">
        <v>3.0903638023210092E-3</v>
      </c>
      <c r="F773" s="242">
        <v>769</v>
      </c>
      <c r="G773" s="243">
        <f t="shared" ca="1" si="26"/>
        <v>-1.6506779999691627E-2</v>
      </c>
    </row>
    <row r="774" spans="2:7" ht="15" thickBot="1" x14ac:dyDescent="0.35">
      <c r="B774" s="170">
        <v>44301.645833333336</v>
      </c>
      <c r="C774" s="238">
        <v>2928.9</v>
      </c>
      <c r="D774" s="241">
        <f t="shared" si="27"/>
        <v>-0.27112781206450326</v>
      </c>
      <c r="E774" s="241">
        <v>3.0822973389499639E-3</v>
      </c>
      <c r="F774" s="242">
        <v>770</v>
      </c>
      <c r="G774" s="243">
        <f t="shared" ref="G774:G837" ca="1" si="28">_xlfn.NORM.INV(RAND(),$M$7,$M$8)</f>
        <v>6.489599217468776E-3</v>
      </c>
    </row>
    <row r="775" spans="2:7" ht="15" thickBot="1" x14ac:dyDescent="0.35">
      <c r="B775" s="170">
        <v>45782.645833333336</v>
      </c>
      <c r="C775" s="239">
        <v>4018.4</v>
      </c>
      <c r="D775" s="241">
        <f t="shared" si="27"/>
        <v>2.2165212519010651</v>
      </c>
      <c r="E775" s="241">
        <v>3.0703177654077987E-3</v>
      </c>
      <c r="F775" s="242">
        <v>771</v>
      </c>
      <c r="G775" s="243">
        <f t="shared" ca="1" si="28"/>
        <v>2.4700041817463537E-2</v>
      </c>
    </row>
    <row r="776" spans="2:7" ht="15" thickBot="1" x14ac:dyDescent="0.35">
      <c r="B776" s="170">
        <v>43110.645833333336</v>
      </c>
      <c r="C776" s="238">
        <v>1249.3</v>
      </c>
      <c r="D776" s="241">
        <f t="shared" si="27"/>
        <v>-0.67742934972049729</v>
      </c>
      <c r="E776" s="241">
        <v>3.0509835407466516E-3</v>
      </c>
      <c r="F776" s="242">
        <v>772</v>
      </c>
      <c r="G776" s="243">
        <f t="shared" ca="1" si="28"/>
        <v>7.3795714700107861E-3</v>
      </c>
    </row>
    <row r="777" spans="2:7" ht="15" thickBot="1" x14ac:dyDescent="0.35">
      <c r="B777" s="170">
        <v>45203.645833333336</v>
      </c>
      <c r="C777" s="238">
        <v>3872.95</v>
      </c>
      <c r="D777" s="241">
        <f t="shared" si="27"/>
        <v>1.1244377811094218E-3</v>
      </c>
      <c r="E777" s="241">
        <v>2.9651689757865642E-3</v>
      </c>
      <c r="F777" s="242">
        <v>773</v>
      </c>
      <c r="G777" s="243">
        <f t="shared" ca="1" si="28"/>
        <v>2.2480888294408856E-2</v>
      </c>
    </row>
    <row r="778" spans="2:7" ht="15" thickBot="1" x14ac:dyDescent="0.35">
      <c r="B778" s="170">
        <v>45110.645833333336</v>
      </c>
      <c r="C778" s="238">
        <v>3868.6</v>
      </c>
      <c r="D778" s="241">
        <f t="shared" si="27"/>
        <v>-5.0125836351359671E-2</v>
      </c>
      <c r="E778" s="241">
        <v>2.9555117701960208E-3</v>
      </c>
      <c r="F778" s="242">
        <v>774</v>
      </c>
      <c r="G778" s="243">
        <f t="shared" ca="1" si="28"/>
        <v>-7.0374816223473203E-3</v>
      </c>
    </row>
    <row r="779" spans="2:7" ht="15" thickBot="1" x14ac:dyDescent="0.35">
      <c r="B779" s="170">
        <v>44928.645833333336</v>
      </c>
      <c r="C779" s="238">
        <v>4072.75</v>
      </c>
      <c r="D779" s="241">
        <f t="shared" si="27"/>
        <v>2.6942182102423134E-2</v>
      </c>
      <c r="E779" s="241">
        <v>2.9180723484941535E-3</v>
      </c>
      <c r="F779" s="242">
        <v>775</v>
      </c>
      <c r="G779" s="243">
        <f t="shared" ca="1" si="28"/>
        <v>-3.5499594392265153E-2</v>
      </c>
    </row>
    <row r="780" spans="2:7" ht="15" thickBot="1" x14ac:dyDescent="0.35">
      <c r="B780" s="170">
        <v>45280.645833333336</v>
      </c>
      <c r="C780" s="238">
        <v>3965.9</v>
      </c>
      <c r="D780" s="241">
        <f t="shared" si="27"/>
        <v>0.24363818811834625</v>
      </c>
      <c r="E780" s="241">
        <v>2.8827917562271061E-3</v>
      </c>
      <c r="F780" s="242">
        <v>776</v>
      </c>
      <c r="G780" s="243">
        <f t="shared" ca="1" si="28"/>
        <v>3.7700306728753058E-4</v>
      </c>
    </row>
    <row r="781" spans="2:7" ht="15" thickBot="1" x14ac:dyDescent="0.35">
      <c r="B781" s="170">
        <v>44354.645833333336</v>
      </c>
      <c r="C781" s="238">
        <v>3188.95</v>
      </c>
      <c r="D781" s="241">
        <f t="shared" si="27"/>
        <v>-9.1286011455276081E-2</v>
      </c>
      <c r="E781" s="241">
        <v>2.8775394678909479E-3</v>
      </c>
      <c r="F781" s="242">
        <v>777</v>
      </c>
      <c r="G781" s="243">
        <f t="shared" ca="1" si="28"/>
        <v>4.1183791685013172E-3</v>
      </c>
    </row>
    <row r="782" spans="2:7" ht="15" thickBot="1" x14ac:dyDescent="0.35">
      <c r="B782" s="170">
        <v>45152.645833333336</v>
      </c>
      <c r="C782" s="238">
        <v>3509.3</v>
      </c>
      <c r="D782" s="241">
        <f t="shared" si="27"/>
        <v>-8.8836671902789766E-2</v>
      </c>
      <c r="E782" s="241">
        <v>2.8433852001086696E-3</v>
      </c>
      <c r="F782" s="242">
        <v>778</v>
      </c>
      <c r="G782" s="243">
        <f t="shared" ca="1" si="28"/>
        <v>-2.4279048204581963E-2</v>
      </c>
    </row>
    <row r="783" spans="2:7" ht="15" thickBot="1" x14ac:dyDescent="0.35">
      <c r="B783" s="170">
        <v>45344.645833333336</v>
      </c>
      <c r="C783" s="238">
        <v>3851.45</v>
      </c>
      <c r="D783" s="241">
        <f t="shared" si="27"/>
        <v>1.4558903236091183</v>
      </c>
      <c r="E783" s="241">
        <v>2.8381351629322977E-3</v>
      </c>
      <c r="F783" s="242">
        <v>779</v>
      </c>
      <c r="G783" s="243">
        <f t="shared" ca="1" si="28"/>
        <v>2.9194321875305202E-3</v>
      </c>
    </row>
    <row r="784" spans="2:7" ht="15" thickBot="1" x14ac:dyDescent="0.35">
      <c r="B784" s="170">
        <v>43287.645833333336</v>
      </c>
      <c r="C784" s="238">
        <v>1568.25</v>
      </c>
      <c r="D784" s="241">
        <f t="shared" si="27"/>
        <v>-4.9890948745910525E-2</v>
      </c>
      <c r="E784" s="241">
        <v>2.8135690763181195E-3</v>
      </c>
      <c r="F784" s="242">
        <v>780</v>
      </c>
      <c r="G784" s="243">
        <f t="shared" ca="1" si="28"/>
        <v>-2.9730462872371795E-2</v>
      </c>
    </row>
    <row r="785" spans="2:7" ht="15" thickBot="1" x14ac:dyDescent="0.35">
      <c r="B785" s="170">
        <v>43453.645833333336</v>
      </c>
      <c r="C785" s="238">
        <v>1650.6</v>
      </c>
      <c r="D785" s="241">
        <f t="shared" si="27"/>
        <v>0.10581851070244183</v>
      </c>
      <c r="E785" s="241">
        <v>2.7337342810278844E-3</v>
      </c>
      <c r="F785" s="242">
        <v>781</v>
      </c>
      <c r="G785" s="243">
        <f t="shared" ca="1" si="28"/>
        <v>6.5927752364004751E-3</v>
      </c>
    </row>
    <row r="786" spans="2:7" ht="15" thickBot="1" x14ac:dyDescent="0.35">
      <c r="B786" s="170">
        <v>43208.645833333336</v>
      </c>
      <c r="C786" s="238">
        <v>1492.65</v>
      </c>
      <c r="D786" s="241">
        <f t="shared" si="27"/>
        <v>4.8282885034061376E-2</v>
      </c>
      <c r="E786" s="241">
        <v>2.686998287038592E-3</v>
      </c>
      <c r="F786" s="242">
        <v>782</v>
      </c>
      <c r="G786" s="243">
        <f t="shared" ca="1" si="28"/>
        <v>-2.711619056760391E-2</v>
      </c>
    </row>
    <row r="787" spans="2:7" ht="15" thickBot="1" x14ac:dyDescent="0.35">
      <c r="B787" s="170">
        <v>43670.645833333336</v>
      </c>
      <c r="C787" s="238">
        <v>1423.9</v>
      </c>
      <c r="D787" s="241">
        <f t="shared" si="27"/>
        <v>8.6531858069439221E-2</v>
      </c>
      <c r="E787" s="241">
        <v>2.640566137379854E-3</v>
      </c>
      <c r="F787" s="242">
        <v>783</v>
      </c>
      <c r="G787" s="243">
        <f t="shared" ca="1" si="28"/>
        <v>3.2301320203621882E-3</v>
      </c>
    </row>
    <row r="788" spans="2:7" ht="15" thickBot="1" x14ac:dyDescent="0.35">
      <c r="B788" s="170">
        <v>43613.645833333336</v>
      </c>
      <c r="C788" s="238">
        <v>1310.5</v>
      </c>
      <c r="D788" s="241">
        <f t="shared" si="27"/>
        <v>-0.35487840897902928</v>
      </c>
      <c r="E788" s="241">
        <v>2.6395317700164843E-3</v>
      </c>
      <c r="F788" s="242">
        <v>784</v>
      </c>
      <c r="G788" s="243">
        <f t="shared" ca="1" si="28"/>
        <v>-1.5098659299043629E-2</v>
      </c>
    </row>
    <row r="789" spans="2:7" ht="15" thickBot="1" x14ac:dyDescent="0.35">
      <c r="B789" s="170">
        <v>44036.645833333336</v>
      </c>
      <c r="C789" s="238">
        <v>2031.4</v>
      </c>
      <c r="D789" s="241">
        <f t="shared" si="27"/>
        <v>-0.45500885335622687</v>
      </c>
      <c r="E789" s="241">
        <v>2.615862988006605E-3</v>
      </c>
      <c r="F789" s="242">
        <v>785</v>
      </c>
      <c r="G789" s="243">
        <f t="shared" ca="1" si="28"/>
        <v>-6.8836303593837701E-3</v>
      </c>
    </row>
    <row r="790" spans="2:7" ht="15" thickBot="1" x14ac:dyDescent="0.35">
      <c r="B790" s="170">
        <v>45328.645833333336</v>
      </c>
      <c r="C790" s="238">
        <v>3727.4</v>
      </c>
      <c r="D790" s="241">
        <f t="shared" si="27"/>
        <v>1.4427550953535617</v>
      </c>
      <c r="E790" s="241">
        <v>2.6091400597144129E-3</v>
      </c>
      <c r="F790" s="242">
        <v>786</v>
      </c>
      <c r="G790" s="243">
        <f t="shared" ca="1" si="28"/>
        <v>-9.320924419746952E-3</v>
      </c>
    </row>
    <row r="791" spans="2:7" ht="15" thickBot="1" x14ac:dyDescent="0.35">
      <c r="B791" s="170">
        <v>43283.645833333336</v>
      </c>
      <c r="C791" s="238">
        <v>1525.9</v>
      </c>
      <c r="D791" s="241">
        <f t="shared" si="27"/>
        <v>-0.56857090348756656</v>
      </c>
      <c r="E791" s="241">
        <v>2.5953546437136868E-3</v>
      </c>
      <c r="F791" s="242">
        <v>787</v>
      </c>
      <c r="G791" s="243">
        <f t="shared" ca="1" si="28"/>
        <v>-2.9022660130276771E-2</v>
      </c>
    </row>
    <row r="792" spans="2:7" ht="15" thickBot="1" x14ac:dyDescent="0.35">
      <c r="B792" s="170">
        <v>45082.645833333336</v>
      </c>
      <c r="C792" s="238">
        <v>3536.85</v>
      </c>
      <c r="D792" s="241">
        <f t="shared" si="27"/>
        <v>-2.3751690634574562E-2</v>
      </c>
      <c r="E792" s="241">
        <v>2.579547870455647E-3</v>
      </c>
      <c r="F792" s="242">
        <v>788</v>
      </c>
      <c r="G792" s="243">
        <f t="shared" ca="1" si="28"/>
        <v>-1.6496690092370137E-2</v>
      </c>
    </row>
    <row r="793" spans="2:7" ht="15" thickBot="1" x14ac:dyDescent="0.35">
      <c r="B793" s="170">
        <v>45617.645833333336</v>
      </c>
      <c r="C793" s="238">
        <v>3622.9</v>
      </c>
      <c r="D793" s="241">
        <f t="shared" si="27"/>
        <v>-0.21452188147040016</v>
      </c>
      <c r="E793" s="241">
        <v>2.5597387682813775E-3</v>
      </c>
      <c r="F793" s="242">
        <v>789</v>
      </c>
      <c r="G793" s="243">
        <f t="shared" ca="1" si="28"/>
        <v>2.5697978825142524E-2</v>
      </c>
    </row>
    <row r="794" spans="2:7" ht="15" thickBot="1" x14ac:dyDescent="0.35">
      <c r="B794" s="170">
        <v>45415.645833333336</v>
      </c>
      <c r="C794" s="238">
        <v>4612.3500000000004</v>
      </c>
      <c r="D794" s="241">
        <f t="shared" si="27"/>
        <v>0.38767374691618028</v>
      </c>
      <c r="E794" s="241">
        <v>2.5540146937355996E-3</v>
      </c>
      <c r="F794" s="242">
        <v>790</v>
      </c>
      <c r="G794" s="243">
        <f t="shared" ca="1" si="28"/>
        <v>1.3989404188940123E-2</v>
      </c>
    </row>
    <row r="795" spans="2:7" ht="15" thickBot="1" x14ac:dyDescent="0.35">
      <c r="B795" s="170">
        <v>44371.645833333336</v>
      </c>
      <c r="C795" s="238">
        <v>3323.8</v>
      </c>
      <c r="D795" s="241">
        <f t="shared" si="27"/>
        <v>-0.19692668253258758</v>
      </c>
      <c r="E795" s="241">
        <v>2.5487505089961159E-3</v>
      </c>
      <c r="F795" s="242">
        <v>791</v>
      </c>
      <c r="G795" s="243">
        <f t="shared" ca="1" si="28"/>
        <v>6.658950494354306E-3</v>
      </c>
    </row>
    <row r="796" spans="2:7" ht="15" thickBot="1" x14ac:dyDescent="0.35">
      <c r="B796" s="170">
        <v>44875.645833333336</v>
      </c>
      <c r="C796" s="238">
        <v>4138.8500000000004</v>
      </c>
      <c r="D796" s="241">
        <f t="shared" si="27"/>
        <v>-2.0680272108843451E-2</v>
      </c>
      <c r="E796" s="241">
        <v>2.5433890052926713E-3</v>
      </c>
      <c r="F796" s="242">
        <v>792</v>
      </c>
      <c r="G796" s="243">
        <f t="shared" ca="1" si="28"/>
        <v>5.0995473894483471E-3</v>
      </c>
    </row>
    <row r="797" spans="2:7" ht="15" thickBot="1" x14ac:dyDescent="0.35">
      <c r="B797" s="170">
        <v>44854.645833333336</v>
      </c>
      <c r="C797" s="238">
        <v>4226.25</v>
      </c>
      <c r="D797" s="241">
        <f t="shared" si="27"/>
        <v>0.25553310953328784</v>
      </c>
      <c r="E797" s="241">
        <v>2.5382215843721026E-3</v>
      </c>
      <c r="F797" s="242">
        <v>793</v>
      </c>
      <c r="G797" s="243">
        <f t="shared" ca="1" si="28"/>
        <v>-6.8955604267475698E-3</v>
      </c>
    </row>
    <row r="798" spans="2:7" ht="15" thickBot="1" x14ac:dyDescent="0.35">
      <c r="B798" s="170">
        <v>45005.645833333336</v>
      </c>
      <c r="C798" s="238">
        <v>3366.1</v>
      </c>
      <c r="D798" s="241">
        <f t="shared" si="27"/>
        <v>5.2893337503909885E-2</v>
      </c>
      <c r="E798" s="241">
        <v>2.5315701691684539E-3</v>
      </c>
      <c r="F798" s="242">
        <v>794</v>
      </c>
      <c r="G798" s="243">
        <f t="shared" ca="1" si="28"/>
        <v>1.6006485614393291E-2</v>
      </c>
    </row>
    <row r="799" spans="2:7" ht="15" thickBot="1" x14ac:dyDescent="0.35">
      <c r="B799" s="170">
        <v>44351.645833333336</v>
      </c>
      <c r="C799" s="238">
        <v>3197</v>
      </c>
      <c r="D799" s="241">
        <f t="shared" si="27"/>
        <v>-0.10858927351559337</v>
      </c>
      <c r="E799" s="241">
        <v>2.5243418680130393E-3</v>
      </c>
      <c r="F799" s="242">
        <v>795</v>
      </c>
      <c r="G799" s="243">
        <f t="shared" ca="1" si="28"/>
        <v>1.5053385143763899E-2</v>
      </c>
    </row>
    <row r="800" spans="2:7" ht="15" thickBot="1" x14ac:dyDescent="0.35">
      <c r="B800" s="170">
        <v>44706.645833333336</v>
      </c>
      <c r="C800" s="238">
        <v>3586.45</v>
      </c>
      <c r="D800" s="241">
        <f t="shared" si="27"/>
        <v>0.15548431786329878</v>
      </c>
      <c r="E800" s="241">
        <v>2.5157584312848541E-3</v>
      </c>
      <c r="F800" s="242">
        <v>796</v>
      </c>
      <c r="G800" s="243">
        <f t="shared" ca="1" si="28"/>
        <v>4.5650936594355063E-3</v>
      </c>
    </row>
    <row r="801" spans="2:7" ht="15" thickBot="1" x14ac:dyDescent="0.35">
      <c r="B801" s="170">
        <v>44341.645833333336</v>
      </c>
      <c r="C801" s="238">
        <v>3103.85</v>
      </c>
      <c r="D801" s="241">
        <f t="shared" si="27"/>
        <v>0.98417822668286137</v>
      </c>
      <c r="E801" s="241">
        <v>2.4707706220528686E-3</v>
      </c>
      <c r="F801" s="242">
        <v>797</v>
      </c>
      <c r="G801" s="243">
        <f t="shared" ca="1" si="28"/>
        <v>-1.1222559472867367E-2</v>
      </c>
    </row>
    <row r="802" spans="2:7" ht="15" thickBot="1" x14ac:dyDescent="0.35">
      <c r="B802" s="170">
        <v>43348.645833333336</v>
      </c>
      <c r="C802" s="238">
        <v>1564.3</v>
      </c>
      <c r="D802" s="241">
        <f t="shared" si="27"/>
        <v>0.19681726024253091</v>
      </c>
      <c r="E802" s="241">
        <v>2.435116949695581E-3</v>
      </c>
      <c r="F802" s="242">
        <v>798</v>
      </c>
      <c r="G802" s="243">
        <f t="shared" ca="1" si="28"/>
        <v>-8.0577022225494285E-3</v>
      </c>
    </row>
    <row r="803" spans="2:7" ht="15" thickBot="1" x14ac:dyDescent="0.35">
      <c r="B803" s="170">
        <v>43614.645833333336</v>
      </c>
      <c r="C803" s="238">
        <v>1307.05</v>
      </c>
      <c r="D803" s="241">
        <f t="shared" si="27"/>
        <v>-0.1262158638900959</v>
      </c>
      <c r="E803" s="241">
        <v>2.4158294347725005E-3</v>
      </c>
      <c r="F803" s="242">
        <v>799</v>
      </c>
      <c r="G803" s="243">
        <f t="shared" ca="1" si="28"/>
        <v>-1.4427245446873958E-2</v>
      </c>
    </row>
    <row r="804" spans="2:7" ht="15" thickBot="1" x14ac:dyDescent="0.35">
      <c r="B804" s="170">
        <v>43222.645833333336</v>
      </c>
      <c r="C804" s="238">
        <v>1495.85</v>
      </c>
      <c r="D804" s="241">
        <f t="shared" si="27"/>
        <v>-0.69807341023544967</v>
      </c>
      <c r="E804" s="241">
        <v>2.3788782416403905E-3</v>
      </c>
      <c r="F804" s="242">
        <v>800</v>
      </c>
      <c r="G804" s="243">
        <f t="shared" ca="1" si="28"/>
        <v>3.145338529958451E-2</v>
      </c>
    </row>
    <row r="805" spans="2:7" ht="15" thickBot="1" x14ac:dyDescent="0.35">
      <c r="B805" s="170">
        <v>45566.645833333336</v>
      </c>
      <c r="C805" s="238">
        <v>4954.3500000000004</v>
      </c>
      <c r="D805" s="241">
        <f t="shared" si="27"/>
        <v>1.709515996718622</v>
      </c>
      <c r="E805" s="241">
        <v>2.3772913041718931E-3</v>
      </c>
      <c r="F805" s="242">
        <v>801</v>
      </c>
      <c r="G805" s="243">
        <f t="shared" ca="1" si="28"/>
        <v>-9.432725416686211E-3</v>
      </c>
    </row>
    <row r="806" spans="2:7" ht="15" thickBot="1" x14ac:dyDescent="0.35">
      <c r="B806" s="170">
        <v>43831.645833333336</v>
      </c>
      <c r="C806" s="238">
        <v>1828.5</v>
      </c>
      <c r="D806" s="241">
        <f t="shared" si="27"/>
        <v>-0.20344151600958396</v>
      </c>
      <c r="E806" s="241">
        <v>2.3571976756934297E-3</v>
      </c>
      <c r="F806" s="242">
        <v>802</v>
      </c>
      <c r="G806" s="243">
        <f t="shared" ca="1" si="28"/>
        <v>2.8131819167419279E-2</v>
      </c>
    </row>
    <row r="807" spans="2:7" ht="15" thickBot="1" x14ac:dyDescent="0.35">
      <c r="B807" s="170">
        <v>44014.645833333336</v>
      </c>
      <c r="C807" s="238">
        <v>2295.5</v>
      </c>
      <c r="D807" s="241">
        <f t="shared" si="27"/>
        <v>0.72444878488524944</v>
      </c>
      <c r="E807" s="241">
        <v>2.3360915223893234E-3</v>
      </c>
      <c r="F807" s="242">
        <v>803</v>
      </c>
      <c r="G807" s="243">
        <f t="shared" ca="1" si="28"/>
        <v>-2.2862643756413055E-3</v>
      </c>
    </row>
    <row r="808" spans="2:7" ht="15" thickBot="1" x14ac:dyDescent="0.35">
      <c r="B808" s="170">
        <v>43579.645833333336</v>
      </c>
      <c r="C808" s="238">
        <v>1331.15</v>
      </c>
      <c r="D808" s="241">
        <f t="shared" si="27"/>
        <v>-0.6195844764517604</v>
      </c>
      <c r="E808" s="241">
        <v>2.3342494634992182E-3</v>
      </c>
      <c r="F808" s="242">
        <v>804</v>
      </c>
      <c r="G808" s="243">
        <f t="shared" ca="1" si="28"/>
        <v>3.9787396870474721E-3</v>
      </c>
    </row>
    <row r="809" spans="2:7" ht="15" thickBot="1" x14ac:dyDescent="0.35">
      <c r="B809" s="170">
        <v>44981.645833333336</v>
      </c>
      <c r="C809" s="238">
        <v>3499.2</v>
      </c>
      <c r="D809" s="241">
        <f t="shared" si="27"/>
        <v>0.5571377714489143</v>
      </c>
      <c r="E809" s="241">
        <v>2.2627674505197592E-3</v>
      </c>
      <c r="F809" s="242">
        <v>805</v>
      </c>
      <c r="G809" s="243">
        <f t="shared" ca="1" si="28"/>
        <v>-2.5031547909166989E-2</v>
      </c>
    </row>
    <row r="810" spans="2:7" ht="15" thickBot="1" x14ac:dyDescent="0.35">
      <c r="B810" s="170">
        <v>43895.645833333336</v>
      </c>
      <c r="C810" s="238">
        <v>2247.1999999999998</v>
      </c>
      <c r="D810" s="241">
        <f t="shared" si="27"/>
        <v>0.77616187164084705</v>
      </c>
      <c r="E810" s="241">
        <v>2.2523024775326036E-3</v>
      </c>
      <c r="F810" s="242">
        <v>806</v>
      </c>
      <c r="G810" s="243">
        <f t="shared" ca="1" si="28"/>
        <v>2.1917142347514469E-2</v>
      </c>
    </row>
    <row r="811" spans="2:7" ht="15" thickBot="1" x14ac:dyDescent="0.35">
      <c r="B811" s="170">
        <v>43587.645833333336</v>
      </c>
      <c r="C811" s="238">
        <v>1265.2</v>
      </c>
      <c r="D811" s="241">
        <f t="shared" si="27"/>
        <v>-0.72889055552579418</v>
      </c>
      <c r="E811" s="241">
        <v>2.1783040912511384E-3</v>
      </c>
      <c r="F811" s="242">
        <v>807</v>
      </c>
      <c r="G811" s="243">
        <f t="shared" ca="1" si="28"/>
        <v>-2.3166517975703103E-2</v>
      </c>
    </row>
    <row r="812" spans="2:7" ht="15" thickBot="1" x14ac:dyDescent="0.35">
      <c r="B812" s="170">
        <v>45455.645833333336</v>
      </c>
      <c r="C812" s="238">
        <v>4666.75</v>
      </c>
      <c r="D812" s="241">
        <f t="shared" si="27"/>
        <v>0.24954816252761228</v>
      </c>
      <c r="E812" s="241">
        <v>2.1689411916292539E-3</v>
      </c>
      <c r="F812" s="242">
        <v>808</v>
      </c>
      <c r="G812" s="243">
        <f t="shared" ca="1" si="28"/>
        <v>-7.567482198701077E-4</v>
      </c>
    </row>
    <row r="813" spans="2:7" ht="15" thickBot="1" x14ac:dyDescent="0.35">
      <c r="B813" s="170">
        <v>44718.645833333336</v>
      </c>
      <c r="C813" s="238">
        <v>3734.75</v>
      </c>
      <c r="D813" s="241">
        <f t="shared" si="27"/>
        <v>1.8735477417865662</v>
      </c>
      <c r="E813" s="241">
        <v>2.1600880135240782E-3</v>
      </c>
      <c r="F813" s="242">
        <v>809</v>
      </c>
      <c r="G813" s="243">
        <f t="shared" ca="1" si="28"/>
        <v>-2.474469009633402E-2</v>
      </c>
    </row>
    <row r="814" spans="2:7" ht="15" thickBot="1" x14ac:dyDescent="0.35">
      <c r="B814" s="170">
        <v>43626.645833333336</v>
      </c>
      <c r="C814" s="238">
        <v>1299.7</v>
      </c>
      <c r="D814" s="241">
        <f t="shared" si="27"/>
        <v>-0.61733011423860551</v>
      </c>
      <c r="E814" s="241">
        <v>2.1589945254067038E-3</v>
      </c>
      <c r="F814" s="242">
        <v>810</v>
      </c>
      <c r="G814" s="243">
        <f t="shared" ca="1" si="28"/>
        <v>-2.9659707513733466E-2</v>
      </c>
    </row>
    <row r="815" spans="2:7" ht="15" thickBot="1" x14ac:dyDescent="0.35">
      <c r="B815" s="170">
        <v>44384.645833333336</v>
      </c>
      <c r="C815" s="238">
        <v>3396.4</v>
      </c>
      <c r="D815" s="241">
        <f t="shared" si="27"/>
        <v>-0.24660056343027001</v>
      </c>
      <c r="E815" s="241">
        <v>2.1243951374956549E-3</v>
      </c>
      <c r="F815" s="242">
        <v>811</v>
      </c>
      <c r="G815" s="243">
        <f t="shared" ca="1" si="28"/>
        <v>-3.7849262106519913E-2</v>
      </c>
    </row>
    <row r="816" spans="2:7" ht="15" thickBot="1" x14ac:dyDescent="0.35">
      <c r="B816" s="170">
        <v>45770.645833333336</v>
      </c>
      <c r="C816" s="239">
        <v>4508.1000000000004</v>
      </c>
      <c r="D816" s="241">
        <f t="shared" si="27"/>
        <v>0.23489289431874225</v>
      </c>
      <c r="E816" s="241">
        <v>2.0672179247799819E-3</v>
      </c>
      <c r="F816" s="242">
        <v>812</v>
      </c>
      <c r="G816" s="243">
        <f t="shared" ca="1" si="28"/>
        <v>-2.376320013355511E-2</v>
      </c>
    </row>
    <row r="817" spans="2:7" ht="15" thickBot="1" x14ac:dyDescent="0.35">
      <c r="B817" s="170">
        <v>44426.645833333336</v>
      </c>
      <c r="C817" s="238">
        <v>3650.6</v>
      </c>
      <c r="D817" s="241">
        <f t="shared" si="27"/>
        <v>-0.10566157916656463</v>
      </c>
      <c r="E817" s="241">
        <v>2.0586862836595209E-3</v>
      </c>
      <c r="F817" s="242">
        <v>813</v>
      </c>
      <c r="G817" s="243">
        <f t="shared" ca="1" si="28"/>
        <v>-1.3756612833350116E-2</v>
      </c>
    </row>
    <row r="818" spans="2:7" ht="15" thickBot="1" x14ac:dyDescent="0.35">
      <c r="B818" s="170">
        <v>44596.645833333336</v>
      </c>
      <c r="C818" s="238">
        <v>4081.9</v>
      </c>
      <c r="D818" s="241">
        <f t="shared" si="27"/>
        <v>0.11050956280436387</v>
      </c>
      <c r="E818" s="241">
        <v>2.0498091345386477E-3</v>
      </c>
      <c r="F818" s="242">
        <v>814</v>
      </c>
      <c r="G818" s="243">
        <f t="shared" ca="1" si="28"/>
        <v>3.0074885131632464E-2</v>
      </c>
    </row>
    <row r="819" spans="2:7" ht="15" thickBot="1" x14ac:dyDescent="0.35">
      <c r="B819" s="170">
        <v>45128.645833333336</v>
      </c>
      <c r="C819" s="238">
        <v>3675.7</v>
      </c>
      <c r="D819" s="241">
        <f t="shared" si="27"/>
        <v>1.4105321834934583</v>
      </c>
      <c r="E819" s="241">
        <v>2.0445995311051744E-3</v>
      </c>
      <c r="F819" s="242">
        <v>815</v>
      </c>
      <c r="G819" s="243">
        <f t="shared" ca="1" si="28"/>
        <v>-2.0929113525150547E-3</v>
      </c>
    </row>
    <row r="820" spans="2:7" ht="15" thickBot="1" x14ac:dyDescent="0.35">
      <c r="B820" s="170">
        <v>43712.645833333336</v>
      </c>
      <c r="C820" s="238">
        <v>1524.85</v>
      </c>
      <c r="D820" s="241">
        <f t="shared" si="27"/>
        <v>-0.54038942640986221</v>
      </c>
      <c r="E820" s="241">
        <v>2.0371283062263243E-3</v>
      </c>
      <c r="F820" s="242">
        <v>816</v>
      </c>
      <c r="G820" s="243">
        <f t="shared" ca="1" si="28"/>
        <v>-1.0985495469051084E-2</v>
      </c>
    </row>
    <row r="821" spans="2:7" ht="15" thickBot="1" x14ac:dyDescent="0.35">
      <c r="B821" s="170">
        <v>44365.645833333336</v>
      </c>
      <c r="C821" s="238">
        <v>3317.7</v>
      </c>
      <c r="D821" s="241">
        <f t="shared" si="27"/>
        <v>1.1925783960611966</v>
      </c>
      <c r="E821" s="241">
        <v>2.0235578375112709E-3</v>
      </c>
      <c r="F821" s="242">
        <v>817</v>
      </c>
      <c r="G821" s="243">
        <f t="shared" ca="1" si="28"/>
        <v>2.6794510614041259E-3</v>
      </c>
    </row>
    <row r="822" spans="2:7" ht="15" thickBot="1" x14ac:dyDescent="0.35">
      <c r="B822" s="170">
        <v>43441.645833333336</v>
      </c>
      <c r="C822" s="238">
        <v>1513.15</v>
      </c>
      <c r="D822" s="241">
        <f t="shared" si="27"/>
        <v>-0.62731213516908446</v>
      </c>
      <c r="E822" s="241">
        <v>1.9533836577936997E-3</v>
      </c>
      <c r="F822" s="242">
        <v>818</v>
      </c>
      <c r="G822" s="243">
        <f t="shared" ca="1" si="28"/>
        <v>1.3403286312036562E-2</v>
      </c>
    </row>
    <row r="823" spans="2:7" ht="15" thickBot="1" x14ac:dyDescent="0.35">
      <c r="B823" s="170">
        <v>45589.645833333336</v>
      </c>
      <c r="C823" s="238">
        <v>4060.1</v>
      </c>
      <c r="D823" s="241">
        <f t="shared" si="27"/>
        <v>-7.2019564819893925E-2</v>
      </c>
      <c r="E823" s="241">
        <v>1.9495582646463874E-3</v>
      </c>
      <c r="F823" s="242">
        <v>819</v>
      </c>
      <c r="G823" s="243">
        <f t="shared" ca="1" si="28"/>
        <v>-3.7353583795719826E-2</v>
      </c>
    </row>
    <row r="824" spans="2:7" ht="15" thickBot="1" x14ac:dyDescent="0.35">
      <c r="B824" s="170">
        <v>45772.645833333336</v>
      </c>
      <c r="C824" s="239">
        <v>4375.2</v>
      </c>
      <c r="D824" s="241">
        <f t="shared" si="27"/>
        <v>1.3265534019302863</v>
      </c>
      <c r="E824" s="241">
        <v>1.9236053860949977E-3</v>
      </c>
      <c r="F824" s="242">
        <v>820</v>
      </c>
      <c r="G824" s="243">
        <f t="shared" ca="1" si="28"/>
        <v>2.0758946476390074E-2</v>
      </c>
    </row>
    <row r="825" spans="2:7" ht="15" thickBot="1" x14ac:dyDescent="0.35">
      <c r="B825" s="170">
        <v>43839.645833333336</v>
      </c>
      <c r="C825" s="238">
        <v>1880.55</v>
      </c>
      <c r="D825" s="241">
        <f t="shared" si="27"/>
        <v>-0.54241185487991816</v>
      </c>
      <c r="E825" s="241">
        <v>1.9180052745144565E-3</v>
      </c>
      <c r="F825" s="242">
        <v>821</v>
      </c>
      <c r="G825" s="243">
        <f t="shared" ca="1" si="28"/>
        <v>2.0657673711395276E-3</v>
      </c>
    </row>
    <row r="826" spans="2:7" ht="15" thickBot="1" x14ac:dyDescent="0.35">
      <c r="B826" s="170">
        <v>44656.645833333336</v>
      </c>
      <c r="C826" s="238">
        <v>4109.7</v>
      </c>
      <c r="D826" s="241">
        <f t="shared" si="27"/>
        <v>-7.1509675549006743E-3</v>
      </c>
      <c r="E826" s="241">
        <v>1.9015578146712945E-3</v>
      </c>
      <c r="F826" s="242">
        <v>822</v>
      </c>
      <c r="G826" s="243">
        <f t="shared" ca="1" si="28"/>
        <v>3.6034451139488118E-2</v>
      </c>
    </row>
    <row r="827" spans="2:7" ht="15" thickBot="1" x14ac:dyDescent="0.35">
      <c r="B827" s="170">
        <v>45756.645833333336</v>
      </c>
      <c r="C827" s="239">
        <v>4139.3</v>
      </c>
      <c r="D827" s="241">
        <f t="shared" si="27"/>
        <v>0.11374796518276357</v>
      </c>
      <c r="E827" s="241">
        <v>1.8879341643471335E-3</v>
      </c>
      <c r="F827" s="242">
        <v>823</v>
      </c>
      <c r="G827" s="243">
        <f t="shared" ca="1" si="28"/>
        <v>-7.2826087686474117E-3</v>
      </c>
    </row>
    <row r="828" spans="2:7" ht="15" thickBot="1" x14ac:dyDescent="0.35">
      <c r="B828" s="170">
        <v>45624.645833333336</v>
      </c>
      <c r="C828" s="238">
        <v>3716.55</v>
      </c>
      <c r="D828" s="241">
        <f t="shared" si="27"/>
        <v>-2.6035797583794099E-2</v>
      </c>
      <c r="E828" s="241">
        <v>1.8735173603623768E-3</v>
      </c>
      <c r="F828" s="242">
        <v>824</v>
      </c>
      <c r="G828" s="243">
        <f t="shared" ca="1" si="28"/>
        <v>-2.557067592158872E-2</v>
      </c>
    </row>
    <row r="829" spans="2:7" ht="15" thickBot="1" x14ac:dyDescent="0.35">
      <c r="B829" s="170">
        <v>45113.645833333336</v>
      </c>
      <c r="C829" s="238">
        <v>3815.9</v>
      </c>
      <c r="D829" s="241">
        <f t="shared" si="27"/>
        <v>-5.9173056534924433E-2</v>
      </c>
      <c r="E829" s="241">
        <v>1.8246498378819028E-3</v>
      </c>
      <c r="F829" s="242">
        <v>825</v>
      </c>
      <c r="G829" s="243">
        <f t="shared" ca="1" si="28"/>
        <v>2.5997943655631439E-3</v>
      </c>
    </row>
    <row r="830" spans="2:7" ht="15" thickBot="1" x14ac:dyDescent="0.35">
      <c r="B830" s="170">
        <v>45855.645833333336</v>
      </c>
      <c r="C830" s="239">
        <v>4055.9</v>
      </c>
      <c r="D830" s="241">
        <f t="shared" si="27"/>
        <v>1.5816492154928234</v>
      </c>
      <c r="E830" s="241">
        <v>1.8030924270118515E-3</v>
      </c>
      <c r="F830" s="242">
        <v>826</v>
      </c>
      <c r="G830" s="243">
        <f t="shared" ca="1" si="28"/>
        <v>5.4938336930107747E-3</v>
      </c>
    </row>
    <row r="831" spans="2:7" ht="15" thickBot="1" x14ac:dyDescent="0.35">
      <c r="B831" s="170">
        <v>43719.645833333336</v>
      </c>
      <c r="C831" s="238">
        <v>1571.05</v>
      </c>
      <c r="D831" s="241">
        <f t="shared" si="27"/>
        <v>-0.53763409214650437</v>
      </c>
      <c r="E831" s="241">
        <v>1.7854296190020435E-3</v>
      </c>
      <c r="F831" s="242">
        <v>827</v>
      </c>
      <c r="G831" s="243">
        <f t="shared" ca="1" si="28"/>
        <v>-5.9637871457950062E-3</v>
      </c>
    </row>
    <row r="832" spans="2:7" ht="15" thickBot="1" x14ac:dyDescent="0.35">
      <c r="B832" s="170">
        <v>44994.645833333336</v>
      </c>
      <c r="C832" s="238">
        <v>3397.85</v>
      </c>
      <c r="D832" s="241">
        <f t="shared" si="27"/>
        <v>-3.7218066417318348E-2</v>
      </c>
      <c r="E832" s="241">
        <v>1.7689461503309404E-3</v>
      </c>
      <c r="F832" s="242">
        <v>828</v>
      </c>
      <c r="G832" s="243">
        <f t="shared" ca="1" si="28"/>
        <v>-3.1239034776318623E-2</v>
      </c>
    </row>
    <row r="833" spans="2:7" ht="15" thickBot="1" x14ac:dyDescent="0.35">
      <c r="B833" s="170">
        <v>44414.645833333336</v>
      </c>
      <c r="C833" s="238">
        <v>3529.2</v>
      </c>
      <c r="D833" s="241">
        <f t="shared" si="27"/>
        <v>1.4231521851076248</v>
      </c>
      <c r="E833" s="241">
        <v>1.759863752483627E-3</v>
      </c>
      <c r="F833" s="242">
        <v>829</v>
      </c>
      <c r="G833" s="243">
        <f t="shared" ca="1" si="28"/>
        <v>-8.3208047169379823E-3</v>
      </c>
    </row>
    <row r="834" spans="2:7" ht="15" thickBot="1" x14ac:dyDescent="0.35">
      <c r="B834" s="170">
        <v>43230.645833333336</v>
      </c>
      <c r="C834" s="238">
        <v>1456.45</v>
      </c>
      <c r="D834" s="241">
        <f t="shared" si="27"/>
        <v>-0.61656728402374661</v>
      </c>
      <c r="E834" s="241">
        <v>1.7539032945869417E-3</v>
      </c>
      <c r="F834" s="242">
        <v>830</v>
      </c>
      <c r="G834" s="243">
        <f t="shared" ca="1" si="28"/>
        <v>2.4164930247094936E-4</v>
      </c>
    </row>
    <row r="835" spans="2:7" ht="15" thickBot="1" x14ac:dyDescent="0.35">
      <c r="B835" s="170">
        <v>45243.645833333336</v>
      </c>
      <c r="C835" s="238">
        <v>3798.45</v>
      </c>
      <c r="D835" s="241">
        <f t="shared" si="27"/>
        <v>-0.18415541737813729</v>
      </c>
      <c r="E835" s="241">
        <v>1.7141576233863844E-3</v>
      </c>
      <c r="F835" s="242">
        <v>831</v>
      </c>
      <c r="G835" s="243">
        <f t="shared" ca="1" si="28"/>
        <v>-7.7511486165047624E-3</v>
      </c>
    </row>
    <row r="836" spans="2:7" ht="15" thickBot="1" x14ac:dyDescent="0.35">
      <c r="B836" s="170">
        <v>44552.645833333336</v>
      </c>
      <c r="C836" s="238">
        <v>4655.8500000000004</v>
      </c>
      <c r="D836" s="241">
        <f t="shared" si="27"/>
        <v>-3.1393353097206977E-2</v>
      </c>
      <c r="E836" s="241">
        <v>1.7104498805913914E-3</v>
      </c>
      <c r="F836" s="242">
        <v>832</v>
      </c>
      <c r="G836" s="243">
        <f t="shared" ca="1" si="28"/>
        <v>2.8503104547772204E-2</v>
      </c>
    </row>
    <row r="837" spans="2:7" ht="15" thickBot="1" x14ac:dyDescent="0.35">
      <c r="B837" s="170">
        <v>45420.645833333336</v>
      </c>
      <c r="C837" s="238">
        <v>4806.75</v>
      </c>
      <c r="D837" s="241">
        <f t="shared" ref="D837:D900" si="29">(C837-C838)/C838</f>
        <v>0.32759311173408084</v>
      </c>
      <c r="E837" s="241">
        <v>1.6879747428965156E-3</v>
      </c>
      <c r="F837" s="242">
        <v>833</v>
      </c>
      <c r="G837" s="243">
        <f t="shared" ca="1" si="28"/>
        <v>-5.0166930482138782E-3</v>
      </c>
    </row>
    <row r="838" spans="2:7" ht="15" thickBot="1" x14ac:dyDescent="0.35">
      <c r="B838" s="170">
        <v>45674.645833333336</v>
      </c>
      <c r="C838" s="238">
        <v>3620.65</v>
      </c>
      <c r="D838" s="241">
        <f t="shared" si="29"/>
        <v>-0.14589181665919657</v>
      </c>
      <c r="E838" s="241">
        <v>1.6460563808892226E-3</v>
      </c>
      <c r="F838" s="242">
        <v>834</v>
      </c>
      <c r="G838" s="243">
        <f t="shared" ref="G838:G901" ca="1" si="30">_xlfn.NORM.INV(RAND(),$M$7,$M$8)</f>
        <v>-2.7167090018281423E-2</v>
      </c>
    </row>
    <row r="839" spans="2:7" ht="15" thickBot="1" x14ac:dyDescent="0.35">
      <c r="B839" s="170">
        <v>44777.645833333336</v>
      </c>
      <c r="C839" s="238">
        <v>4239.1000000000004</v>
      </c>
      <c r="D839" s="241">
        <f t="shared" si="29"/>
        <v>1.6220696480484942</v>
      </c>
      <c r="E839" s="241">
        <v>1.6185244255420555E-3</v>
      </c>
      <c r="F839" s="242">
        <v>835</v>
      </c>
      <c r="G839" s="243">
        <f t="shared" ca="1" si="30"/>
        <v>-1.8079560833221774E-2</v>
      </c>
    </row>
    <row r="840" spans="2:7" ht="15" thickBot="1" x14ac:dyDescent="0.35">
      <c r="B840" s="170">
        <v>43329.645833333336</v>
      </c>
      <c r="C840" s="238">
        <v>1616.7</v>
      </c>
      <c r="D840" s="241">
        <f t="shared" si="29"/>
        <v>-0.59644042834677113</v>
      </c>
      <c r="E840" s="241">
        <v>1.5797788309636369E-3</v>
      </c>
      <c r="F840" s="242">
        <v>836</v>
      </c>
      <c r="G840" s="243">
        <f t="shared" ca="1" si="30"/>
        <v>1.0924660102524006E-2</v>
      </c>
    </row>
    <row r="841" spans="2:7" ht="15" thickBot="1" x14ac:dyDescent="0.35">
      <c r="B841" s="170">
        <v>45783.645833333336</v>
      </c>
      <c r="C841" s="239">
        <v>4006.1</v>
      </c>
      <c r="D841" s="241">
        <f t="shared" si="29"/>
        <v>-0.15651285938371809</v>
      </c>
      <c r="E841" s="241">
        <v>1.5750787539376286E-3</v>
      </c>
      <c r="F841" s="242">
        <v>837</v>
      </c>
      <c r="G841" s="243">
        <f t="shared" ca="1" si="30"/>
        <v>2.7284767895893611E-2</v>
      </c>
    </row>
    <row r="842" spans="2:7" ht="15" thickBot="1" x14ac:dyDescent="0.35">
      <c r="B842" s="170">
        <v>44545.645833333336</v>
      </c>
      <c r="C842" s="238">
        <v>4749.45</v>
      </c>
      <c r="D842" s="241">
        <f t="shared" si="29"/>
        <v>1.0700183054393304</v>
      </c>
      <c r="E842" s="241">
        <v>1.5499462263552969E-3</v>
      </c>
      <c r="F842" s="242">
        <v>838</v>
      </c>
      <c r="G842" s="243">
        <f t="shared" ca="1" si="30"/>
        <v>-2.2214330739467169E-2</v>
      </c>
    </row>
    <row r="843" spans="2:7" ht="15" thickBot="1" x14ac:dyDescent="0.35">
      <c r="B843" s="170">
        <v>44008.645833333336</v>
      </c>
      <c r="C843" s="238">
        <v>2294.4</v>
      </c>
      <c r="D843" s="241">
        <f t="shared" si="29"/>
        <v>0.55668634235701198</v>
      </c>
      <c r="E843" s="241">
        <v>1.5059254894259032E-3</v>
      </c>
      <c r="F843" s="242">
        <v>839</v>
      </c>
      <c r="G843" s="243">
        <f t="shared" ca="1" si="30"/>
        <v>-1.5061123022199798E-2</v>
      </c>
    </row>
    <row r="844" spans="2:7" ht="15" thickBot="1" x14ac:dyDescent="0.35">
      <c r="B844" s="170">
        <v>43500.645833333336</v>
      </c>
      <c r="C844" s="238">
        <v>1473.9</v>
      </c>
      <c r="D844" s="241">
        <f t="shared" si="29"/>
        <v>-0.61352492330282926</v>
      </c>
      <c r="E844" s="241">
        <v>1.4948698783719817E-3</v>
      </c>
      <c r="F844" s="242">
        <v>840</v>
      </c>
      <c r="G844" s="243">
        <f t="shared" ca="1" si="30"/>
        <v>1.0888498775492649E-2</v>
      </c>
    </row>
    <row r="845" spans="2:7" ht="15" thickBot="1" x14ac:dyDescent="0.35">
      <c r="B845" s="170">
        <v>45182.645833333336</v>
      </c>
      <c r="C845" s="238">
        <v>3813.7</v>
      </c>
      <c r="D845" s="241">
        <f t="shared" si="29"/>
        <v>0.92859490758299812</v>
      </c>
      <c r="E845" s="241">
        <v>1.4836990060528711E-3</v>
      </c>
      <c r="F845" s="242">
        <v>841</v>
      </c>
      <c r="G845" s="243">
        <f t="shared" ca="1" si="30"/>
        <v>3.6220140244824346E-2</v>
      </c>
    </row>
    <row r="846" spans="2:7" ht="15" thickBot="1" x14ac:dyDescent="0.35">
      <c r="B846" s="170">
        <v>44117.645833333336</v>
      </c>
      <c r="C846" s="238">
        <v>1977.45</v>
      </c>
      <c r="D846" s="241">
        <f t="shared" si="29"/>
        <v>0.34406117247238743</v>
      </c>
      <c r="E846" s="241">
        <v>1.4686890683953766E-3</v>
      </c>
      <c r="F846" s="242">
        <v>842</v>
      </c>
      <c r="G846" s="243">
        <f t="shared" ca="1" si="30"/>
        <v>2.1588725629699622E-2</v>
      </c>
    </row>
    <row r="847" spans="2:7" ht="15" thickBot="1" x14ac:dyDescent="0.35">
      <c r="B847" s="170">
        <v>43202.645833333336</v>
      </c>
      <c r="C847" s="238">
        <v>1471.25</v>
      </c>
      <c r="D847" s="241">
        <f t="shared" si="29"/>
        <v>-0.4586215778628201</v>
      </c>
      <c r="E847" s="241">
        <v>1.4634810428153912E-3</v>
      </c>
      <c r="F847" s="242">
        <v>843</v>
      </c>
      <c r="G847" s="243">
        <f t="shared" ca="1" si="30"/>
        <v>-1.1006325140562507E-2</v>
      </c>
    </row>
    <row r="848" spans="2:7" ht="15" thickBot="1" x14ac:dyDescent="0.35">
      <c r="B848" s="170">
        <v>44308.645833333336</v>
      </c>
      <c r="C848" s="238">
        <v>2717.6</v>
      </c>
      <c r="D848" s="241">
        <f t="shared" si="29"/>
        <v>-0.27743582244320075</v>
      </c>
      <c r="E848" s="241">
        <v>1.4371522275859864E-3</v>
      </c>
      <c r="F848" s="242">
        <v>844</v>
      </c>
      <c r="G848" s="243">
        <f t="shared" ca="1" si="30"/>
        <v>1.3176644550169838E-2</v>
      </c>
    </row>
    <row r="849" spans="2:7" ht="15" thickBot="1" x14ac:dyDescent="0.35">
      <c r="B849" s="170">
        <v>45170.645833333336</v>
      </c>
      <c r="C849" s="238">
        <v>3761.05</v>
      </c>
      <c r="D849" s="241">
        <f t="shared" si="29"/>
        <v>-0.11693785071963564</v>
      </c>
      <c r="E849" s="241">
        <v>1.4111695400386558E-3</v>
      </c>
      <c r="F849" s="242">
        <v>845</v>
      </c>
      <c r="G849" s="243">
        <f t="shared" ca="1" si="30"/>
        <v>2.3374800375645394E-2</v>
      </c>
    </row>
    <row r="850" spans="2:7" ht="15" thickBot="1" x14ac:dyDescent="0.35">
      <c r="B850" s="170">
        <v>44775.645833333336</v>
      </c>
      <c r="C850" s="238">
        <v>4259.1000000000004</v>
      </c>
      <c r="D850" s="241">
        <f t="shared" si="29"/>
        <v>1.1632425019681543</v>
      </c>
      <c r="E850" s="241">
        <v>1.398963121451331E-3</v>
      </c>
      <c r="F850" s="242">
        <v>846</v>
      </c>
      <c r="G850" s="243">
        <f t="shared" ca="1" si="30"/>
        <v>1.6972562495098698E-2</v>
      </c>
    </row>
    <row r="851" spans="2:7" ht="15" thickBot="1" x14ac:dyDescent="0.35">
      <c r="B851" s="170">
        <v>43777.645833333336</v>
      </c>
      <c r="C851" s="238">
        <v>1968.85</v>
      </c>
      <c r="D851" s="241">
        <f t="shared" si="29"/>
        <v>0.23199424316375697</v>
      </c>
      <c r="E851" s="241">
        <v>1.3477774387142018E-3</v>
      </c>
      <c r="F851" s="242">
        <v>847</v>
      </c>
      <c r="G851" s="243">
        <f t="shared" ca="1" si="30"/>
        <v>3.0310112648876107E-3</v>
      </c>
    </row>
    <row r="852" spans="2:7" ht="15" thickBot="1" x14ac:dyDescent="0.35">
      <c r="B852" s="170">
        <v>43291.645833333336</v>
      </c>
      <c r="C852" s="238">
        <v>1598.1</v>
      </c>
      <c r="D852" s="241">
        <f t="shared" si="29"/>
        <v>-0.57366378102949223</v>
      </c>
      <c r="E852" s="241">
        <v>1.3471599987467423E-3</v>
      </c>
      <c r="F852" s="242">
        <v>848</v>
      </c>
      <c r="G852" s="243">
        <f t="shared" ca="1" si="30"/>
        <v>2.9280241147381182E-2</v>
      </c>
    </row>
    <row r="853" spans="2:7" ht="15" thickBot="1" x14ac:dyDescent="0.35">
      <c r="B853" s="170">
        <v>45694.645833333336</v>
      </c>
      <c r="C853" s="238">
        <v>3748.45</v>
      </c>
      <c r="D853" s="241">
        <f t="shared" si="29"/>
        <v>1.9942088026200173</v>
      </c>
      <c r="E853" s="241">
        <v>1.322291972752723E-3</v>
      </c>
      <c r="F853" s="242">
        <v>849</v>
      </c>
      <c r="G853" s="243">
        <f t="shared" ca="1" si="30"/>
        <v>1.8358274528605056E-2</v>
      </c>
    </row>
    <row r="854" spans="2:7" ht="15" thickBot="1" x14ac:dyDescent="0.35">
      <c r="B854" s="170">
        <v>43598.645833333336</v>
      </c>
      <c r="C854" s="238">
        <v>1251.9000000000001</v>
      </c>
      <c r="D854" s="241">
        <f t="shared" si="29"/>
        <v>-0.67043121149897322</v>
      </c>
      <c r="E854" s="241">
        <v>1.3197360527895149E-3</v>
      </c>
      <c r="F854" s="242">
        <v>850</v>
      </c>
      <c r="G854" s="243">
        <f t="shared" ca="1" si="30"/>
        <v>9.7767782450392058E-4</v>
      </c>
    </row>
    <row r="855" spans="2:7" ht="15" thickBot="1" x14ac:dyDescent="0.35">
      <c r="B855" s="170">
        <v>45208.645833333336</v>
      </c>
      <c r="C855" s="238">
        <v>3798.6</v>
      </c>
      <c r="D855" s="241">
        <f t="shared" si="29"/>
        <v>0.44692035195977586</v>
      </c>
      <c r="E855" s="241">
        <v>1.2652222046496196E-3</v>
      </c>
      <c r="F855" s="242">
        <v>851</v>
      </c>
      <c r="G855" s="243">
        <f t="shared" ca="1" si="30"/>
        <v>2.314603603275385E-2</v>
      </c>
    </row>
    <row r="856" spans="2:7" ht="15" thickBot="1" x14ac:dyDescent="0.35">
      <c r="B856" s="170">
        <v>44174.645833333336</v>
      </c>
      <c r="C856" s="238">
        <v>2625.3</v>
      </c>
      <c r="D856" s="241">
        <f t="shared" si="29"/>
        <v>-0.24252347908882374</v>
      </c>
      <c r="E856" s="241">
        <v>1.2394881867241279E-3</v>
      </c>
      <c r="F856" s="242">
        <v>852</v>
      </c>
      <c r="G856" s="243">
        <f t="shared" ca="1" si="30"/>
        <v>-2.9841093089803979E-2</v>
      </c>
    </row>
    <row r="857" spans="2:7" ht="15" thickBot="1" x14ac:dyDescent="0.35">
      <c r="B857" s="170">
        <v>45041.645833333336</v>
      </c>
      <c r="C857" s="238">
        <v>3465.85</v>
      </c>
      <c r="D857" s="241">
        <f t="shared" si="29"/>
        <v>1.3529192124915139</v>
      </c>
      <c r="E857" s="241">
        <v>1.2277559510053156E-3</v>
      </c>
      <c r="F857" s="242">
        <v>853</v>
      </c>
      <c r="G857" s="243">
        <f t="shared" ca="1" si="30"/>
        <v>3.9675496517129018E-2</v>
      </c>
    </row>
    <row r="858" spans="2:7" ht="15" thickBot="1" x14ac:dyDescent="0.35">
      <c r="B858" s="170">
        <v>43201.645833333336</v>
      </c>
      <c r="C858" s="238">
        <v>1473</v>
      </c>
      <c r="D858" s="241">
        <f t="shared" si="29"/>
        <v>-0.71130666562138645</v>
      </c>
      <c r="E858" s="241">
        <v>1.1894647408666101E-3</v>
      </c>
      <c r="F858" s="242">
        <v>854</v>
      </c>
      <c r="G858" s="243">
        <f t="shared" ca="1" si="30"/>
        <v>4.7457195271029835E-3</v>
      </c>
    </row>
    <row r="859" spans="2:7" ht="15" thickBot="1" x14ac:dyDescent="0.35">
      <c r="B859" s="170">
        <v>45562.645833333336</v>
      </c>
      <c r="C859" s="238">
        <v>5102.3</v>
      </c>
      <c r="D859" s="241">
        <f t="shared" si="29"/>
        <v>0.29580576754580895</v>
      </c>
      <c r="E859" s="241">
        <v>1.1773247257814493E-3</v>
      </c>
      <c r="F859" s="242">
        <v>855</v>
      </c>
      <c r="G859" s="243">
        <f t="shared" ca="1" si="30"/>
        <v>2.0104689804471231E-2</v>
      </c>
    </row>
    <row r="860" spans="2:7" ht="15" thickBot="1" x14ac:dyDescent="0.35">
      <c r="B860" s="170">
        <v>44446.645833333336</v>
      </c>
      <c r="C860" s="238">
        <v>3937.55</v>
      </c>
      <c r="D860" s="241">
        <f t="shared" si="29"/>
        <v>1.5512972610512222E-2</v>
      </c>
      <c r="E860" s="241">
        <v>1.169605512401725E-3</v>
      </c>
      <c r="F860" s="242">
        <v>856</v>
      </c>
      <c r="G860" s="243">
        <f t="shared" ca="1" si="30"/>
        <v>1.9451937361741022E-2</v>
      </c>
    </row>
    <row r="861" spans="2:7" ht="15" thickBot="1" x14ac:dyDescent="0.35">
      <c r="B861" s="170">
        <v>44936.645833333336</v>
      </c>
      <c r="C861" s="238">
        <v>3877.4</v>
      </c>
      <c r="D861" s="241">
        <f t="shared" si="29"/>
        <v>0.36194875217337863</v>
      </c>
      <c r="E861" s="241">
        <v>1.1619200082625422E-3</v>
      </c>
      <c r="F861" s="242">
        <v>857</v>
      </c>
      <c r="G861" s="243">
        <f t="shared" ca="1" si="30"/>
        <v>-1.1836160199626976E-2</v>
      </c>
    </row>
    <row r="862" spans="2:7" ht="15" thickBot="1" x14ac:dyDescent="0.35">
      <c r="B862" s="170">
        <v>44291.645833333336</v>
      </c>
      <c r="C862" s="238">
        <v>2846.95</v>
      </c>
      <c r="D862" s="241">
        <f t="shared" si="29"/>
        <v>-0.18682966538609855</v>
      </c>
      <c r="E862" s="241">
        <v>1.1604803685403362E-3</v>
      </c>
      <c r="F862" s="242">
        <v>858</v>
      </c>
      <c r="G862" s="243">
        <f t="shared" ca="1" si="30"/>
        <v>2.8089459017100006E-2</v>
      </c>
    </row>
    <row r="863" spans="2:7" ht="15" thickBot="1" x14ac:dyDescent="0.35">
      <c r="B863" s="170">
        <v>45029.645833333336</v>
      </c>
      <c r="C863" s="238">
        <v>3501.05</v>
      </c>
      <c r="D863" s="241">
        <f t="shared" si="29"/>
        <v>0.15718063130061152</v>
      </c>
      <c r="E863" s="241">
        <v>1.1295073060536653E-3</v>
      </c>
      <c r="F863" s="242">
        <v>859</v>
      </c>
      <c r="G863" s="243">
        <f t="shared" ca="1" si="30"/>
        <v>3.2204204038622376E-2</v>
      </c>
    </row>
    <row r="864" spans="2:7" ht="15" thickBot="1" x14ac:dyDescent="0.35">
      <c r="B864" s="170">
        <v>44343.645833333336</v>
      </c>
      <c r="C864" s="238">
        <v>3025.5</v>
      </c>
      <c r="D864" s="241">
        <f t="shared" si="29"/>
        <v>-0.14668885379061369</v>
      </c>
      <c r="E864" s="241">
        <v>1.1250454981635589E-3</v>
      </c>
      <c r="F864" s="242">
        <v>860</v>
      </c>
      <c r="G864" s="243">
        <f t="shared" ca="1" si="30"/>
        <v>-1.3405916655196784E-2</v>
      </c>
    </row>
    <row r="865" spans="2:7" ht="15" thickBot="1" x14ac:dyDescent="0.35">
      <c r="B865" s="170">
        <v>44972.645833333336</v>
      </c>
      <c r="C865" s="238">
        <v>3545.6</v>
      </c>
      <c r="D865" s="241">
        <f t="shared" si="29"/>
        <v>-7.1856757676500613E-2</v>
      </c>
      <c r="E865" s="241">
        <v>1.1011661066719629E-3</v>
      </c>
      <c r="F865" s="242">
        <v>861</v>
      </c>
      <c r="G865" s="243">
        <f t="shared" ca="1" si="30"/>
        <v>2.1347021812036453E-2</v>
      </c>
    </row>
    <row r="866" spans="2:7" ht="15" thickBot="1" x14ac:dyDescent="0.35">
      <c r="B866" s="170">
        <v>45112.645833333336</v>
      </c>
      <c r="C866" s="238">
        <v>3820.1</v>
      </c>
      <c r="D866" s="241">
        <f t="shared" si="29"/>
        <v>-0.20394682003834297</v>
      </c>
      <c r="E866" s="241">
        <v>1.1006577740506349E-3</v>
      </c>
      <c r="F866" s="242">
        <v>862</v>
      </c>
      <c r="G866" s="243">
        <f t="shared" ca="1" si="30"/>
        <v>-2.6980800426295883E-2</v>
      </c>
    </row>
    <row r="867" spans="2:7" ht="15" thickBot="1" x14ac:dyDescent="0.35">
      <c r="B867" s="170">
        <v>45434.645833333336</v>
      </c>
      <c r="C867" s="238">
        <v>4798.8</v>
      </c>
      <c r="D867" s="241">
        <f t="shared" si="29"/>
        <v>2.2601650871293186</v>
      </c>
      <c r="E867" s="241">
        <v>1.0952217041649717E-3</v>
      </c>
      <c r="F867" s="242">
        <v>863</v>
      </c>
      <c r="G867" s="243">
        <f t="shared" ca="1" si="30"/>
        <v>8.6597426509288054E-3</v>
      </c>
    </row>
    <row r="868" spans="2:7" ht="15" thickBot="1" x14ac:dyDescent="0.35">
      <c r="B868" s="170">
        <v>43529.645833333336</v>
      </c>
      <c r="C868" s="238">
        <v>1471.95</v>
      </c>
      <c r="D868" s="241">
        <f t="shared" si="29"/>
        <v>-0.62512892997669711</v>
      </c>
      <c r="E868" s="241">
        <v>1.0881762845581912E-3</v>
      </c>
      <c r="F868" s="242">
        <v>864</v>
      </c>
      <c r="G868" s="243">
        <f t="shared" ca="1" si="30"/>
        <v>3.2125537259804576E-2</v>
      </c>
    </row>
    <row r="869" spans="2:7" ht="15" thickBot="1" x14ac:dyDescent="0.35">
      <c r="B869" s="170">
        <v>45601.645833333336</v>
      </c>
      <c r="C869" s="238">
        <v>3926.55</v>
      </c>
      <c r="D869" s="241">
        <f t="shared" si="29"/>
        <v>0.1222401646255199</v>
      </c>
      <c r="E869" s="241">
        <v>1.0835479183132345E-3</v>
      </c>
      <c r="F869" s="242">
        <v>865</v>
      </c>
      <c r="G869" s="243">
        <f t="shared" ca="1" si="30"/>
        <v>-2.6402722680746532E-2</v>
      </c>
    </row>
    <row r="870" spans="2:7" ht="15" thickBot="1" x14ac:dyDescent="0.35">
      <c r="B870" s="170">
        <v>44967.645833333336</v>
      </c>
      <c r="C870" s="238">
        <v>3498.85</v>
      </c>
      <c r="D870" s="241">
        <f t="shared" si="29"/>
        <v>-0.14206022264724633</v>
      </c>
      <c r="E870" s="241">
        <v>1.0442893110551874E-3</v>
      </c>
      <c r="F870" s="242">
        <v>866</v>
      </c>
      <c r="G870" s="243">
        <f t="shared" ca="1" si="30"/>
        <v>-8.9199174061196616E-3</v>
      </c>
    </row>
    <row r="871" spans="2:7" ht="15" thickBot="1" x14ac:dyDescent="0.35">
      <c r="B871" s="170">
        <v>45819.645833333336</v>
      </c>
      <c r="C871" s="239">
        <v>4078.2</v>
      </c>
      <c r="D871" s="241">
        <f t="shared" si="29"/>
        <v>1.2090296021450042</v>
      </c>
      <c r="E871" s="241">
        <v>1.0309278350515017E-3</v>
      </c>
      <c r="F871" s="242">
        <v>867</v>
      </c>
      <c r="G871" s="243">
        <f t="shared" ca="1" si="30"/>
        <v>2.7640067890315617E-2</v>
      </c>
    </row>
    <row r="872" spans="2:7" ht="15" thickBot="1" x14ac:dyDescent="0.35">
      <c r="B872" s="170">
        <v>43796.645833333336</v>
      </c>
      <c r="C872" s="238">
        <v>1846.15</v>
      </c>
      <c r="D872" s="241">
        <f t="shared" si="29"/>
        <v>-0.45892438452520512</v>
      </c>
      <c r="E872" s="241">
        <v>1.0302290904162076E-3</v>
      </c>
      <c r="F872" s="242">
        <v>868</v>
      </c>
      <c r="G872" s="243">
        <f t="shared" ca="1" si="30"/>
        <v>1.0501994287210046E-2</v>
      </c>
    </row>
    <row r="873" spans="2:7" ht="15" thickBot="1" x14ac:dyDescent="0.35">
      <c r="B873" s="170">
        <v>44736.645833333336</v>
      </c>
      <c r="C873" s="238">
        <v>3412</v>
      </c>
      <c r="D873" s="241">
        <f t="shared" si="29"/>
        <v>-6.102623108405255E-3</v>
      </c>
      <c r="E873" s="241">
        <v>9.9747697001704256E-4</v>
      </c>
      <c r="F873" s="242">
        <v>869</v>
      </c>
      <c r="G873" s="243">
        <f t="shared" ca="1" si="30"/>
        <v>-2.6975452203871222E-2</v>
      </c>
    </row>
    <row r="874" spans="2:7" ht="15" thickBot="1" x14ac:dyDescent="0.35">
      <c r="B874" s="170">
        <v>45069.645833333336</v>
      </c>
      <c r="C874" s="238">
        <v>3432.95</v>
      </c>
      <c r="D874" s="241">
        <f t="shared" si="29"/>
        <v>-0.14391341753843476</v>
      </c>
      <c r="E874" s="241">
        <v>9.9138370923288355E-4</v>
      </c>
      <c r="F874" s="242">
        <v>870</v>
      </c>
      <c r="G874" s="243">
        <f t="shared" ca="1" si="30"/>
        <v>-8.0794989396030994E-3</v>
      </c>
    </row>
    <row r="875" spans="2:7" ht="15" thickBot="1" x14ac:dyDescent="0.35">
      <c r="B875" s="170">
        <v>44648.645833333336</v>
      </c>
      <c r="C875" s="238">
        <v>4010.05</v>
      </c>
      <c r="D875" s="241">
        <f t="shared" si="29"/>
        <v>1.7232937181663839</v>
      </c>
      <c r="E875" s="241">
        <v>9.8599635555784255E-4</v>
      </c>
      <c r="F875" s="242">
        <v>871</v>
      </c>
      <c r="G875" s="243">
        <f t="shared" ca="1" si="30"/>
        <v>8.4659743230249083E-3</v>
      </c>
    </row>
    <row r="876" spans="2:7" ht="15" thickBot="1" x14ac:dyDescent="0.35">
      <c r="B876" s="170">
        <v>43552.645833333336</v>
      </c>
      <c r="C876" s="238">
        <v>1472.5</v>
      </c>
      <c r="D876" s="241">
        <f t="shared" si="29"/>
        <v>-0.72259638480449873</v>
      </c>
      <c r="E876" s="241">
        <v>9.5166881925096256E-4</v>
      </c>
      <c r="F876" s="242">
        <v>872</v>
      </c>
      <c r="G876" s="243">
        <f t="shared" ca="1" si="30"/>
        <v>-1.9557861613951236E-2</v>
      </c>
    </row>
    <row r="877" spans="2:7" ht="15" thickBot="1" x14ac:dyDescent="0.35">
      <c r="B877" s="170">
        <v>45540.645833333336</v>
      </c>
      <c r="C877" s="238">
        <v>5308.15</v>
      </c>
      <c r="D877" s="241">
        <f t="shared" si="29"/>
        <v>0.23160361489112399</v>
      </c>
      <c r="E877" s="241">
        <v>8.8621557665289924E-4</v>
      </c>
      <c r="F877" s="242">
        <v>873</v>
      </c>
      <c r="G877" s="243">
        <f t="shared" ca="1" si="30"/>
        <v>-3.2577662660365637E-2</v>
      </c>
    </row>
    <row r="878" spans="2:7" ht="15" thickBot="1" x14ac:dyDescent="0.35">
      <c r="B878" s="170">
        <v>44847.645833333336</v>
      </c>
      <c r="C878" s="238">
        <v>4309.95</v>
      </c>
      <c r="D878" s="241">
        <f t="shared" si="29"/>
        <v>1.9022255142924478</v>
      </c>
      <c r="E878" s="241">
        <v>8.8245880891287627E-4</v>
      </c>
      <c r="F878" s="242">
        <v>874</v>
      </c>
      <c r="G878" s="243">
        <f t="shared" ca="1" si="30"/>
        <v>-9.4158974904066141E-3</v>
      </c>
    </row>
    <row r="879" spans="2:7" ht="15" thickBot="1" x14ac:dyDescent="0.35">
      <c r="B879" s="170">
        <v>43270.645833333336</v>
      </c>
      <c r="C879" s="238">
        <v>1485.05</v>
      </c>
      <c r="D879" s="241">
        <f t="shared" si="29"/>
        <v>-0.59632217027291501</v>
      </c>
      <c r="E879" s="241">
        <v>8.7615838247680168E-4</v>
      </c>
      <c r="F879" s="242">
        <v>875</v>
      </c>
      <c r="G879" s="243">
        <f t="shared" ca="1" si="30"/>
        <v>-1.3203413719105675E-2</v>
      </c>
    </row>
    <row r="880" spans="2:7" ht="15" thickBot="1" x14ac:dyDescent="0.35">
      <c r="B880" s="170">
        <v>45127.645833333336</v>
      </c>
      <c r="C880" s="238">
        <v>3678.8</v>
      </c>
      <c r="D880" s="241">
        <f t="shared" si="29"/>
        <v>0.79331188456663748</v>
      </c>
      <c r="E880" s="241">
        <v>8.4337677177146234E-4</v>
      </c>
      <c r="F880" s="242">
        <v>876</v>
      </c>
      <c r="G880" s="243">
        <f t="shared" ca="1" si="30"/>
        <v>-6.1630889987428772E-3</v>
      </c>
    </row>
    <row r="881" spans="2:7" ht="15" thickBot="1" x14ac:dyDescent="0.35">
      <c r="B881" s="170">
        <v>44040.645833333336</v>
      </c>
      <c r="C881" s="238">
        <v>2051.4</v>
      </c>
      <c r="D881" s="241">
        <f t="shared" si="29"/>
        <v>-0.42440269925223412</v>
      </c>
      <c r="E881" s="241">
        <v>8.2938966678063769E-4</v>
      </c>
      <c r="F881" s="242">
        <v>877</v>
      </c>
      <c r="G881" s="243">
        <f t="shared" ca="1" si="30"/>
        <v>6.3578685332811337E-3</v>
      </c>
    </row>
    <row r="882" spans="2:7" ht="15" thickBot="1" x14ac:dyDescent="0.35">
      <c r="B882" s="170">
        <v>44419.645833333336</v>
      </c>
      <c r="C882" s="238">
        <v>3563.95</v>
      </c>
      <c r="D882" s="241">
        <f t="shared" si="29"/>
        <v>-0.19039776470320993</v>
      </c>
      <c r="E882" s="241">
        <v>8.2841898343156929E-4</v>
      </c>
      <c r="F882" s="242">
        <v>878</v>
      </c>
      <c r="G882" s="243">
        <f t="shared" ca="1" si="30"/>
        <v>-2.0678263061723531E-2</v>
      </c>
    </row>
    <row r="883" spans="2:7" ht="15" thickBot="1" x14ac:dyDescent="0.35">
      <c r="B883" s="170">
        <v>44789.645833333336</v>
      </c>
      <c r="C883" s="238">
        <v>4402.1000000000004</v>
      </c>
      <c r="D883" s="241">
        <f t="shared" si="29"/>
        <v>1.0332086277770083</v>
      </c>
      <c r="E883" s="241">
        <v>7.8433155627311284E-4</v>
      </c>
      <c r="F883" s="242">
        <v>879</v>
      </c>
      <c r="G883" s="243">
        <f t="shared" ca="1" si="30"/>
        <v>-1.8079623574384251E-2</v>
      </c>
    </row>
    <row r="884" spans="2:7" ht="15" thickBot="1" x14ac:dyDescent="0.35">
      <c r="B884" s="170">
        <v>44047.645833333336</v>
      </c>
      <c r="C884" s="238">
        <v>2165.1</v>
      </c>
      <c r="D884" s="241">
        <f t="shared" si="29"/>
        <v>0.47748055138528717</v>
      </c>
      <c r="E884" s="241">
        <v>7.6267073424395807E-4</v>
      </c>
      <c r="F884" s="242">
        <v>880</v>
      </c>
      <c r="G884" s="243">
        <f t="shared" ca="1" si="30"/>
        <v>-3.4593948351300023E-2</v>
      </c>
    </row>
    <row r="885" spans="2:7" ht="15" thickBot="1" x14ac:dyDescent="0.35">
      <c r="B885" s="170">
        <v>43510.645833333336</v>
      </c>
      <c r="C885" s="238">
        <v>1465.4</v>
      </c>
      <c r="D885" s="241">
        <f t="shared" si="29"/>
        <v>-0.59654194543101779</v>
      </c>
      <c r="E885" s="241">
        <v>7.5121218329586592E-4</v>
      </c>
      <c r="F885" s="242">
        <v>881</v>
      </c>
      <c r="G885" s="243">
        <f t="shared" ca="1" si="30"/>
        <v>-1.7091563607403507E-2</v>
      </c>
    </row>
    <row r="886" spans="2:7" ht="15" thickBot="1" x14ac:dyDescent="0.35">
      <c r="B886" s="170">
        <v>45086.645833333336</v>
      </c>
      <c r="C886" s="238">
        <v>3632.1</v>
      </c>
      <c r="D886" s="241">
        <f t="shared" si="29"/>
        <v>0.51964352955943272</v>
      </c>
      <c r="E886" s="241">
        <v>7.4392461563889845E-4</v>
      </c>
      <c r="F886" s="242">
        <v>882</v>
      </c>
      <c r="G886" s="243">
        <f t="shared" ca="1" si="30"/>
        <v>-2.7132304132982989E-2</v>
      </c>
    </row>
    <row r="887" spans="2:7" ht="15" thickBot="1" x14ac:dyDescent="0.35">
      <c r="B887" s="170">
        <v>43991.645833333336</v>
      </c>
      <c r="C887" s="238">
        <v>2390.1</v>
      </c>
      <c r="D887" s="241">
        <f t="shared" si="29"/>
        <v>-0.36855036855036855</v>
      </c>
      <c r="E887" s="241">
        <v>7.327234283082463E-4</v>
      </c>
      <c r="F887" s="242">
        <v>883</v>
      </c>
      <c r="G887" s="243">
        <f t="shared" ca="1" si="30"/>
        <v>-5.4551660890664452E-3</v>
      </c>
    </row>
    <row r="888" spans="2:7" ht="15" thickBot="1" x14ac:dyDescent="0.35">
      <c r="B888" s="170">
        <v>45176.645833333336</v>
      </c>
      <c r="C888" s="238">
        <v>3785.1</v>
      </c>
      <c r="D888" s="241">
        <f t="shared" si="29"/>
        <v>2.0242090124640462</v>
      </c>
      <c r="E888" s="241">
        <v>7.1383248730959661E-4</v>
      </c>
      <c r="F888" s="242">
        <v>884</v>
      </c>
      <c r="G888" s="243">
        <f t="shared" ca="1" si="30"/>
        <v>-3.877358612636643E-2</v>
      </c>
    </row>
    <row r="889" spans="2:7" ht="15" thickBot="1" x14ac:dyDescent="0.35">
      <c r="B889" s="170">
        <v>43594.645833333336</v>
      </c>
      <c r="C889" s="238">
        <v>1251.5999999999999</v>
      </c>
      <c r="D889" s="241">
        <f t="shared" si="29"/>
        <v>-0.56121930270469245</v>
      </c>
      <c r="E889" s="241">
        <v>6.7959224465313534E-4</v>
      </c>
      <c r="F889" s="242">
        <v>885</v>
      </c>
      <c r="G889" s="243">
        <f t="shared" ca="1" si="30"/>
        <v>2.6901850401467816E-3</v>
      </c>
    </row>
    <row r="890" spans="2:7" ht="15" thickBot="1" x14ac:dyDescent="0.35">
      <c r="B890" s="170">
        <v>44326.645833333336</v>
      </c>
      <c r="C890" s="238">
        <v>2852.45</v>
      </c>
      <c r="D890" s="241">
        <f t="shared" si="29"/>
        <v>0.20871647103690821</v>
      </c>
      <c r="E890" s="241">
        <v>6.6653803651914052E-4</v>
      </c>
      <c r="F890" s="242">
        <v>886</v>
      </c>
      <c r="G890" s="243">
        <f t="shared" ca="1" si="30"/>
        <v>4.3024711041417731E-2</v>
      </c>
    </row>
    <row r="891" spans="2:7" ht="15" thickBot="1" x14ac:dyDescent="0.35">
      <c r="B891" s="170">
        <v>44005.645833333336</v>
      </c>
      <c r="C891" s="238">
        <v>2359.9</v>
      </c>
      <c r="D891" s="241">
        <f t="shared" si="29"/>
        <v>-0.50841049463082355</v>
      </c>
      <c r="E891" s="241">
        <v>6.5723917145469582E-4</v>
      </c>
      <c r="F891" s="242">
        <v>887</v>
      </c>
      <c r="G891" s="243">
        <f t="shared" ca="1" si="30"/>
        <v>-3.7902766948399967E-2</v>
      </c>
    </row>
    <row r="892" spans="2:7" ht="15" thickBot="1" x14ac:dyDescent="0.35">
      <c r="B892" s="170">
        <v>45405.645833333336</v>
      </c>
      <c r="C892" s="238">
        <v>4800.55</v>
      </c>
      <c r="D892" s="241">
        <f t="shared" si="29"/>
        <v>0.28714875589875599</v>
      </c>
      <c r="E892" s="241">
        <v>6.2531917332805281E-4</v>
      </c>
      <c r="F892" s="242">
        <v>888</v>
      </c>
      <c r="G892" s="243">
        <f t="shared" ca="1" si="30"/>
        <v>-2.2266748152611478E-3</v>
      </c>
    </row>
    <row r="893" spans="2:7" ht="15" thickBot="1" x14ac:dyDescent="0.35">
      <c r="B893" s="170">
        <v>45327.645833333336</v>
      </c>
      <c r="C893" s="238">
        <v>3729.6</v>
      </c>
      <c r="D893" s="241">
        <f t="shared" si="29"/>
        <v>-9.9304482225656937E-2</v>
      </c>
      <c r="E893" s="241">
        <v>5.9022374845732093E-4</v>
      </c>
      <c r="F893" s="242">
        <v>889</v>
      </c>
      <c r="G893" s="243">
        <f t="shared" ca="1" si="30"/>
        <v>-1.9041237401605241E-2</v>
      </c>
    </row>
    <row r="894" spans="2:7" ht="15" thickBot="1" x14ac:dyDescent="0.35">
      <c r="B894" s="170">
        <v>45800.645833333336</v>
      </c>
      <c r="C894" s="239">
        <v>4140.8</v>
      </c>
      <c r="D894" s="241">
        <f t="shared" si="29"/>
        <v>7.491822854472778E-2</v>
      </c>
      <c r="E894" s="241">
        <v>5.7993427411573211E-4</v>
      </c>
      <c r="F894" s="242">
        <v>890</v>
      </c>
      <c r="G894" s="243">
        <f t="shared" ca="1" si="30"/>
        <v>-5.9880024400928004E-4</v>
      </c>
    </row>
    <row r="895" spans="2:7" ht="15" thickBot="1" x14ac:dyDescent="0.35">
      <c r="B895" s="170">
        <v>45349.645833333336</v>
      </c>
      <c r="C895" s="238">
        <v>3852.2</v>
      </c>
      <c r="D895" s="241">
        <f t="shared" si="29"/>
        <v>-7.0497867020660543E-3</v>
      </c>
      <c r="E895" s="241">
        <v>5.714285714285242E-4</v>
      </c>
      <c r="F895" s="242">
        <v>891</v>
      </c>
      <c r="G895" s="243">
        <f t="shared" ca="1" si="30"/>
        <v>1.9973651418460841E-2</v>
      </c>
    </row>
    <row r="896" spans="2:7" ht="15" thickBot="1" x14ac:dyDescent="0.35">
      <c r="B896" s="170">
        <v>44935.645833333336</v>
      </c>
      <c r="C896" s="238">
        <v>3879.55</v>
      </c>
      <c r="D896" s="241">
        <f t="shared" si="29"/>
        <v>0.10762005367441338</v>
      </c>
      <c r="E896" s="241">
        <v>5.5449528034252102E-4</v>
      </c>
      <c r="F896" s="242">
        <v>892</v>
      </c>
      <c r="G896" s="243">
        <f t="shared" ca="1" si="30"/>
        <v>1.6546688308065972E-2</v>
      </c>
    </row>
    <row r="897" spans="2:7" ht="15" thickBot="1" x14ac:dyDescent="0.35">
      <c r="B897" s="170">
        <v>44406.645833333336</v>
      </c>
      <c r="C897" s="238">
        <v>3502.6</v>
      </c>
      <c r="D897" s="241">
        <f t="shared" si="29"/>
        <v>-0.11868756762197123</v>
      </c>
      <c r="E897" s="241">
        <v>5.1416819012789277E-4</v>
      </c>
      <c r="F897" s="242">
        <v>893</v>
      </c>
      <c r="G897" s="243">
        <f t="shared" ca="1" si="30"/>
        <v>1.466509102007151E-2</v>
      </c>
    </row>
    <row r="898" spans="2:7" ht="15" thickBot="1" x14ac:dyDescent="0.35">
      <c r="B898" s="170">
        <v>45785.645833333336</v>
      </c>
      <c r="C898" s="239">
        <v>3974.3</v>
      </c>
      <c r="D898" s="241">
        <f t="shared" si="29"/>
        <v>0.19346556358012643</v>
      </c>
      <c r="E898" s="241">
        <v>4.7830027187596691E-4</v>
      </c>
      <c r="F898" s="242">
        <v>894</v>
      </c>
      <c r="G898" s="243">
        <f t="shared" ca="1" si="30"/>
        <v>-1.8902999703691765E-2</v>
      </c>
    </row>
    <row r="899" spans="2:7" ht="15" thickBot="1" x14ac:dyDescent="0.35">
      <c r="B899" s="170">
        <v>44391.645833333336</v>
      </c>
      <c r="C899" s="238">
        <v>3330.05</v>
      </c>
      <c r="D899" s="241">
        <f t="shared" si="29"/>
        <v>-0.12181067788341082</v>
      </c>
      <c r="E899" s="241">
        <v>4.6567522908222381E-4</v>
      </c>
      <c r="F899" s="242">
        <v>895</v>
      </c>
      <c r="G899" s="243">
        <f t="shared" ca="1" si="30"/>
        <v>2.0271921263706881E-2</v>
      </c>
    </row>
    <row r="900" spans="2:7" ht="15" thickBot="1" x14ac:dyDescent="0.35">
      <c r="B900" s="170">
        <v>45245.645833333336</v>
      </c>
      <c r="C900" s="238">
        <v>3791.95</v>
      </c>
      <c r="D900" s="241">
        <f t="shared" si="29"/>
        <v>-3.5728362725527346E-2</v>
      </c>
      <c r="E900" s="241">
        <v>4.4851922696387259E-4</v>
      </c>
      <c r="F900" s="242">
        <v>896</v>
      </c>
      <c r="G900" s="243">
        <f t="shared" ca="1" si="30"/>
        <v>-6.9214994885171193E-3</v>
      </c>
    </row>
    <row r="901" spans="2:7" ht="15" thickBot="1" x14ac:dyDescent="0.35">
      <c r="B901" s="170">
        <v>45595.645833333336</v>
      </c>
      <c r="C901" s="238">
        <v>3932.45</v>
      </c>
      <c r="D901" s="241">
        <f t="shared" ref="D901:D964" si="31">(C901-C902)/C902</f>
        <v>-3.6164215686274558E-2</v>
      </c>
      <c r="E901" s="241">
        <v>4.4521332078255782E-4</v>
      </c>
      <c r="F901" s="242">
        <v>897</v>
      </c>
      <c r="G901" s="243">
        <f t="shared" ca="1" si="30"/>
        <v>1.7087960902767093E-2</v>
      </c>
    </row>
    <row r="902" spans="2:7" ht="15" thickBot="1" x14ac:dyDescent="0.35">
      <c r="B902" s="170">
        <v>45818.645833333336</v>
      </c>
      <c r="C902" s="239">
        <v>4080</v>
      </c>
      <c r="D902" s="241">
        <f t="shared" si="31"/>
        <v>-5.4548825137878218E-2</v>
      </c>
      <c r="E902" s="241">
        <v>4.4137119317350348E-4</v>
      </c>
      <c r="F902" s="242">
        <v>898</v>
      </c>
      <c r="G902" s="243">
        <f t="shared" ref="G902:G965" ca="1" si="32">_xlfn.NORM.INV(RAND(),$M$7,$M$8)</f>
        <v>-2.8226992951448399E-2</v>
      </c>
    </row>
    <row r="903" spans="2:7" ht="15" thickBot="1" x14ac:dyDescent="0.35">
      <c r="B903" s="170">
        <v>45834.645833333336</v>
      </c>
      <c r="C903" s="239">
        <v>4315.3999999999996</v>
      </c>
      <c r="D903" s="241">
        <f t="shared" si="31"/>
        <v>0.42521219326926235</v>
      </c>
      <c r="E903" s="241">
        <v>4.4047757041836938E-4</v>
      </c>
      <c r="F903" s="242">
        <v>899</v>
      </c>
      <c r="G903" s="243">
        <f t="shared" ca="1" si="32"/>
        <v>-9.004866403126816E-4</v>
      </c>
    </row>
    <row r="904" spans="2:7" ht="15" thickBot="1" x14ac:dyDescent="0.35">
      <c r="B904" s="170">
        <v>44335.645833333336</v>
      </c>
      <c r="C904" s="238">
        <v>3027.9</v>
      </c>
      <c r="D904" s="241">
        <f t="shared" si="31"/>
        <v>-8.6785396528584136E-2</v>
      </c>
      <c r="E904" s="241">
        <v>4.2952487940269013E-4</v>
      </c>
      <c r="F904" s="242">
        <v>900</v>
      </c>
      <c r="G904" s="243">
        <f t="shared" ca="1" si="32"/>
        <v>2.0357262028358206E-2</v>
      </c>
    </row>
    <row r="905" spans="2:7" ht="15" thickBot="1" x14ac:dyDescent="0.35">
      <c r="B905" s="170">
        <v>44378.645833333336</v>
      </c>
      <c r="C905" s="238">
        <v>3315.65</v>
      </c>
      <c r="D905" s="241">
        <f t="shared" si="31"/>
        <v>1.3880226151463861</v>
      </c>
      <c r="E905" s="241">
        <v>4.0732583049208249E-4</v>
      </c>
      <c r="F905" s="242">
        <v>901</v>
      </c>
      <c r="G905" s="243">
        <f t="shared" ca="1" si="32"/>
        <v>2.8750259690169155E-2</v>
      </c>
    </row>
    <row r="906" spans="2:7" ht="15" thickBot="1" x14ac:dyDescent="0.35">
      <c r="B906" s="170">
        <v>43419.645833333336</v>
      </c>
      <c r="C906" s="238">
        <v>1388.45</v>
      </c>
      <c r="D906" s="241">
        <f t="shared" si="31"/>
        <v>-0.63883831026948279</v>
      </c>
      <c r="E906" s="241">
        <v>3.9628215289282695E-4</v>
      </c>
      <c r="F906" s="242">
        <v>902</v>
      </c>
      <c r="G906" s="243">
        <f t="shared" ca="1" si="32"/>
        <v>1.8583404243409134E-2</v>
      </c>
    </row>
    <row r="907" spans="2:7" ht="15" thickBot="1" x14ac:dyDescent="0.35">
      <c r="B907" s="170">
        <v>45253.645833333336</v>
      </c>
      <c r="C907" s="238">
        <v>3844.4</v>
      </c>
      <c r="D907" s="241">
        <f t="shared" si="31"/>
        <v>0.99646863315330303</v>
      </c>
      <c r="E907" s="241">
        <v>3.903302193655833E-4</v>
      </c>
      <c r="F907" s="242">
        <v>903</v>
      </c>
      <c r="G907" s="243">
        <f t="shared" ca="1" si="32"/>
        <v>7.4884937140962124E-3</v>
      </c>
    </row>
    <row r="908" spans="2:7" ht="15" thickBot="1" x14ac:dyDescent="0.35">
      <c r="B908" s="170">
        <v>43755.645833333336</v>
      </c>
      <c r="C908" s="238">
        <v>1925.6</v>
      </c>
      <c r="D908" s="241">
        <f t="shared" si="31"/>
        <v>-0.44462390401476698</v>
      </c>
      <c r="E908" s="241">
        <v>3.8964075122736836E-4</v>
      </c>
      <c r="F908" s="242">
        <v>904</v>
      </c>
      <c r="G908" s="243">
        <f t="shared" ca="1" si="32"/>
        <v>-2.7989284155273689E-2</v>
      </c>
    </row>
    <row r="909" spans="2:7" ht="15" thickBot="1" x14ac:dyDescent="0.35">
      <c r="B909" s="170">
        <v>45040.645833333336</v>
      </c>
      <c r="C909" s="238">
        <v>3467.2</v>
      </c>
      <c r="D909" s="241">
        <f t="shared" si="31"/>
        <v>-0.27746345326289684</v>
      </c>
      <c r="E909" s="241">
        <v>3.8951483762999237E-4</v>
      </c>
      <c r="F909" s="242">
        <v>905</v>
      </c>
      <c r="G909" s="243">
        <f t="shared" ca="1" si="32"/>
        <v>-2.4770787602774253E-2</v>
      </c>
    </row>
    <row r="910" spans="2:7" ht="15" thickBot="1" x14ac:dyDescent="0.35">
      <c r="B910" s="170">
        <v>45421.645833333336</v>
      </c>
      <c r="C910" s="238">
        <v>4798.6499999999996</v>
      </c>
      <c r="D910" s="241">
        <f t="shared" si="31"/>
        <v>1.3225642514883111</v>
      </c>
      <c r="E910" s="241">
        <v>3.8567378252156735E-4</v>
      </c>
      <c r="F910" s="242">
        <v>906</v>
      </c>
      <c r="G910" s="243">
        <f t="shared" ca="1" si="32"/>
        <v>-3.22038906957351E-2</v>
      </c>
    </row>
    <row r="911" spans="2:7" ht="15" thickBot="1" x14ac:dyDescent="0.35">
      <c r="B911" s="170">
        <v>44111.645833333336</v>
      </c>
      <c r="C911" s="238">
        <v>2066.1</v>
      </c>
      <c r="D911" s="241">
        <f t="shared" si="31"/>
        <v>-0.48735190124682093</v>
      </c>
      <c r="E911" s="241">
        <v>3.6313457767448619E-4</v>
      </c>
      <c r="F911" s="242">
        <v>907</v>
      </c>
      <c r="G911" s="243">
        <f t="shared" ca="1" si="32"/>
        <v>-1.8927032264412617E-2</v>
      </c>
    </row>
    <row r="912" spans="2:7" ht="15" thickBot="1" x14ac:dyDescent="0.35">
      <c r="B912" s="170">
        <v>44672.645833333336</v>
      </c>
      <c r="C912" s="238">
        <v>4030.25</v>
      </c>
      <c r="D912" s="241">
        <f t="shared" si="31"/>
        <v>1.6479960578186597</v>
      </c>
      <c r="E912" s="241">
        <v>3.4749370167667969E-4</v>
      </c>
      <c r="F912" s="242">
        <v>908</v>
      </c>
      <c r="G912" s="243">
        <f t="shared" ca="1" si="32"/>
        <v>-1.441156836440792E-2</v>
      </c>
    </row>
    <row r="913" spans="2:7" ht="15" thickBot="1" x14ac:dyDescent="0.35">
      <c r="B913" s="170">
        <v>43300.645833333336</v>
      </c>
      <c r="C913" s="238">
        <v>1522</v>
      </c>
      <c r="D913" s="241">
        <f t="shared" si="31"/>
        <v>-0.68638602130596937</v>
      </c>
      <c r="E913" s="241">
        <v>3.2862306933946765E-4</v>
      </c>
      <c r="F913" s="242">
        <v>909</v>
      </c>
      <c r="G913" s="243">
        <f t="shared" ca="1" si="32"/>
        <v>-2.952066210832821E-3</v>
      </c>
    </row>
    <row r="914" spans="2:7" ht="15" thickBot="1" x14ac:dyDescent="0.35">
      <c r="B914" s="170">
        <v>45478.645833333336</v>
      </c>
      <c r="C914" s="238">
        <v>4853.1000000000004</v>
      </c>
      <c r="D914" s="241">
        <f t="shared" si="31"/>
        <v>0.40240713181430698</v>
      </c>
      <c r="E914" s="241">
        <v>3.1948552524454696E-4</v>
      </c>
      <c r="F914" s="242">
        <v>910</v>
      </c>
      <c r="G914" s="243">
        <f t="shared" ca="1" si="32"/>
        <v>1.0422032506574383E-2</v>
      </c>
    </row>
    <row r="915" spans="2:7" ht="15" thickBot="1" x14ac:dyDescent="0.35">
      <c r="B915" s="170">
        <v>45649.645833333336</v>
      </c>
      <c r="C915" s="238">
        <v>3460.55</v>
      </c>
      <c r="D915" s="241">
        <f t="shared" si="31"/>
        <v>3.2460654881778232E-2</v>
      </c>
      <c r="E915" s="241">
        <v>2.6014192187073576E-4</v>
      </c>
      <c r="F915" s="242">
        <v>911</v>
      </c>
      <c r="G915" s="243">
        <f t="shared" ca="1" si="32"/>
        <v>3.7079814354487949E-2</v>
      </c>
    </row>
    <row r="916" spans="2:7" ht="15" thickBot="1" x14ac:dyDescent="0.35">
      <c r="B916" s="170">
        <v>44998.645833333336</v>
      </c>
      <c r="C916" s="238">
        <v>3351.75</v>
      </c>
      <c r="D916" s="241">
        <f t="shared" si="31"/>
        <v>-5.8986200991057995E-2</v>
      </c>
      <c r="E916" s="241">
        <v>2.3873826825234097E-4</v>
      </c>
      <c r="F916" s="242">
        <v>912</v>
      </c>
      <c r="G916" s="243">
        <f t="shared" ca="1" si="32"/>
        <v>3.482815410233369E-2</v>
      </c>
    </row>
    <row r="917" spans="2:7" ht="15" thickBot="1" x14ac:dyDescent="0.35">
      <c r="B917" s="170">
        <v>45657.645833333336</v>
      </c>
      <c r="C917" s="238">
        <v>3561.85</v>
      </c>
      <c r="D917" s="241">
        <f t="shared" si="31"/>
        <v>-0.16215421528039139</v>
      </c>
      <c r="E917" s="241">
        <v>2.3869699522603455E-4</v>
      </c>
      <c r="F917" s="242">
        <v>913</v>
      </c>
      <c r="G917" s="243">
        <f t="shared" ca="1" si="32"/>
        <v>1.1925526127881109E-2</v>
      </c>
    </row>
    <row r="918" spans="2:7" ht="15" thickBot="1" x14ac:dyDescent="0.35">
      <c r="B918" s="170">
        <v>44468.645833333336</v>
      </c>
      <c r="C918" s="238">
        <v>4251.2</v>
      </c>
      <c r="D918" s="241">
        <f t="shared" si="31"/>
        <v>4.4354095783228652E-2</v>
      </c>
      <c r="E918" s="241">
        <v>2.35283045503741E-4</v>
      </c>
      <c r="F918" s="242">
        <v>914</v>
      </c>
      <c r="G918" s="243">
        <f t="shared" ca="1" si="32"/>
        <v>-4.2122389373415127E-3</v>
      </c>
    </row>
    <row r="919" spans="2:7" ht="15" thickBot="1" x14ac:dyDescent="0.35">
      <c r="B919" s="170">
        <v>45268.645833333336</v>
      </c>
      <c r="C919" s="238">
        <v>4070.65</v>
      </c>
      <c r="D919" s="241">
        <f t="shared" si="31"/>
        <v>0.18281272700857187</v>
      </c>
      <c r="E919" s="241">
        <v>2.2114380490204335E-4</v>
      </c>
      <c r="F919" s="242">
        <v>915</v>
      </c>
      <c r="G919" s="243">
        <f t="shared" ca="1" si="32"/>
        <v>8.5223799460633319E-3</v>
      </c>
    </row>
    <row r="920" spans="2:7" ht="15" thickBot="1" x14ac:dyDescent="0.35">
      <c r="B920" s="170">
        <v>44963.645833333336</v>
      </c>
      <c r="C920" s="238">
        <v>3441.5</v>
      </c>
      <c r="D920" s="241">
        <f t="shared" si="31"/>
        <v>-0.30606524982860822</v>
      </c>
      <c r="E920" s="241">
        <v>1.7437298381234824E-4</v>
      </c>
      <c r="F920" s="242">
        <v>916</v>
      </c>
      <c r="G920" s="243">
        <f t="shared" ca="1" si="32"/>
        <v>-8.8730857839012418E-3</v>
      </c>
    </row>
    <row r="921" spans="2:7" ht="15" thickBot="1" x14ac:dyDescent="0.35">
      <c r="B921" s="170">
        <v>45530.645833333336</v>
      </c>
      <c r="C921" s="238">
        <v>4959.3999999999996</v>
      </c>
      <c r="D921" s="241">
        <f t="shared" si="31"/>
        <v>0.29759288330716893</v>
      </c>
      <c r="E921" s="241">
        <v>1.7142108075938616E-4</v>
      </c>
      <c r="F921" s="242">
        <v>917</v>
      </c>
      <c r="G921" s="243">
        <f t="shared" ca="1" si="32"/>
        <v>2.5725372864103313E-2</v>
      </c>
    </row>
    <row r="922" spans="2:7" ht="15" thickBot="1" x14ac:dyDescent="0.35">
      <c r="B922" s="170">
        <v>45301.645833333336</v>
      </c>
      <c r="C922" s="238">
        <v>3822</v>
      </c>
      <c r="D922" s="241">
        <f t="shared" si="31"/>
        <v>-6.5571365703388548E-2</v>
      </c>
      <c r="E922" s="241">
        <v>1.7009695526452458E-4</v>
      </c>
      <c r="F922" s="242">
        <v>918</v>
      </c>
      <c r="G922" s="243">
        <f t="shared" ca="1" si="32"/>
        <v>-1.9499109777356024E-2</v>
      </c>
    </row>
    <row r="923" spans="2:7" ht="15" thickBot="1" x14ac:dyDescent="0.35">
      <c r="B923" s="170">
        <v>44914.645833333336</v>
      </c>
      <c r="C923" s="238">
        <v>4090.2</v>
      </c>
      <c r="D923" s="241">
        <f t="shared" si="31"/>
        <v>3.4132281553398057E-2</v>
      </c>
      <c r="E923" s="241">
        <v>1.5894169285120274E-4</v>
      </c>
      <c r="F923" s="242">
        <v>919</v>
      </c>
      <c r="G923" s="243">
        <f t="shared" ca="1" si="32"/>
        <v>-1.8937715099382232E-2</v>
      </c>
    </row>
    <row r="924" spans="2:7" ht="15" thickBot="1" x14ac:dyDescent="0.35">
      <c r="B924" s="170">
        <v>44887.645833333336</v>
      </c>
      <c r="C924" s="238">
        <v>3955.2</v>
      </c>
      <c r="D924" s="241">
        <f t="shared" si="31"/>
        <v>0.85155536830278755</v>
      </c>
      <c r="E924" s="241">
        <v>1.1378721790247628E-4</v>
      </c>
      <c r="F924" s="242">
        <v>920</v>
      </c>
      <c r="G924" s="243">
        <f t="shared" ca="1" si="32"/>
        <v>-8.0846443940934334E-3</v>
      </c>
    </row>
    <row r="925" spans="2:7" ht="15" thickBot="1" x14ac:dyDescent="0.35">
      <c r="B925" s="170">
        <v>44089.645833333336</v>
      </c>
      <c r="C925" s="238">
        <v>2136.15</v>
      </c>
      <c r="D925" s="241">
        <f t="shared" si="31"/>
        <v>0.43082487692153121</v>
      </c>
      <c r="E925" s="241">
        <v>9.363515063567633E-5</v>
      </c>
      <c r="F925" s="242">
        <v>921</v>
      </c>
      <c r="G925" s="243">
        <f t="shared" ca="1" si="32"/>
        <v>2.9863432219683728E-2</v>
      </c>
    </row>
    <row r="926" spans="2:7" ht="15" thickBot="1" x14ac:dyDescent="0.35">
      <c r="B926" s="170">
        <v>43556.645833333336</v>
      </c>
      <c r="C926" s="238">
        <v>1492.95</v>
      </c>
      <c r="D926" s="241">
        <f t="shared" si="31"/>
        <v>-0.53267912480045065</v>
      </c>
      <c r="E926" s="241">
        <v>6.6985966440122208E-5</v>
      </c>
      <c r="F926" s="242">
        <v>922</v>
      </c>
      <c r="G926" s="243">
        <f t="shared" ca="1" si="32"/>
        <v>5.6183009644889328E-3</v>
      </c>
    </row>
    <row r="927" spans="2:7" ht="15" thickBot="1" x14ac:dyDescent="0.35">
      <c r="B927" s="170">
        <v>44356.645833333336</v>
      </c>
      <c r="C927" s="238">
        <v>3194.7</v>
      </c>
      <c r="D927" s="241">
        <f t="shared" si="31"/>
        <v>-0.12466778091349974</v>
      </c>
      <c r="E927" s="241">
        <v>6.2607606824172202E-5</v>
      </c>
      <c r="F927" s="242">
        <v>923</v>
      </c>
      <c r="G927" s="243">
        <f t="shared" ca="1" si="32"/>
        <v>-6.7132014298853745E-4</v>
      </c>
    </row>
    <row r="928" spans="2:7" ht="15" thickBot="1" x14ac:dyDescent="0.35">
      <c r="B928" s="170">
        <v>45233.645833333336</v>
      </c>
      <c r="C928" s="238">
        <v>3649.7</v>
      </c>
      <c r="D928" s="241">
        <f t="shared" si="31"/>
        <v>1.5837669463027855</v>
      </c>
      <c r="E928" s="241">
        <v>4.1100957652213615E-5</v>
      </c>
      <c r="F928" s="242">
        <v>924</v>
      </c>
      <c r="G928" s="243">
        <f t="shared" ca="1" si="32"/>
        <v>-1.0250924853728098E-2</v>
      </c>
    </row>
    <row r="929" spans="2:7" ht="15" thickBot="1" x14ac:dyDescent="0.35">
      <c r="B929" s="170">
        <v>43423.645833333336</v>
      </c>
      <c r="C929" s="238">
        <v>1412.55</v>
      </c>
      <c r="D929" s="241">
        <f t="shared" si="31"/>
        <v>-0.66820909720835731</v>
      </c>
      <c r="E929" s="241">
        <v>3.539823008846338E-5</v>
      </c>
      <c r="F929" s="242">
        <v>925</v>
      </c>
      <c r="G929" s="243">
        <f t="shared" ca="1" si="32"/>
        <v>7.7689936788282116E-3</v>
      </c>
    </row>
    <row r="930" spans="2:7" ht="15" thickBot="1" x14ac:dyDescent="0.35">
      <c r="B930" s="170">
        <v>44473.645833333336</v>
      </c>
      <c r="C930" s="238">
        <v>4257.3500000000004</v>
      </c>
      <c r="D930" s="241">
        <f t="shared" si="31"/>
        <v>5.3199910941790607E-2</v>
      </c>
      <c r="E930" s="241">
        <v>1.17445329199685E-5</v>
      </c>
      <c r="F930" s="242">
        <v>926</v>
      </c>
      <c r="G930" s="243">
        <f t="shared" ca="1" si="32"/>
        <v>-1.0137323247663435E-2</v>
      </c>
    </row>
    <row r="931" spans="2:7" ht="15" thickBot="1" x14ac:dyDescent="0.35">
      <c r="B931" s="170">
        <v>45805.645833333336</v>
      </c>
      <c r="C931" s="239">
        <v>4042.3</v>
      </c>
      <c r="D931" s="241">
        <f t="shared" si="31"/>
        <v>6.4211246840775088E-2</v>
      </c>
      <c r="E931" s="241">
        <v>0</v>
      </c>
      <c r="F931" s="242">
        <v>927</v>
      </c>
      <c r="G931" s="243">
        <f t="shared" ca="1" si="32"/>
        <v>-2.8423836141168294E-3</v>
      </c>
    </row>
    <row r="932" spans="2:7" ht="15" thickBot="1" x14ac:dyDescent="0.35">
      <c r="B932" s="170">
        <v>45240.645833333336</v>
      </c>
      <c r="C932" s="238">
        <v>3798.4</v>
      </c>
      <c r="D932" s="241">
        <f t="shared" si="31"/>
        <v>0.11806434521531801</v>
      </c>
      <c r="E932" s="241">
        <v>-1.3163263962860417E-5</v>
      </c>
      <c r="F932" s="242">
        <v>928</v>
      </c>
      <c r="G932" s="243">
        <f t="shared" ca="1" si="32"/>
        <v>2.7264398256618512E-3</v>
      </c>
    </row>
    <row r="933" spans="2:7" ht="15" thickBot="1" x14ac:dyDescent="0.35">
      <c r="B933" s="170">
        <v>44397.645833333336</v>
      </c>
      <c r="C933" s="238">
        <v>3397.3</v>
      </c>
      <c r="D933" s="241">
        <f t="shared" si="31"/>
        <v>1.272517475500853</v>
      </c>
      <c r="E933" s="241">
        <v>-1.471735323111459E-5</v>
      </c>
      <c r="F933" s="242">
        <v>929</v>
      </c>
      <c r="G933" s="243">
        <f t="shared" ca="1" si="32"/>
        <v>-8.7296629845600975E-3</v>
      </c>
    </row>
    <row r="934" spans="2:7" ht="15" thickBot="1" x14ac:dyDescent="0.35">
      <c r="B934" s="170">
        <v>43236.645833333336</v>
      </c>
      <c r="C934" s="238">
        <v>1494.95</v>
      </c>
      <c r="D934" s="241">
        <f t="shared" si="31"/>
        <v>-0.66655886157826649</v>
      </c>
      <c r="E934" s="241">
        <v>-3.3444816053481287E-5</v>
      </c>
      <c r="F934" s="242">
        <v>930</v>
      </c>
      <c r="G934" s="243">
        <f t="shared" ca="1" si="32"/>
        <v>-4.0369872346388919E-2</v>
      </c>
    </row>
    <row r="935" spans="2:7" ht="15" thickBot="1" x14ac:dyDescent="0.35">
      <c r="B935" s="170">
        <v>44580.645833333336</v>
      </c>
      <c r="C935" s="238">
        <v>4483.3999999999996</v>
      </c>
      <c r="D935" s="241">
        <f t="shared" si="31"/>
        <v>2.4113753091116603</v>
      </c>
      <c r="E935" s="241">
        <v>-3.3455632255811952E-5</v>
      </c>
      <c r="F935" s="242">
        <v>931</v>
      </c>
      <c r="G935" s="243">
        <f t="shared" ca="1" si="32"/>
        <v>3.6627346331866553E-2</v>
      </c>
    </row>
    <row r="936" spans="2:7" ht="15" thickBot="1" x14ac:dyDescent="0.35">
      <c r="B936" s="170">
        <v>43160.645833333336</v>
      </c>
      <c r="C936" s="238">
        <v>1314.25</v>
      </c>
      <c r="D936" s="241">
        <f t="shared" si="31"/>
        <v>-0.70931711363008021</v>
      </c>
      <c r="E936" s="241">
        <v>-3.8043064749261604E-5</v>
      </c>
      <c r="F936" s="242">
        <v>932</v>
      </c>
      <c r="G936" s="243">
        <f t="shared" ca="1" si="32"/>
        <v>6.4699951432550399E-3</v>
      </c>
    </row>
    <row r="937" spans="2:7" ht="15" thickBot="1" x14ac:dyDescent="0.35">
      <c r="B937" s="170">
        <v>44490.645833333336</v>
      </c>
      <c r="C937" s="238">
        <v>4521.25</v>
      </c>
      <c r="D937" s="241">
        <f t="shared" si="31"/>
        <v>1.1137326817922639E-2</v>
      </c>
      <c r="E937" s="241">
        <v>-4.4233597629038936E-5</v>
      </c>
      <c r="F937" s="242">
        <v>933</v>
      </c>
      <c r="G937" s="243">
        <f t="shared" ca="1" si="32"/>
        <v>-1.122577070273361E-2</v>
      </c>
    </row>
    <row r="938" spans="2:7" ht="15" thickBot="1" x14ac:dyDescent="0.35">
      <c r="B938" s="170">
        <v>44841.645833333336</v>
      </c>
      <c r="C938" s="238">
        <v>4471.45</v>
      </c>
      <c r="D938" s="241">
        <f t="shared" si="31"/>
        <v>1.7868183234652539</v>
      </c>
      <c r="E938" s="241">
        <v>-6.7087829149702446E-5</v>
      </c>
      <c r="F938" s="242">
        <v>934</v>
      </c>
      <c r="G938" s="243">
        <f t="shared" ca="1" si="32"/>
        <v>3.3327238680090195E-2</v>
      </c>
    </row>
    <row r="939" spans="2:7" ht="15" thickBot="1" x14ac:dyDescent="0.35">
      <c r="B939" s="170">
        <v>43343.645833333336</v>
      </c>
      <c r="C939" s="238">
        <v>1604.5</v>
      </c>
      <c r="D939" s="241">
        <f t="shared" si="31"/>
        <v>-0.6173977322857177</v>
      </c>
      <c r="E939" s="241">
        <v>-9.3478328607541177E-5</v>
      </c>
      <c r="F939" s="242">
        <v>935</v>
      </c>
      <c r="G939" s="243">
        <f t="shared" ca="1" si="32"/>
        <v>1.456524870023449E-2</v>
      </c>
    </row>
    <row r="940" spans="2:7" ht="15" thickBot="1" x14ac:dyDescent="0.35">
      <c r="B940" s="170">
        <v>44867.645833333336</v>
      </c>
      <c r="C940" s="238">
        <v>4193.6499999999996</v>
      </c>
      <c r="D940" s="241">
        <f t="shared" si="31"/>
        <v>1.8652978955998907</v>
      </c>
      <c r="E940" s="241">
        <v>-1.3113347003008486E-4</v>
      </c>
      <c r="F940" s="242">
        <v>936</v>
      </c>
      <c r="G940" s="243">
        <f t="shared" ca="1" si="32"/>
        <v>2.8042065293176215E-3</v>
      </c>
    </row>
    <row r="941" spans="2:7" ht="15" thickBot="1" x14ac:dyDescent="0.35">
      <c r="B941" s="170">
        <v>43662.645833333336</v>
      </c>
      <c r="C941" s="238">
        <v>1463.6</v>
      </c>
      <c r="D941" s="241">
        <f t="shared" si="31"/>
        <v>-0.68021324943191752</v>
      </c>
      <c r="E941" s="241">
        <v>-1.3663068725238794E-4</v>
      </c>
      <c r="F941" s="242">
        <v>937</v>
      </c>
      <c r="G941" s="243">
        <f t="shared" ca="1" si="32"/>
        <v>-2.7375547686751409E-2</v>
      </c>
    </row>
    <row r="942" spans="2:7" ht="15" thickBot="1" x14ac:dyDescent="0.35">
      <c r="B942" s="170">
        <v>44806.645833333336</v>
      </c>
      <c r="C942" s="238">
        <v>4576.8</v>
      </c>
      <c r="D942" s="241">
        <f t="shared" si="31"/>
        <v>7.6881448453547607E-2</v>
      </c>
      <c r="E942" s="241">
        <v>-1.4200045877063347E-4</v>
      </c>
      <c r="F942" s="242">
        <v>938</v>
      </c>
      <c r="G942" s="243">
        <f t="shared" ca="1" si="32"/>
        <v>2.7338237202819422E-2</v>
      </c>
    </row>
    <row r="943" spans="2:7" ht="15" thickBot="1" x14ac:dyDescent="0.35">
      <c r="B943" s="170">
        <v>44781.645833333336</v>
      </c>
      <c r="C943" s="238">
        <v>4250.05</v>
      </c>
      <c r="D943" s="241">
        <f t="shared" si="31"/>
        <v>1.8745688197497465</v>
      </c>
      <c r="E943" s="241">
        <v>-1.5291599030739319E-4</v>
      </c>
      <c r="F943" s="242">
        <v>939</v>
      </c>
      <c r="G943" s="243">
        <f t="shared" ca="1" si="32"/>
        <v>9.1160587605308378E-3</v>
      </c>
    </row>
    <row r="944" spans="2:7" ht="15" thickBot="1" x14ac:dyDescent="0.35">
      <c r="B944" s="170">
        <v>43539.645833333336</v>
      </c>
      <c r="C944" s="238">
        <v>1478.5</v>
      </c>
      <c r="D944" s="241">
        <f t="shared" si="31"/>
        <v>-0.19526466185875629</v>
      </c>
      <c r="E944" s="241">
        <v>-2.0286718961316915E-4</v>
      </c>
      <c r="F944" s="242">
        <v>940</v>
      </c>
      <c r="G944" s="243">
        <f t="shared" ca="1" si="32"/>
        <v>3.8397300149517928E-2</v>
      </c>
    </row>
    <row r="945" spans="2:7" ht="15" thickBot="1" x14ac:dyDescent="0.35">
      <c r="B945" s="170">
        <v>43791.645833333336</v>
      </c>
      <c r="C945" s="238">
        <v>1837.25</v>
      </c>
      <c r="D945" s="241">
        <f t="shared" si="31"/>
        <v>-0.49435805696986379</v>
      </c>
      <c r="E945" s="241">
        <v>-2.1766930590705027E-4</v>
      </c>
      <c r="F945" s="242">
        <v>941</v>
      </c>
      <c r="G945" s="243">
        <f t="shared" ca="1" si="32"/>
        <v>-7.8000097179795605E-3</v>
      </c>
    </row>
    <row r="946" spans="2:7" ht="15" thickBot="1" x14ac:dyDescent="0.35">
      <c r="B946" s="170">
        <v>44424.645833333336</v>
      </c>
      <c r="C946" s="238">
        <v>3633.5</v>
      </c>
      <c r="D946" s="241">
        <f t="shared" si="31"/>
        <v>1.4385087748733263</v>
      </c>
      <c r="E946" s="241">
        <v>-2.338795107790689E-4</v>
      </c>
      <c r="F946" s="242">
        <v>942</v>
      </c>
      <c r="G946" s="243">
        <f t="shared" ca="1" si="32"/>
        <v>-2.1472968986033705E-2</v>
      </c>
    </row>
    <row r="947" spans="2:7" ht="15" thickBot="1" x14ac:dyDescent="0.35">
      <c r="B947" s="170">
        <v>43682.645833333336</v>
      </c>
      <c r="C947" s="238">
        <v>1490.05</v>
      </c>
      <c r="D947" s="241">
        <f t="shared" si="31"/>
        <v>-0.67634345540640339</v>
      </c>
      <c r="E947" s="241">
        <v>-2.6837532288912137E-4</v>
      </c>
      <c r="F947" s="242">
        <v>943</v>
      </c>
      <c r="G947" s="243">
        <f t="shared" ca="1" si="32"/>
        <v>2.9789289263778031E-2</v>
      </c>
    </row>
    <row r="948" spans="2:7" ht="15" thickBot="1" x14ac:dyDescent="0.35">
      <c r="B948" s="170">
        <v>45412.645833333336</v>
      </c>
      <c r="C948" s="238">
        <v>4603.8</v>
      </c>
      <c r="D948" s="241">
        <f t="shared" si="31"/>
        <v>9.7187797902764578E-2</v>
      </c>
      <c r="E948" s="241">
        <v>-2.7144113527540419E-4</v>
      </c>
      <c r="F948" s="242">
        <v>944</v>
      </c>
      <c r="G948" s="243">
        <f t="shared" ca="1" si="32"/>
        <v>1.3321970166901766E-2</v>
      </c>
    </row>
    <row r="949" spans="2:7" ht="15" thickBot="1" x14ac:dyDescent="0.35">
      <c r="B949" s="170">
        <v>45870.645833333336</v>
      </c>
      <c r="C949" s="239">
        <v>4196</v>
      </c>
      <c r="D949" s="241">
        <f t="shared" si="31"/>
        <v>-3.4958601655933765E-2</v>
      </c>
      <c r="E949" s="241">
        <v>-2.8590488897355814E-4</v>
      </c>
      <c r="F949" s="242">
        <v>945</v>
      </c>
      <c r="G949" s="243">
        <f t="shared" ca="1" si="32"/>
        <v>5.1156421862782768E-3</v>
      </c>
    </row>
    <row r="950" spans="2:7" ht="15" thickBot="1" x14ac:dyDescent="0.35">
      <c r="B950" s="170">
        <v>44823.645833333336</v>
      </c>
      <c r="C950" s="238">
        <v>4348</v>
      </c>
      <c r="D950" s="241">
        <f t="shared" si="31"/>
        <v>2.2552219809837539</v>
      </c>
      <c r="E950" s="241">
        <v>-2.9889867334977624E-4</v>
      </c>
      <c r="F950" s="242">
        <v>946</v>
      </c>
      <c r="G950" s="243">
        <f t="shared" ca="1" si="32"/>
        <v>-1.7375089065581557E-2</v>
      </c>
    </row>
    <row r="951" spans="2:7" ht="15" thickBot="1" x14ac:dyDescent="0.35">
      <c r="B951" s="170">
        <v>43635.645833333336</v>
      </c>
      <c r="C951" s="238">
        <v>1335.7</v>
      </c>
      <c r="D951" s="241">
        <f t="shared" si="31"/>
        <v>-0.42415554741221362</v>
      </c>
      <c r="E951" s="241">
        <v>-3.3678853422149118E-4</v>
      </c>
      <c r="F951" s="242">
        <v>947</v>
      </c>
      <c r="G951" s="243">
        <f t="shared" ca="1" si="32"/>
        <v>-2.5149112267144072E-2</v>
      </c>
    </row>
    <row r="952" spans="2:7" ht="15" thickBot="1" x14ac:dyDescent="0.35">
      <c r="B952" s="170">
        <v>44020.645833333336</v>
      </c>
      <c r="C952" s="238">
        <v>2319.5500000000002</v>
      </c>
      <c r="D952" s="241">
        <f t="shared" si="31"/>
        <v>-0.53708064741453287</v>
      </c>
      <c r="E952" s="241">
        <v>-3.4477557265056013E-4</v>
      </c>
      <c r="F952" s="242">
        <v>948</v>
      </c>
      <c r="G952" s="243">
        <f t="shared" ca="1" si="32"/>
        <v>-4.3008970498109268E-3</v>
      </c>
    </row>
    <row r="953" spans="2:7" ht="15" thickBot="1" x14ac:dyDescent="0.35">
      <c r="B953" s="170">
        <v>45492.645833333336</v>
      </c>
      <c r="C953" s="238">
        <v>5010.7</v>
      </c>
      <c r="D953" s="241">
        <f t="shared" si="31"/>
        <v>0.43091311487113582</v>
      </c>
      <c r="E953" s="241">
        <v>-4.2889773282674435E-4</v>
      </c>
      <c r="F953" s="242">
        <v>949</v>
      </c>
      <c r="G953" s="243">
        <f t="shared" ca="1" si="32"/>
        <v>1.7822447740823248E-2</v>
      </c>
    </row>
    <row r="954" spans="2:7" ht="15" thickBot="1" x14ac:dyDescent="0.35">
      <c r="B954" s="170">
        <v>45072.645833333336</v>
      </c>
      <c r="C954" s="238">
        <v>3501.75</v>
      </c>
      <c r="D954" s="241">
        <f t="shared" si="31"/>
        <v>1.243992310157001</v>
      </c>
      <c r="E954" s="241">
        <v>-4.4243998515690401E-4</v>
      </c>
      <c r="F954" s="242">
        <v>950</v>
      </c>
      <c r="G954" s="243">
        <f t="shared" ca="1" si="32"/>
        <v>-2.7905806262499007E-2</v>
      </c>
    </row>
    <row r="955" spans="2:7" ht="15" thickBot="1" x14ac:dyDescent="0.35">
      <c r="B955" s="170">
        <v>43349.645833333336</v>
      </c>
      <c r="C955" s="238">
        <v>1560.5</v>
      </c>
      <c r="D955" s="241">
        <f t="shared" si="31"/>
        <v>-0.55585598406147718</v>
      </c>
      <c r="E955" s="241">
        <v>-4.4837304637461277E-4</v>
      </c>
      <c r="F955" s="242">
        <v>951</v>
      </c>
      <c r="G955" s="243">
        <f t="shared" ca="1" si="32"/>
        <v>2.6292987595100323E-2</v>
      </c>
    </row>
    <row r="956" spans="2:7" ht="15" thickBot="1" x14ac:dyDescent="0.35">
      <c r="B956" s="170">
        <v>44950.645833333336</v>
      </c>
      <c r="C956" s="238">
        <v>3513.5</v>
      </c>
      <c r="D956" s="241">
        <f t="shared" si="31"/>
        <v>3.627742230347297E-3</v>
      </c>
      <c r="E956" s="241">
        <v>-4.5517908452104039E-4</v>
      </c>
      <c r="F956" s="242">
        <v>952</v>
      </c>
      <c r="G956" s="243">
        <f t="shared" ca="1" si="32"/>
        <v>2.9329095555911188E-2</v>
      </c>
    </row>
    <row r="957" spans="2:7" ht="15" thickBot="1" x14ac:dyDescent="0.35">
      <c r="B957" s="170">
        <v>44407.645833333336</v>
      </c>
      <c r="C957" s="238">
        <v>3500.8</v>
      </c>
      <c r="D957" s="241">
        <f t="shared" si="31"/>
        <v>1.5475185562509097</v>
      </c>
      <c r="E957" s="241">
        <v>-4.568296025582198E-4</v>
      </c>
      <c r="F957" s="242">
        <v>953</v>
      </c>
      <c r="G957" s="243">
        <f t="shared" ca="1" si="32"/>
        <v>-1.5759194384237965E-2</v>
      </c>
    </row>
    <row r="958" spans="2:7" ht="15" thickBot="1" x14ac:dyDescent="0.35">
      <c r="B958" s="170">
        <v>43495.645833333336</v>
      </c>
      <c r="C958" s="238">
        <v>1374.2</v>
      </c>
      <c r="D958" s="241">
        <f t="shared" si="31"/>
        <v>-0.64309738075759337</v>
      </c>
      <c r="E958" s="241">
        <v>-4.7277884860156644E-4</v>
      </c>
      <c r="F958" s="242">
        <v>954</v>
      </c>
      <c r="G958" s="243">
        <f t="shared" ca="1" si="32"/>
        <v>-1.6268806383393702E-2</v>
      </c>
    </row>
    <row r="959" spans="2:7" ht="15" thickBot="1" x14ac:dyDescent="0.35">
      <c r="B959" s="170">
        <v>45348.645833333336</v>
      </c>
      <c r="C959" s="238">
        <v>3850.35</v>
      </c>
      <c r="D959" s="241">
        <f t="shared" si="31"/>
        <v>-1.8981617131864914E-2</v>
      </c>
      <c r="E959" s="241">
        <v>-4.8024505477387187E-4</v>
      </c>
      <c r="F959" s="242">
        <v>955</v>
      </c>
      <c r="G959" s="243">
        <f t="shared" ca="1" si="32"/>
        <v>2.5534885391738225E-2</v>
      </c>
    </row>
    <row r="960" spans="2:7" ht="15" thickBot="1" x14ac:dyDescent="0.35">
      <c r="B960" s="170">
        <v>44756.645833333336</v>
      </c>
      <c r="C960" s="238">
        <v>3924.85</v>
      </c>
      <c r="D960" s="241">
        <f t="shared" si="31"/>
        <v>3.3943624868282375E-2</v>
      </c>
      <c r="E960" s="241">
        <v>-4.9658755220542748E-4</v>
      </c>
      <c r="F960" s="242">
        <v>956</v>
      </c>
      <c r="G960" s="243">
        <f t="shared" ca="1" si="32"/>
        <v>3.5526890231258039E-2</v>
      </c>
    </row>
    <row r="961" spans="2:7" ht="15" thickBot="1" x14ac:dyDescent="0.35">
      <c r="B961" s="170">
        <v>45184.645833333336</v>
      </c>
      <c r="C961" s="238">
        <v>3796</v>
      </c>
      <c r="D961" s="241">
        <f t="shared" si="31"/>
        <v>1.5669461725723559</v>
      </c>
      <c r="E961" s="241">
        <v>-5.0027646857476256E-4</v>
      </c>
      <c r="F961" s="242">
        <v>957</v>
      </c>
      <c r="G961" s="243">
        <f t="shared" ca="1" si="32"/>
        <v>-2.0026284651697517E-2</v>
      </c>
    </row>
    <row r="962" spans="2:7" ht="15" thickBot="1" x14ac:dyDescent="0.35">
      <c r="B962" s="170">
        <v>43542.645833333336</v>
      </c>
      <c r="C962" s="238">
        <v>1478.8</v>
      </c>
      <c r="D962" s="241">
        <f t="shared" si="31"/>
        <v>1.5798873471630719E-2</v>
      </c>
      <c r="E962" s="241">
        <v>-5.0691088506640532E-4</v>
      </c>
      <c r="F962" s="242">
        <v>958</v>
      </c>
      <c r="G962" s="243">
        <f t="shared" ca="1" si="32"/>
        <v>2.1243643955466979E-2</v>
      </c>
    </row>
    <row r="963" spans="2:7" ht="15" thickBot="1" x14ac:dyDescent="0.35">
      <c r="B963" s="170">
        <v>43524.645833333336</v>
      </c>
      <c r="C963" s="238">
        <v>1455.8</v>
      </c>
      <c r="D963" s="241">
        <f t="shared" si="31"/>
        <v>-0.20028565150516375</v>
      </c>
      <c r="E963" s="241">
        <v>-5.1491538223885213E-4</v>
      </c>
      <c r="F963" s="242">
        <v>959</v>
      </c>
      <c r="G963" s="243">
        <f t="shared" ca="1" si="32"/>
        <v>3.5404546001339771E-2</v>
      </c>
    </row>
    <row r="964" spans="2:7" ht="15" thickBot="1" x14ac:dyDescent="0.35">
      <c r="B964" s="170">
        <v>43747.645833333336</v>
      </c>
      <c r="C964" s="238">
        <v>1820.4</v>
      </c>
      <c r="D964" s="241">
        <f t="shared" si="31"/>
        <v>0.14235511907376622</v>
      </c>
      <c r="E964" s="241">
        <v>-5.2159112746030041E-4</v>
      </c>
      <c r="F964" s="242">
        <v>960</v>
      </c>
      <c r="G964" s="243">
        <f t="shared" ca="1" si="32"/>
        <v>-4.3343201619329454E-3</v>
      </c>
    </row>
    <row r="965" spans="2:7" ht="15" thickBot="1" x14ac:dyDescent="0.35">
      <c r="B965" s="170">
        <v>43259.645833333336</v>
      </c>
      <c r="C965" s="238">
        <v>1593.55</v>
      </c>
      <c r="D965" s="241">
        <f t="shared" ref="D965:D1028" si="33">(C965-C966)/C966</f>
        <v>-0.64385566941188299</v>
      </c>
      <c r="E965" s="241">
        <v>-5.3311590566993002E-4</v>
      </c>
      <c r="F965" s="242">
        <v>961</v>
      </c>
      <c r="G965" s="243">
        <f t="shared" ca="1" si="32"/>
        <v>2.4939107362624301E-2</v>
      </c>
    </row>
    <row r="966" spans="2:7" ht="15" thickBot="1" x14ac:dyDescent="0.35">
      <c r="B966" s="170">
        <v>45440.645833333336</v>
      </c>
      <c r="C966" s="238">
        <v>4474.45</v>
      </c>
      <c r="D966" s="241">
        <f t="shared" si="33"/>
        <v>9.4345390955560451E-2</v>
      </c>
      <c r="E966" s="241">
        <v>-5.36091224856885E-4</v>
      </c>
      <c r="F966" s="242">
        <v>962</v>
      </c>
      <c r="G966" s="243">
        <f t="shared" ref="G966:G1029" ca="1" si="34">_xlfn.NORM.INV(RAND(),$M$7,$M$8)</f>
        <v>-1.0168190240924059E-2</v>
      </c>
    </row>
    <row r="967" spans="2:7" ht="15" thickBot="1" x14ac:dyDescent="0.35">
      <c r="B967" s="170">
        <v>44663.645833333336</v>
      </c>
      <c r="C967" s="238">
        <v>4088.7</v>
      </c>
      <c r="D967" s="241">
        <f t="shared" si="33"/>
        <v>0.11739065083421005</v>
      </c>
      <c r="E967" s="241">
        <v>-5.3777897284222858E-4</v>
      </c>
      <c r="F967" s="242">
        <v>963</v>
      </c>
      <c r="G967" s="243">
        <f t="shared" ca="1" si="34"/>
        <v>-1.9616727499471277E-2</v>
      </c>
    </row>
    <row r="968" spans="2:7" ht="15" thickBot="1" x14ac:dyDescent="0.35">
      <c r="B968" s="170">
        <v>45622.645833333336</v>
      </c>
      <c r="C968" s="238">
        <v>3659.15</v>
      </c>
      <c r="D968" s="241">
        <f t="shared" si="33"/>
        <v>-7.540107677077185E-3</v>
      </c>
      <c r="E968" s="241">
        <v>-5.7357459883916942E-4</v>
      </c>
      <c r="F968" s="242">
        <v>964</v>
      </c>
      <c r="G968" s="243">
        <f t="shared" ca="1" si="34"/>
        <v>-2.9254066179277127E-3</v>
      </c>
    </row>
    <row r="969" spans="2:7" ht="15" thickBot="1" x14ac:dyDescent="0.35">
      <c r="B969" s="170">
        <v>45190.645833333336</v>
      </c>
      <c r="C969" s="238">
        <v>3686.95</v>
      </c>
      <c r="D969" s="241">
        <f t="shared" si="33"/>
        <v>1.4866459836784245</v>
      </c>
      <c r="E969" s="241">
        <v>-5.8279797240521833E-4</v>
      </c>
      <c r="F969" s="242">
        <v>965</v>
      </c>
      <c r="G969" s="243">
        <f t="shared" ca="1" si="34"/>
        <v>-3.558675802208669E-2</v>
      </c>
    </row>
    <row r="970" spans="2:7" ht="15" thickBot="1" x14ac:dyDescent="0.35">
      <c r="B970" s="170">
        <v>43677.645833333336</v>
      </c>
      <c r="C970" s="238">
        <v>1482.7</v>
      </c>
      <c r="D970" s="241">
        <f t="shared" si="33"/>
        <v>-0.59349682655005553</v>
      </c>
      <c r="E970" s="241">
        <v>-6.0663251550273898E-4</v>
      </c>
      <c r="F970" s="242">
        <v>966</v>
      </c>
      <c r="G970" s="243">
        <f t="shared" ca="1" si="34"/>
        <v>-6.0398413174226114E-3</v>
      </c>
    </row>
    <row r="971" spans="2:7" ht="15" thickBot="1" x14ac:dyDescent="0.35">
      <c r="B971" s="170">
        <v>45232.645833333336</v>
      </c>
      <c r="C971" s="238">
        <v>3647.45</v>
      </c>
      <c r="D971" s="241">
        <f t="shared" si="33"/>
        <v>0.62996313261088144</v>
      </c>
      <c r="E971" s="241">
        <v>-6.164890264953284E-4</v>
      </c>
      <c r="F971" s="242">
        <v>967</v>
      </c>
      <c r="G971" s="243">
        <f t="shared" ca="1" si="34"/>
        <v>-2.3398117957841972E-2</v>
      </c>
    </row>
    <row r="972" spans="2:7" ht="15" thickBot="1" x14ac:dyDescent="0.35">
      <c r="B972" s="170">
        <v>44084.645833333336</v>
      </c>
      <c r="C972" s="238">
        <v>2237.75</v>
      </c>
      <c r="D972" s="241">
        <f t="shared" si="33"/>
        <v>-0.43770887252808</v>
      </c>
      <c r="E972" s="241">
        <v>-7.1449304485672594E-4</v>
      </c>
      <c r="F972" s="242">
        <v>968</v>
      </c>
      <c r="G972" s="243">
        <f t="shared" ca="1" si="34"/>
        <v>-7.6275897497731678E-3</v>
      </c>
    </row>
    <row r="973" spans="2:7" ht="15" thickBot="1" x14ac:dyDescent="0.35">
      <c r="B973" s="170">
        <v>44453.645833333336</v>
      </c>
      <c r="C973" s="238">
        <v>3979.7</v>
      </c>
      <c r="D973" s="241">
        <f t="shared" si="33"/>
        <v>-3.0913274810368506E-2</v>
      </c>
      <c r="E973" s="241">
        <v>-7.2816752875008565E-4</v>
      </c>
      <c r="F973" s="242">
        <v>969</v>
      </c>
      <c r="G973" s="243">
        <f t="shared" ca="1" si="34"/>
        <v>2.019875002098458E-2</v>
      </c>
    </row>
    <row r="974" spans="2:7" ht="15" thickBot="1" x14ac:dyDescent="0.35">
      <c r="B974" s="170">
        <v>44655.645833333336</v>
      </c>
      <c r="C974" s="238">
        <v>4106.6499999999996</v>
      </c>
      <c r="D974" s="241">
        <f t="shared" si="33"/>
        <v>0.15874493870007461</v>
      </c>
      <c r="E974" s="241">
        <v>-7.4214662870773589E-4</v>
      </c>
      <c r="F974" s="242">
        <v>970</v>
      </c>
      <c r="G974" s="243">
        <f t="shared" ca="1" si="34"/>
        <v>3.4771914409566884E-3</v>
      </c>
    </row>
    <row r="975" spans="2:7" ht="15" thickBot="1" x14ac:dyDescent="0.35">
      <c r="B975" s="170">
        <v>45084.645833333336</v>
      </c>
      <c r="C975" s="238">
        <v>3544.05</v>
      </c>
      <c r="D975" s="241">
        <f t="shared" si="33"/>
        <v>1.2557044203290584</v>
      </c>
      <c r="E975" s="241">
        <v>-7.7534679147400472E-4</v>
      </c>
      <c r="F975" s="242">
        <v>971</v>
      </c>
      <c r="G975" s="243">
        <f t="shared" ca="1" si="34"/>
        <v>1.6737510098106343E-3</v>
      </c>
    </row>
    <row r="976" spans="2:7" ht="15" thickBot="1" x14ac:dyDescent="0.35">
      <c r="B976" s="170">
        <v>43472.645833333336</v>
      </c>
      <c r="C976" s="238">
        <v>1571.15</v>
      </c>
      <c r="D976" s="241">
        <f t="shared" si="33"/>
        <v>1.8491949625379187E-3</v>
      </c>
      <c r="E976" s="241">
        <v>-7.9496311371152369E-4</v>
      </c>
      <c r="F976" s="242">
        <v>972</v>
      </c>
      <c r="G976" s="243">
        <f t="shared" ca="1" si="34"/>
        <v>9.7863402933921154E-4</v>
      </c>
    </row>
    <row r="977" spans="2:7" ht="15" thickBot="1" x14ac:dyDescent="0.35">
      <c r="B977" s="170">
        <v>43720.645833333336</v>
      </c>
      <c r="C977" s="238">
        <v>1568.25</v>
      </c>
      <c r="D977" s="241">
        <f t="shared" si="33"/>
        <v>-0.59834291641588444</v>
      </c>
      <c r="E977" s="241">
        <v>-8.2826287789490908E-4</v>
      </c>
      <c r="F977" s="242">
        <v>973</v>
      </c>
      <c r="G977" s="243">
        <f t="shared" ca="1" si="34"/>
        <v>8.0782948819276262E-3</v>
      </c>
    </row>
    <row r="978" spans="2:7" ht="15" thickBot="1" x14ac:dyDescent="0.35">
      <c r="B978" s="170">
        <v>44890.645833333336</v>
      </c>
      <c r="C978" s="238">
        <v>3904.45</v>
      </c>
      <c r="D978" s="241">
        <f t="shared" si="33"/>
        <v>0.62807522308397967</v>
      </c>
      <c r="E978" s="241">
        <v>-8.3169127619827526E-4</v>
      </c>
      <c r="F978" s="242">
        <v>974</v>
      </c>
      <c r="G978" s="243">
        <f t="shared" ca="1" si="34"/>
        <v>2.0539413302367714E-2</v>
      </c>
    </row>
    <row r="979" spans="2:7" ht="15" thickBot="1" x14ac:dyDescent="0.35">
      <c r="B979" s="170">
        <v>44146.645833333336</v>
      </c>
      <c r="C979" s="238">
        <v>2398.1999999999998</v>
      </c>
      <c r="D979" s="241">
        <f t="shared" si="33"/>
        <v>-0.40202715338295253</v>
      </c>
      <c r="E979" s="241">
        <v>-8.7489063867031772E-4</v>
      </c>
      <c r="F979" s="242">
        <v>975</v>
      </c>
      <c r="G979" s="243">
        <f t="shared" ca="1" si="34"/>
        <v>-7.7429135865373184E-3</v>
      </c>
    </row>
    <row r="980" spans="2:7" ht="15" thickBot="1" x14ac:dyDescent="0.35">
      <c r="B980" s="170">
        <v>45369.645833333336</v>
      </c>
      <c r="C980" s="238">
        <v>4010.55</v>
      </c>
      <c r="D980" s="241">
        <f t="shared" si="33"/>
        <v>2.2065160903457928</v>
      </c>
      <c r="E980" s="241">
        <v>-8.8438255150587359E-4</v>
      </c>
      <c r="F980" s="242">
        <v>976</v>
      </c>
      <c r="G980" s="243">
        <f t="shared" ca="1" si="34"/>
        <v>1.3952918781582035E-2</v>
      </c>
    </row>
    <row r="981" spans="2:7" ht="15" thickBot="1" x14ac:dyDescent="0.35">
      <c r="B981" s="170">
        <v>43595.645833333336</v>
      </c>
      <c r="C981" s="238">
        <v>1250.75</v>
      </c>
      <c r="D981" s="241">
        <f t="shared" si="33"/>
        <v>-0.64685038258463445</v>
      </c>
      <c r="E981" s="241">
        <v>-9.1860372234211271E-4</v>
      </c>
      <c r="F981" s="242">
        <v>977</v>
      </c>
      <c r="G981" s="243">
        <f t="shared" ca="1" si="34"/>
        <v>6.1027067460990014E-3</v>
      </c>
    </row>
    <row r="982" spans="2:7" ht="15" thickBot="1" x14ac:dyDescent="0.35">
      <c r="B982" s="170">
        <v>44973.645833333336</v>
      </c>
      <c r="C982" s="238">
        <v>3541.7</v>
      </c>
      <c r="D982" s="241">
        <f t="shared" si="33"/>
        <v>1.3963598227274265</v>
      </c>
      <c r="E982" s="241">
        <v>-9.3088857545844342E-4</v>
      </c>
      <c r="F982" s="242">
        <v>978</v>
      </c>
      <c r="G982" s="243">
        <f t="shared" ca="1" si="34"/>
        <v>5.3314905939716148E-2</v>
      </c>
    </row>
    <row r="983" spans="2:7" ht="15" thickBot="1" x14ac:dyDescent="0.35">
      <c r="B983" s="170">
        <v>43550.645833333336</v>
      </c>
      <c r="C983" s="238">
        <v>1477.95</v>
      </c>
      <c r="D983" s="241">
        <f t="shared" si="33"/>
        <v>-0.63675576036866366</v>
      </c>
      <c r="E983" s="241">
        <v>-9.801270785453869E-4</v>
      </c>
      <c r="F983" s="242">
        <v>979</v>
      </c>
      <c r="G983" s="243">
        <f t="shared" ca="1" si="34"/>
        <v>7.4067539644676441E-3</v>
      </c>
    </row>
    <row r="984" spans="2:7" ht="15" thickBot="1" x14ac:dyDescent="0.35">
      <c r="B984" s="170">
        <v>44925.645833333336</v>
      </c>
      <c r="C984" s="238">
        <v>4068.75</v>
      </c>
      <c r="D984" s="241">
        <f t="shared" si="33"/>
        <v>1.1258994146814347E-2</v>
      </c>
      <c r="E984" s="241">
        <v>-9.8213737646553312E-4</v>
      </c>
      <c r="F984" s="242">
        <v>980</v>
      </c>
      <c r="G984" s="243">
        <f t="shared" ca="1" si="34"/>
        <v>4.7235730612213639E-3</v>
      </c>
    </row>
    <row r="985" spans="2:7" ht="15" thickBot="1" x14ac:dyDescent="0.35">
      <c r="B985" s="170">
        <v>45286.645833333336</v>
      </c>
      <c r="C985" s="238">
        <v>4023.45</v>
      </c>
      <c r="D985" s="241">
        <f t="shared" si="33"/>
        <v>1.03528340541771</v>
      </c>
      <c r="E985" s="241">
        <v>-9.9318427292703821E-4</v>
      </c>
      <c r="F985" s="242">
        <v>981</v>
      </c>
      <c r="G985" s="243">
        <f t="shared" ca="1" si="34"/>
        <v>2.1534066862256428E-3</v>
      </c>
    </row>
    <row r="986" spans="2:7" ht="15" thickBot="1" x14ac:dyDescent="0.35">
      <c r="B986" s="170">
        <v>43774.645833333336</v>
      </c>
      <c r="C986" s="238">
        <v>1976.85</v>
      </c>
      <c r="D986" s="241">
        <f t="shared" si="33"/>
        <v>-0.14803801150688475</v>
      </c>
      <c r="E986" s="241">
        <v>-1.0106880258736134E-3</v>
      </c>
      <c r="F986" s="242">
        <v>982</v>
      </c>
      <c r="G986" s="243">
        <f t="shared" ca="1" si="34"/>
        <v>-1.9936729888505953E-2</v>
      </c>
    </row>
    <row r="987" spans="2:7" ht="15" thickBot="1" x14ac:dyDescent="0.35">
      <c r="B987" s="170">
        <v>44021.645833333336</v>
      </c>
      <c r="C987" s="238">
        <v>2320.35</v>
      </c>
      <c r="D987" s="241">
        <f t="shared" si="33"/>
        <v>-0.3275712174341438</v>
      </c>
      <c r="E987" s="241">
        <v>-1.0117535626641017E-3</v>
      </c>
      <c r="F987" s="242">
        <v>983</v>
      </c>
      <c r="G987" s="243">
        <f t="shared" ca="1" si="34"/>
        <v>2.5610869499372206E-3</v>
      </c>
    </row>
    <row r="988" spans="2:7" ht="15" thickBot="1" x14ac:dyDescent="0.35">
      <c r="B988" s="170">
        <v>45026.645833333336</v>
      </c>
      <c r="C988" s="238">
        <v>3450.7</v>
      </c>
      <c r="D988" s="241">
        <f t="shared" si="33"/>
        <v>-5.4486169527750095E-2</v>
      </c>
      <c r="E988" s="241">
        <v>-1.0132592206589081E-3</v>
      </c>
      <c r="F988" s="242">
        <v>984</v>
      </c>
      <c r="G988" s="243">
        <f t="shared" ca="1" si="34"/>
        <v>-6.7409264052877707E-3</v>
      </c>
    </row>
    <row r="989" spans="2:7" ht="15" thickBot="1" x14ac:dyDescent="0.35">
      <c r="B989" s="170">
        <v>45236.645833333336</v>
      </c>
      <c r="C989" s="238">
        <v>3649.55</v>
      </c>
      <c r="D989" s="241">
        <f t="shared" si="33"/>
        <v>0.15790726081507694</v>
      </c>
      <c r="E989" s="241">
        <v>-1.0264692196096678E-3</v>
      </c>
      <c r="F989" s="242">
        <v>985</v>
      </c>
      <c r="G989" s="243">
        <f t="shared" ca="1" si="34"/>
        <v>6.3103648305347475E-3</v>
      </c>
    </row>
    <row r="990" spans="2:7" ht="15" thickBot="1" x14ac:dyDescent="0.35">
      <c r="B990" s="170">
        <v>44264.645833333336</v>
      </c>
      <c r="C990" s="238">
        <v>3151.85</v>
      </c>
      <c r="D990" s="241">
        <f t="shared" si="33"/>
        <v>1.3712383388504361</v>
      </c>
      <c r="E990" s="241">
        <v>-1.0617393509127502E-3</v>
      </c>
      <c r="F990" s="242">
        <v>986</v>
      </c>
      <c r="G990" s="243">
        <f t="shared" ca="1" si="34"/>
        <v>1.0542741470020102E-2</v>
      </c>
    </row>
    <row r="991" spans="2:7" ht="15" thickBot="1" x14ac:dyDescent="0.35">
      <c r="B991" s="170">
        <v>43640.645833333336</v>
      </c>
      <c r="C991" s="238">
        <v>1329.2</v>
      </c>
      <c r="D991" s="241">
        <f t="shared" si="33"/>
        <v>-0.6135316266154941</v>
      </c>
      <c r="E991" s="241">
        <v>-1.0896930071769776E-3</v>
      </c>
      <c r="F991" s="242">
        <v>987</v>
      </c>
      <c r="G991" s="243">
        <f t="shared" ca="1" si="34"/>
        <v>2.6179203705378851E-2</v>
      </c>
    </row>
    <row r="992" spans="2:7" ht="15" thickBot="1" x14ac:dyDescent="0.35">
      <c r="B992" s="170">
        <v>44986.645833333336</v>
      </c>
      <c r="C992" s="238">
        <v>3439.35</v>
      </c>
      <c r="D992" s="241">
        <f t="shared" si="33"/>
        <v>2.4347748391708363E-2</v>
      </c>
      <c r="E992" s="241">
        <v>-1.1181459107806428E-3</v>
      </c>
      <c r="F992" s="242">
        <v>988</v>
      </c>
      <c r="G992" s="243">
        <f t="shared" ca="1" si="34"/>
        <v>1.0047379402080165E-2</v>
      </c>
    </row>
    <row r="993" spans="2:7" ht="15" thickBot="1" x14ac:dyDescent="0.35">
      <c r="B993" s="170">
        <v>45006.645833333336</v>
      </c>
      <c r="C993" s="238">
        <v>3357.6</v>
      </c>
      <c r="D993" s="241">
        <f t="shared" si="33"/>
        <v>1.1305920426422995</v>
      </c>
      <c r="E993" s="241">
        <v>-1.1304813470578276E-3</v>
      </c>
      <c r="F993" s="242">
        <v>989</v>
      </c>
      <c r="G993" s="243">
        <f t="shared" ca="1" si="34"/>
        <v>-1.1584980085297082E-2</v>
      </c>
    </row>
    <row r="994" spans="2:7" ht="15" thickBot="1" x14ac:dyDescent="0.35">
      <c r="B994" s="170">
        <v>43468.645833333336</v>
      </c>
      <c r="C994" s="238">
        <v>1575.9</v>
      </c>
      <c r="D994" s="241">
        <f t="shared" si="33"/>
        <v>-0.53107285792926961</v>
      </c>
      <c r="E994" s="241">
        <v>-1.1725558548565419E-3</v>
      </c>
      <c r="F994" s="242">
        <v>990</v>
      </c>
      <c r="G994" s="243">
        <f t="shared" ca="1" si="34"/>
        <v>1.5150781166964172E-2</v>
      </c>
    </row>
    <row r="995" spans="2:7" ht="15" thickBot="1" x14ac:dyDescent="0.35">
      <c r="B995" s="170">
        <v>44382.645833333336</v>
      </c>
      <c r="C995" s="238">
        <v>3360.65</v>
      </c>
      <c r="D995" s="241">
        <f t="shared" si="33"/>
        <v>-4.0718750892016126E-2</v>
      </c>
      <c r="E995" s="241">
        <v>-1.1739879926290846E-3</v>
      </c>
      <c r="F995" s="242">
        <v>991</v>
      </c>
      <c r="G995" s="243">
        <f t="shared" ca="1" si="34"/>
        <v>-4.2216374492482875E-2</v>
      </c>
    </row>
    <row r="996" spans="2:7" ht="15" thickBot="1" x14ac:dyDescent="0.35">
      <c r="B996" s="170">
        <v>45075.645833333336</v>
      </c>
      <c r="C996" s="238">
        <v>3503.3</v>
      </c>
      <c r="D996" s="241">
        <f t="shared" si="33"/>
        <v>1.1282425126055526</v>
      </c>
      <c r="E996" s="241">
        <v>-1.1974340698502688E-3</v>
      </c>
      <c r="F996" s="242">
        <v>992</v>
      </c>
      <c r="G996" s="243">
        <f t="shared" ca="1" si="34"/>
        <v>7.9565576990895392E-3</v>
      </c>
    </row>
    <row r="997" spans="2:7" ht="15" thickBot="1" x14ac:dyDescent="0.35">
      <c r="B997" s="170">
        <v>43454.645833333336</v>
      </c>
      <c r="C997" s="238">
        <v>1646.1</v>
      </c>
      <c r="D997" s="241">
        <f t="shared" si="33"/>
        <v>-0.13922660600831438</v>
      </c>
      <c r="E997" s="241">
        <v>-1.2135185971725018E-3</v>
      </c>
      <c r="F997" s="242">
        <v>993</v>
      </c>
      <c r="G997" s="243">
        <f t="shared" ca="1" si="34"/>
        <v>-1.418512108904798E-3</v>
      </c>
    </row>
    <row r="998" spans="2:7" ht="15" thickBot="1" x14ac:dyDescent="0.35">
      <c r="B998" s="170">
        <v>43851.645833333336</v>
      </c>
      <c r="C998" s="238">
        <v>1912.35</v>
      </c>
      <c r="D998" s="241">
        <f t="shared" si="33"/>
        <v>-0.47907274485501428</v>
      </c>
      <c r="E998" s="241">
        <v>-1.2273463205724846E-3</v>
      </c>
      <c r="F998" s="242">
        <v>994</v>
      </c>
      <c r="G998" s="243">
        <f t="shared" ca="1" si="34"/>
        <v>-2.0809215084349762E-2</v>
      </c>
    </row>
    <row r="999" spans="2:7" ht="15" thickBot="1" x14ac:dyDescent="0.35">
      <c r="B999" s="170">
        <v>45197.645833333336</v>
      </c>
      <c r="C999" s="238">
        <v>3671.05</v>
      </c>
      <c r="D999" s="241">
        <f t="shared" si="33"/>
        <v>-0.25965251938570749</v>
      </c>
      <c r="E999" s="241">
        <v>-1.2378931330938425E-3</v>
      </c>
      <c r="F999" s="242">
        <v>995</v>
      </c>
      <c r="G999" s="243">
        <f t="shared" ca="1" si="34"/>
        <v>2.7679587254491867E-2</v>
      </c>
    </row>
    <row r="1000" spans="2:7" ht="15" thickBot="1" x14ac:dyDescent="0.35">
      <c r="B1000" s="170">
        <v>45531.645833333336</v>
      </c>
      <c r="C1000" s="238">
        <v>4958.55</v>
      </c>
      <c r="D1000" s="241">
        <f t="shared" si="33"/>
        <v>0.27850402227722776</v>
      </c>
      <c r="E1000" s="241">
        <v>-1.2689205111937282E-3</v>
      </c>
      <c r="F1000" s="242">
        <v>996</v>
      </c>
      <c r="G1000" s="243">
        <f t="shared" ca="1" si="34"/>
        <v>-3.321285677772514E-2</v>
      </c>
    </row>
    <row r="1001" spans="2:7" ht="15" thickBot="1" x14ac:dyDescent="0.35">
      <c r="B1001" s="170">
        <v>44754.645833333336</v>
      </c>
      <c r="C1001" s="238">
        <v>3878.4</v>
      </c>
      <c r="D1001" s="241">
        <f t="shared" si="33"/>
        <v>0.34929028666852213</v>
      </c>
      <c r="E1001" s="241">
        <v>-1.2746726408899064E-3</v>
      </c>
      <c r="F1001" s="242">
        <v>997</v>
      </c>
      <c r="G1001" s="243">
        <f t="shared" ca="1" si="34"/>
        <v>-4.6513326133942046E-3</v>
      </c>
    </row>
    <row r="1002" spans="2:7" ht="15" thickBot="1" x14ac:dyDescent="0.35">
      <c r="B1002" s="170">
        <v>44321.645833333336</v>
      </c>
      <c r="C1002" s="238">
        <v>2874.4</v>
      </c>
      <c r="D1002" s="241">
        <f t="shared" si="33"/>
        <v>-9.9696181914993492E-2</v>
      </c>
      <c r="E1002" s="241">
        <v>-1.3029202786512168E-3</v>
      </c>
      <c r="F1002" s="242">
        <v>998</v>
      </c>
      <c r="G1002" s="243">
        <f t="shared" ca="1" si="34"/>
        <v>4.8866216454995913E-2</v>
      </c>
    </row>
    <row r="1003" spans="2:7" ht="15" thickBot="1" x14ac:dyDescent="0.35">
      <c r="B1003" s="170">
        <v>44350.645833333336</v>
      </c>
      <c r="C1003" s="238">
        <v>3192.7</v>
      </c>
      <c r="D1003" s="241">
        <f t="shared" si="33"/>
        <v>-0.33687118348357087</v>
      </c>
      <c r="E1003" s="241">
        <v>-1.3450109477635853E-3</v>
      </c>
      <c r="F1003" s="242">
        <v>999</v>
      </c>
      <c r="G1003" s="243">
        <f t="shared" ca="1" si="34"/>
        <v>6.9539307760371162E-3</v>
      </c>
    </row>
    <row r="1004" spans="2:7" ht="15" thickBot="1" x14ac:dyDescent="0.35">
      <c r="B1004" s="170">
        <v>44538.645833333336</v>
      </c>
      <c r="C1004" s="238">
        <v>4814.6000000000004</v>
      </c>
      <c r="D1004" s="241">
        <f t="shared" si="33"/>
        <v>2.507905282331512</v>
      </c>
      <c r="E1004" s="241">
        <v>-1.3689537874386987E-3</v>
      </c>
      <c r="F1004" s="242">
        <v>1000</v>
      </c>
      <c r="G1004" s="243">
        <f t="shared" ca="1" si="34"/>
        <v>1.6800847798781487E-3</v>
      </c>
    </row>
    <row r="1005" spans="2:7" ht="15" thickBot="1" x14ac:dyDescent="0.35">
      <c r="B1005" s="170">
        <v>43382.645833333336</v>
      </c>
      <c r="C1005" s="238">
        <v>1372.5</v>
      </c>
      <c r="D1005" s="241">
        <f t="shared" si="33"/>
        <v>-0.66275569752441799</v>
      </c>
      <c r="E1005" s="241">
        <v>-1.3824214202561779E-3</v>
      </c>
      <c r="F1005" s="242">
        <v>1001</v>
      </c>
      <c r="G1005" s="243">
        <f t="shared" ca="1" si="34"/>
        <v>1.3115222686186265E-2</v>
      </c>
    </row>
    <row r="1006" spans="2:7" ht="15" thickBot="1" x14ac:dyDescent="0.35">
      <c r="B1006" s="170">
        <v>45271.645833333336</v>
      </c>
      <c r="C1006" s="238">
        <v>4069.75</v>
      </c>
      <c r="D1006" s="241">
        <f t="shared" si="33"/>
        <v>-6.5692509010766925E-2</v>
      </c>
      <c r="E1006" s="241">
        <v>-1.3863669823821196E-3</v>
      </c>
      <c r="F1006" s="242">
        <v>1002</v>
      </c>
      <c r="G1006" s="243">
        <f t="shared" ca="1" si="34"/>
        <v>-3.7875430354148747E-2</v>
      </c>
    </row>
    <row r="1007" spans="2:7" ht="15" thickBot="1" x14ac:dyDescent="0.35">
      <c r="B1007" s="170">
        <v>44459.645833333336</v>
      </c>
      <c r="C1007" s="238">
        <v>4355.8999999999996</v>
      </c>
      <c r="D1007" s="241">
        <f t="shared" si="33"/>
        <v>1.9222460754058768</v>
      </c>
      <c r="E1007" s="241">
        <v>-1.3869943488577774E-3</v>
      </c>
      <c r="F1007" s="242">
        <v>1003</v>
      </c>
      <c r="G1007" s="243">
        <f t="shared" ca="1" si="34"/>
        <v>2.4581863737039251E-2</v>
      </c>
    </row>
    <row r="1008" spans="2:7" ht="15" thickBot="1" x14ac:dyDescent="0.35">
      <c r="B1008" s="170">
        <v>43691.645833333336</v>
      </c>
      <c r="C1008" s="238">
        <v>1490.6</v>
      </c>
      <c r="D1008" s="241">
        <f t="shared" si="33"/>
        <v>-4.9847016828148932E-2</v>
      </c>
      <c r="E1008" s="241">
        <v>-1.4068466537148364E-3</v>
      </c>
      <c r="F1008" s="242">
        <v>1004</v>
      </c>
      <c r="G1008" s="243">
        <f t="shared" ca="1" si="34"/>
        <v>-2.0840071692737921E-2</v>
      </c>
    </row>
    <row r="1009" spans="2:7" ht="15" thickBot="1" x14ac:dyDescent="0.35">
      <c r="B1009" s="170">
        <v>43717.645833333336</v>
      </c>
      <c r="C1009" s="238">
        <v>1568.8</v>
      </c>
      <c r="D1009" s="241">
        <f t="shared" si="33"/>
        <v>-0.18746601061763565</v>
      </c>
      <c r="E1009" s="241">
        <v>-1.4321632029534387E-3</v>
      </c>
      <c r="F1009" s="242">
        <v>1005</v>
      </c>
      <c r="G1009" s="243">
        <f t="shared" ca="1" si="34"/>
        <v>-1.3893980824648908E-2</v>
      </c>
    </row>
    <row r="1010" spans="2:7" ht="15" thickBot="1" x14ac:dyDescent="0.35">
      <c r="B1010" s="170">
        <v>43844.645833333336</v>
      </c>
      <c r="C1010" s="238">
        <v>1930.75</v>
      </c>
      <c r="D1010" s="241">
        <f t="shared" si="33"/>
        <v>-9.6069664552072775E-2</v>
      </c>
      <c r="E1010" s="241">
        <v>-1.4481135734788109E-3</v>
      </c>
      <c r="F1010" s="242">
        <v>1006</v>
      </c>
      <c r="G1010" s="243">
        <f t="shared" ca="1" si="34"/>
        <v>2.1824327305662774E-2</v>
      </c>
    </row>
    <row r="1011" spans="2:7" ht="15" thickBot="1" x14ac:dyDescent="0.35">
      <c r="B1011" s="170">
        <v>44090.645833333336</v>
      </c>
      <c r="C1011" s="238">
        <v>2135.9499999999998</v>
      </c>
      <c r="D1011" s="241">
        <f t="shared" si="33"/>
        <v>-0.49751220372875377</v>
      </c>
      <c r="E1011" s="241">
        <v>-1.4492414857064414E-3</v>
      </c>
      <c r="F1011" s="242">
        <v>1007</v>
      </c>
      <c r="G1011" s="243">
        <f t="shared" ca="1" si="34"/>
        <v>-2.1525041805095603E-2</v>
      </c>
    </row>
    <row r="1012" spans="2:7" ht="15" thickBot="1" x14ac:dyDescent="0.35">
      <c r="B1012" s="170">
        <v>44795.645833333336</v>
      </c>
      <c r="C1012" s="238">
        <v>4250.75</v>
      </c>
      <c r="D1012" s="241">
        <f t="shared" si="33"/>
        <v>1.9015358361774743</v>
      </c>
      <c r="E1012" s="241">
        <v>-1.456441818672951E-3</v>
      </c>
      <c r="F1012" s="242">
        <v>1008</v>
      </c>
      <c r="G1012" s="243">
        <f t="shared" ca="1" si="34"/>
        <v>1.9839297800643273E-2</v>
      </c>
    </row>
    <row r="1013" spans="2:7" ht="15" thickBot="1" x14ac:dyDescent="0.35">
      <c r="B1013" s="170">
        <v>43227.645833333336</v>
      </c>
      <c r="C1013" s="238">
        <v>1465</v>
      </c>
      <c r="D1013" s="241">
        <f t="shared" si="33"/>
        <v>-0.64845765294491708</v>
      </c>
      <c r="E1013" s="241">
        <v>-1.4654261663770514E-3</v>
      </c>
      <c r="F1013" s="242">
        <v>1009</v>
      </c>
      <c r="G1013" s="243">
        <f t="shared" ca="1" si="34"/>
        <v>-3.3406416626559289E-3</v>
      </c>
    </row>
    <row r="1014" spans="2:7" ht="15" thickBot="1" x14ac:dyDescent="0.35">
      <c r="B1014" s="170">
        <v>44869.645833333336</v>
      </c>
      <c r="C1014" s="238">
        <v>4167.3500000000004</v>
      </c>
      <c r="D1014" s="241">
        <f t="shared" si="33"/>
        <v>0.18001755578208192</v>
      </c>
      <c r="E1014" s="241">
        <v>-1.4735833233496193E-3</v>
      </c>
      <c r="F1014" s="242">
        <v>1010</v>
      </c>
      <c r="G1014" s="243">
        <f t="shared" ca="1" si="34"/>
        <v>-4.8550873046053463E-3</v>
      </c>
    </row>
    <row r="1015" spans="2:7" ht="15" thickBot="1" x14ac:dyDescent="0.35">
      <c r="B1015" s="170">
        <v>45079.645833333336</v>
      </c>
      <c r="C1015" s="238">
        <v>3531.6</v>
      </c>
      <c r="D1015" s="241">
        <f t="shared" si="33"/>
        <v>0.81237811762290879</v>
      </c>
      <c r="E1015" s="241">
        <v>-1.4843716866703423E-3</v>
      </c>
      <c r="F1015" s="242">
        <v>1011</v>
      </c>
      <c r="G1015" s="243">
        <f t="shared" ca="1" si="34"/>
        <v>-5.2034124826354992E-2</v>
      </c>
    </row>
    <row r="1016" spans="2:7" ht="15" thickBot="1" x14ac:dyDescent="0.35">
      <c r="B1016" s="170">
        <v>43854.645833333336</v>
      </c>
      <c r="C1016" s="238">
        <v>1948.6</v>
      </c>
      <c r="D1016" s="241">
        <f t="shared" si="33"/>
        <v>-0.11658166156636068</v>
      </c>
      <c r="E1016" s="241">
        <v>-1.4860363822700954E-3</v>
      </c>
      <c r="F1016" s="242">
        <v>1012</v>
      </c>
      <c r="G1016" s="243">
        <f t="shared" ca="1" si="34"/>
        <v>-5.7976994566942185E-2</v>
      </c>
    </row>
    <row r="1017" spans="2:7" ht="15" thickBot="1" x14ac:dyDescent="0.35">
      <c r="B1017" s="170">
        <v>44137.645833333336</v>
      </c>
      <c r="C1017" s="238">
        <v>2205.75</v>
      </c>
      <c r="D1017" s="241">
        <f t="shared" si="33"/>
        <v>-0.52101497269302177</v>
      </c>
      <c r="E1017" s="241">
        <v>-1.4938548244721403E-3</v>
      </c>
      <c r="F1017" s="242">
        <v>1013</v>
      </c>
      <c r="G1017" s="243">
        <f t="shared" ca="1" si="34"/>
        <v>-3.9062956773840175E-2</v>
      </c>
    </row>
    <row r="1018" spans="2:7" ht="15" thickBot="1" x14ac:dyDescent="0.35">
      <c r="B1018" s="170">
        <v>45414.645833333336</v>
      </c>
      <c r="C1018" s="238">
        <v>4605.05</v>
      </c>
      <c r="D1018" s="241">
        <f t="shared" si="33"/>
        <v>1.3322022739358335</v>
      </c>
      <c r="E1018" s="241">
        <v>-1.5827072967142955E-3</v>
      </c>
      <c r="F1018" s="242">
        <v>1014</v>
      </c>
      <c r="G1018" s="243">
        <f t="shared" ca="1" si="34"/>
        <v>3.6199065429968406E-3</v>
      </c>
    </row>
    <row r="1019" spans="2:7" ht="15" thickBot="1" x14ac:dyDescent="0.35">
      <c r="B1019" s="170">
        <v>44118.645833333336</v>
      </c>
      <c r="C1019" s="238">
        <v>1974.55</v>
      </c>
      <c r="D1019" s="241">
        <f t="shared" si="33"/>
        <v>-0.48555982544128184</v>
      </c>
      <c r="E1019" s="241">
        <v>-1.5927592658138701E-3</v>
      </c>
      <c r="F1019" s="242">
        <v>1015</v>
      </c>
      <c r="G1019" s="243">
        <f t="shared" ca="1" si="34"/>
        <v>1.9623498680022167E-2</v>
      </c>
    </row>
    <row r="1020" spans="2:7" ht="15" thickBot="1" x14ac:dyDescent="0.35">
      <c r="B1020" s="170">
        <v>45252.645833333336</v>
      </c>
      <c r="C1020" s="238">
        <v>3838.25</v>
      </c>
      <c r="D1020" s="241">
        <f t="shared" si="33"/>
        <v>5.6379699455055846E-2</v>
      </c>
      <c r="E1020" s="241">
        <v>-1.599729476641372E-3</v>
      </c>
      <c r="F1020" s="242">
        <v>1016</v>
      </c>
      <c r="G1020" s="243">
        <f t="shared" ca="1" si="34"/>
        <v>-2.5208948023396665E-2</v>
      </c>
    </row>
    <row r="1021" spans="2:7" ht="15" thickBot="1" x14ac:dyDescent="0.35">
      <c r="B1021" s="170">
        <v>45230.645833333336</v>
      </c>
      <c r="C1021" s="238">
        <v>3633.4</v>
      </c>
      <c r="D1021" s="241">
        <f t="shared" si="33"/>
        <v>-4.4947954999474293E-2</v>
      </c>
      <c r="E1021" s="241">
        <v>-1.6623390896975442E-3</v>
      </c>
      <c r="F1021" s="242">
        <v>1017</v>
      </c>
      <c r="G1021" s="243">
        <f t="shared" ca="1" si="34"/>
        <v>2.1495794477894973E-3</v>
      </c>
    </row>
    <row r="1022" spans="2:7" ht="15" thickBot="1" x14ac:dyDescent="0.35">
      <c r="B1022" s="170">
        <v>45299.645833333336</v>
      </c>
      <c r="C1022" s="238">
        <v>3804.4</v>
      </c>
      <c r="D1022" s="241">
        <f t="shared" si="33"/>
        <v>0.10930005394293708</v>
      </c>
      <c r="E1022" s="241">
        <v>-1.6663386472478931E-3</v>
      </c>
      <c r="F1022" s="242">
        <v>1018</v>
      </c>
      <c r="G1022" s="243">
        <f t="shared" ca="1" si="34"/>
        <v>-1.2238672846741315E-2</v>
      </c>
    </row>
    <row r="1023" spans="2:7" ht="15" thickBot="1" x14ac:dyDescent="0.35">
      <c r="B1023" s="170">
        <v>45070.645833333336</v>
      </c>
      <c r="C1023" s="238">
        <v>3429.55</v>
      </c>
      <c r="D1023" s="241">
        <f t="shared" si="33"/>
        <v>-1.3419826247051275E-2</v>
      </c>
      <c r="E1023" s="241">
        <v>-1.688328700132367E-3</v>
      </c>
      <c r="F1023" s="242">
        <v>1019</v>
      </c>
      <c r="G1023" s="243">
        <f t="shared" ca="1" si="34"/>
        <v>2.2624058883713243E-3</v>
      </c>
    </row>
    <row r="1024" spans="2:7" ht="15" thickBot="1" x14ac:dyDescent="0.35">
      <c r="B1024" s="170">
        <v>45035.645833333336</v>
      </c>
      <c r="C1024" s="238">
        <v>3476.2</v>
      </c>
      <c r="D1024" s="241">
        <f t="shared" si="33"/>
        <v>-6.7480383609415912E-2</v>
      </c>
      <c r="E1024" s="241">
        <v>-1.7230486474068118E-3</v>
      </c>
      <c r="F1024" s="242">
        <v>1020</v>
      </c>
      <c r="G1024" s="243">
        <f t="shared" ca="1" si="34"/>
        <v>-1.3199551402034127E-2</v>
      </c>
    </row>
    <row r="1025" spans="2:7" ht="15" thickBot="1" x14ac:dyDescent="0.35">
      <c r="B1025" s="170">
        <v>45315.645833333336</v>
      </c>
      <c r="C1025" s="238">
        <v>3727.75</v>
      </c>
      <c r="D1025" s="241">
        <f t="shared" si="33"/>
        <v>1.5195160690750564</v>
      </c>
      <c r="E1025" s="241">
        <v>-1.7406440382941688E-3</v>
      </c>
      <c r="F1025" s="242">
        <v>1021</v>
      </c>
      <c r="G1025" s="243">
        <f t="shared" ca="1" si="34"/>
        <v>-5.8413961320870247E-4</v>
      </c>
    </row>
    <row r="1026" spans="2:7" ht="15" thickBot="1" x14ac:dyDescent="0.35">
      <c r="B1026" s="170">
        <v>43543.645833333336</v>
      </c>
      <c r="C1026" s="238">
        <v>1479.55</v>
      </c>
      <c r="D1026" s="241">
        <f t="shared" si="33"/>
        <v>-0.55821800212000416</v>
      </c>
      <c r="E1026" s="241">
        <v>-1.7542084134535211E-3</v>
      </c>
      <c r="F1026" s="242">
        <v>1022</v>
      </c>
      <c r="G1026" s="243">
        <f t="shared" ca="1" si="34"/>
        <v>-4.577472542477483E-3</v>
      </c>
    </row>
    <row r="1027" spans="2:7" ht="15" thickBot="1" x14ac:dyDescent="0.35">
      <c r="B1027" s="170">
        <v>44389.645833333336</v>
      </c>
      <c r="C1027" s="238">
        <v>3349.05</v>
      </c>
      <c r="D1027" s="241">
        <f t="shared" si="33"/>
        <v>-9.2373777067129167E-2</v>
      </c>
      <c r="E1027" s="241">
        <v>-1.7734724292100799E-3</v>
      </c>
      <c r="F1027" s="242">
        <v>1023</v>
      </c>
      <c r="G1027" s="243">
        <f t="shared" ca="1" si="34"/>
        <v>-3.2502157677005024E-3</v>
      </c>
    </row>
    <row r="1028" spans="2:7" ht="15" thickBot="1" x14ac:dyDescent="0.35">
      <c r="B1028" s="170">
        <v>45700.645833333336</v>
      </c>
      <c r="C1028" s="238">
        <v>3689.9</v>
      </c>
      <c r="D1028" s="241">
        <f t="shared" si="33"/>
        <v>-0.22293355796567335</v>
      </c>
      <c r="E1028" s="241">
        <v>-1.7854727444880046E-3</v>
      </c>
      <c r="F1028" s="242">
        <v>1024</v>
      </c>
      <c r="G1028" s="243">
        <f t="shared" ca="1" si="34"/>
        <v>-6.0274082613902685E-3</v>
      </c>
    </row>
    <row r="1029" spans="2:7" ht="15" thickBot="1" x14ac:dyDescent="0.35">
      <c r="B1029" s="170">
        <v>44508.645833333336</v>
      </c>
      <c r="C1029" s="238">
        <v>4748.5</v>
      </c>
      <c r="D1029" s="241">
        <f t="shared" ref="D1029:D1092" si="35">(C1029-C1030)/C1030</f>
        <v>1.473692435924151</v>
      </c>
      <c r="E1029" s="241">
        <v>-1.8183155881146562E-3</v>
      </c>
      <c r="F1029" s="242">
        <v>1025</v>
      </c>
      <c r="G1029" s="243">
        <f t="shared" ca="1" si="34"/>
        <v>1.5154815143079146E-2</v>
      </c>
    </row>
    <row r="1030" spans="2:7" ht="15" thickBot="1" x14ac:dyDescent="0.35">
      <c r="B1030" s="170">
        <v>43819.645833333336</v>
      </c>
      <c r="C1030" s="238">
        <v>1919.6</v>
      </c>
      <c r="D1030" s="241">
        <f t="shared" si="35"/>
        <v>-0.17247919989653832</v>
      </c>
      <c r="E1030" s="241">
        <v>-1.8199781602620769E-3</v>
      </c>
      <c r="F1030" s="242">
        <v>1026</v>
      </c>
      <c r="G1030" s="243">
        <f t="shared" ref="G1030:G1093" ca="1" si="36">_xlfn.NORM.INV(RAND(),$M$7,$M$8)</f>
        <v>6.4064304259340383E-3</v>
      </c>
    </row>
    <row r="1031" spans="2:7" ht="15" thickBot="1" x14ac:dyDescent="0.35">
      <c r="B1031" s="170">
        <v>43888.645833333336</v>
      </c>
      <c r="C1031" s="238">
        <v>2319.6999999999998</v>
      </c>
      <c r="D1031" s="241">
        <f t="shared" si="35"/>
        <v>-0.1322060528973851</v>
      </c>
      <c r="E1031" s="241">
        <v>-1.8287828911981757E-3</v>
      </c>
      <c r="F1031" s="242">
        <v>1027</v>
      </c>
      <c r="G1031" s="243">
        <f t="shared" ca="1" si="36"/>
        <v>-9.4165215144055552E-3</v>
      </c>
    </row>
    <row r="1032" spans="2:7" ht="15" thickBot="1" x14ac:dyDescent="0.35">
      <c r="B1032" s="170">
        <v>44189.645833333336</v>
      </c>
      <c r="C1032" s="238">
        <v>2673.1</v>
      </c>
      <c r="D1032" s="241">
        <f t="shared" si="35"/>
        <v>0.19926422755108913</v>
      </c>
      <c r="E1032" s="241">
        <v>-1.8297236743839026E-3</v>
      </c>
      <c r="F1032" s="242">
        <v>1028</v>
      </c>
      <c r="G1032" s="243">
        <f t="shared" ca="1" si="36"/>
        <v>1.2440709016489049E-2</v>
      </c>
    </row>
    <row r="1033" spans="2:7" ht="15" thickBot="1" x14ac:dyDescent="0.35">
      <c r="B1033" s="170">
        <v>43892.645833333336</v>
      </c>
      <c r="C1033" s="238">
        <v>2228.9499999999998</v>
      </c>
      <c r="D1033" s="241">
        <f t="shared" si="35"/>
        <v>0.37178816506139023</v>
      </c>
      <c r="E1033" s="241">
        <v>-1.8360538277245755E-3</v>
      </c>
      <c r="F1033" s="242">
        <v>1029</v>
      </c>
      <c r="G1033" s="243">
        <f t="shared" ca="1" si="36"/>
        <v>-1.657347368229917E-2</v>
      </c>
    </row>
    <row r="1034" spans="2:7" ht="15" thickBot="1" x14ac:dyDescent="0.35">
      <c r="B1034" s="170">
        <v>43319.645833333336</v>
      </c>
      <c r="C1034" s="238">
        <v>1624.85</v>
      </c>
      <c r="D1034" s="241">
        <f t="shared" si="35"/>
        <v>-0.627925349209984</v>
      </c>
      <c r="E1034" s="241">
        <v>-1.842921645114722E-3</v>
      </c>
      <c r="F1034" s="242">
        <v>1030</v>
      </c>
      <c r="G1034" s="243">
        <f t="shared" ca="1" si="36"/>
        <v>4.5732482593501414E-3</v>
      </c>
    </row>
    <row r="1035" spans="2:7" ht="15" thickBot="1" x14ac:dyDescent="0.35">
      <c r="B1035" s="170">
        <v>44827.645833333336</v>
      </c>
      <c r="C1035" s="238">
        <v>4367</v>
      </c>
      <c r="D1035" s="241">
        <f t="shared" si="35"/>
        <v>0.23328485293494691</v>
      </c>
      <c r="E1035" s="241">
        <v>-1.8970127762668117E-3</v>
      </c>
      <c r="F1035" s="242">
        <v>1031</v>
      </c>
      <c r="G1035" s="243">
        <f t="shared" ca="1" si="36"/>
        <v>-1.119955374660115E-2</v>
      </c>
    </row>
    <row r="1036" spans="2:7" ht="15" thickBot="1" x14ac:dyDescent="0.35">
      <c r="B1036" s="170">
        <v>45156.645833333336</v>
      </c>
      <c r="C1036" s="238">
        <v>3540.95</v>
      </c>
      <c r="D1036" s="241">
        <f t="shared" si="35"/>
        <v>-3.1733661471151267E-2</v>
      </c>
      <c r="E1036" s="241">
        <v>-1.9026411477858895E-3</v>
      </c>
      <c r="F1036" s="242">
        <v>1032</v>
      </c>
      <c r="G1036" s="243">
        <f t="shared" ca="1" si="36"/>
        <v>-2.7262125965493603E-2</v>
      </c>
    </row>
    <row r="1037" spans="2:7" ht="15" thickBot="1" x14ac:dyDescent="0.35">
      <c r="B1037" s="170">
        <v>44698.645833333336</v>
      </c>
      <c r="C1037" s="238">
        <v>3657</v>
      </c>
      <c r="D1037" s="241">
        <f t="shared" si="35"/>
        <v>6.4398943196829839E-3</v>
      </c>
      <c r="E1037" s="241">
        <v>-1.9241003807262951E-3</v>
      </c>
      <c r="F1037" s="242">
        <v>1033</v>
      </c>
      <c r="G1037" s="243">
        <f t="shared" ca="1" si="36"/>
        <v>3.3035537549872852E-2</v>
      </c>
    </row>
    <row r="1038" spans="2:7" ht="15" thickBot="1" x14ac:dyDescent="0.35">
      <c r="B1038" s="170">
        <v>45195.645833333336</v>
      </c>
      <c r="C1038" s="238">
        <v>3633.6</v>
      </c>
      <c r="D1038" s="241">
        <f t="shared" si="35"/>
        <v>-1.3332609226925873E-2</v>
      </c>
      <c r="E1038" s="241">
        <v>-1.9501744170076934E-3</v>
      </c>
      <c r="F1038" s="242">
        <v>1034</v>
      </c>
      <c r="G1038" s="243">
        <f t="shared" ca="1" si="36"/>
        <v>-2.2293458156471265E-2</v>
      </c>
    </row>
    <row r="1039" spans="2:7" ht="15" thickBot="1" x14ac:dyDescent="0.35">
      <c r="B1039" s="170">
        <v>45699.645833333336</v>
      </c>
      <c r="C1039" s="238">
        <v>3682.7</v>
      </c>
      <c r="D1039" s="241">
        <f t="shared" si="35"/>
        <v>0.29192611952079411</v>
      </c>
      <c r="E1039" s="241">
        <v>-1.9512723922058247E-3</v>
      </c>
      <c r="F1039" s="242">
        <v>1035</v>
      </c>
      <c r="G1039" s="243">
        <f t="shared" ca="1" si="36"/>
        <v>3.229788792898805E-2</v>
      </c>
    </row>
    <row r="1040" spans="2:7" ht="15" thickBot="1" x14ac:dyDescent="0.35">
      <c r="B1040" s="170">
        <v>44327.645833333336</v>
      </c>
      <c r="C1040" s="238">
        <v>2850.55</v>
      </c>
      <c r="D1040" s="241">
        <f t="shared" si="35"/>
        <v>-0.427611895343467</v>
      </c>
      <c r="E1040" s="241">
        <v>-1.9606813367644936E-3</v>
      </c>
      <c r="F1040" s="242">
        <v>1036</v>
      </c>
      <c r="G1040" s="243">
        <f t="shared" ca="1" si="36"/>
        <v>-2.0492839652230057E-2</v>
      </c>
    </row>
    <row r="1041" spans="2:7" ht="15" thickBot="1" x14ac:dyDescent="0.35">
      <c r="B1041" s="170">
        <v>45512.645833333336</v>
      </c>
      <c r="C1041" s="238">
        <v>4980.1000000000004</v>
      </c>
      <c r="D1041" s="241">
        <f t="shared" si="35"/>
        <v>2.2527350511087163</v>
      </c>
      <c r="E1041" s="241">
        <v>-1.9739676750266948E-3</v>
      </c>
      <c r="F1041" s="242">
        <v>1037</v>
      </c>
      <c r="G1041" s="243">
        <f t="shared" ca="1" si="36"/>
        <v>-5.5335611837137554E-3</v>
      </c>
    </row>
    <row r="1042" spans="2:7" ht="15" thickBot="1" x14ac:dyDescent="0.35">
      <c r="B1042" s="170">
        <v>43703.645833333336</v>
      </c>
      <c r="C1042" s="238">
        <v>1531.05</v>
      </c>
      <c r="D1042" s="241">
        <f t="shared" si="35"/>
        <v>-0.60584646277417364</v>
      </c>
      <c r="E1042" s="241">
        <v>-1.9881363665992793E-3</v>
      </c>
      <c r="F1042" s="242">
        <v>1038</v>
      </c>
      <c r="G1042" s="243">
        <f t="shared" ca="1" si="36"/>
        <v>7.4816104814890835E-3</v>
      </c>
    </row>
    <row r="1043" spans="2:7" ht="15" thickBot="1" x14ac:dyDescent="0.35">
      <c r="B1043" s="170">
        <v>45736.645833333336</v>
      </c>
      <c r="C1043" s="238">
        <v>3884.4</v>
      </c>
      <c r="D1043" s="241">
        <f t="shared" si="35"/>
        <v>8.8646618648580533E-2</v>
      </c>
      <c r="E1043" s="241">
        <v>-2.0040080160319941E-3</v>
      </c>
      <c r="F1043" s="242">
        <v>1039</v>
      </c>
      <c r="G1043" s="243">
        <f t="shared" ca="1" si="36"/>
        <v>-1.272505852960833E-2</v>
      </c>
    </row>
    <row r="1044" spans="2:7" ht="15" thickBot="1" x14ac:dyDescent="0.35">
      <c r="B1044" s="170">
        <v>45686.645833333336</v>
      </c>
      <c r="C1044" s="238">
        <v>3568.1</v>
      </c>
      <c r="D1044" s="241">
        <f t="shared" si="35"/>
        <v>-1.2604983880564023E-2</v>
      </c>
      <c r="E1044" s="241">
        <v>-2.0417295966885332E-3</v>
      </c>
      <c r="F1044" s="242">
        <v>1040</v>
      </c>
      <c r="G1044" s="243">
        <f t="shared" ca="1" si="36"/>
        <v>3.4584006418544463E-2</v>
      </c>
    </row>
    <row r="1045" spans="2:7" ht="15" thickBot="1" x14ac:dyDescent="0.35">
      <c r="B1045" s="170">
        <v>45618.645833333336</v>
      </c>
      <c r="C1045" s="238">
        <v>3613.65</v>
      </c>
      <c r="D1045" s="241">
        <f t="shared" si="35"/>
        <v>0.1909925349768469</v>
      </c>
      <c r="E1045" s="241">
        <v>-2.0436061363416939E-3</v>
      </c>
      <c r="F1045" s="242">
        <v>1041</v>
      </c>
      <c r="G1045" s="243">
        <f t="shared" ca="1" si="36"/>
        <v>2.4197011667683E-2</v>
      </c>
    </row>
    <row r="1046" spans="2:7" ht="15" thickBot="1" x14ac:dyDescent="0.35">
      <c r="B1046" s="170">
        <v>44337.645833333336</v>
      </c>
      <c r="C1046" s="238">
        <v>3034.15</v>
      </c>
      <c r="D1046" s="241">
        <f t="shared" si="35"/>
        <v>-0.27976119828138718</v>
      </c>
      <c r="E1046" s="241">
        <v>-2.0720617013927963E-3</v>
      </c>
      <c r="F1046" s="242">
        <v>1042</v>
      </c>
      <c r="G1046" s="243">
        <f t="shared" ca="1" si="36"/>
        <v>4.1218332373243243E-3</v>
      </c>
    </row>
    <row r="1047" spans="2:7" ht="15" thickBot="1" x14ac:dyDescent="0.35">
      <c r="B1047" s="170">
        <v>45762.645833333336</v>
      </c>
      <c r="C1047" s="239">
        <v>4212.7</v>
      </c>
      <c r="D1047" s="241">
        <f t="shared" si="35"/>
        <v>5.2832829330467505E-2</v>
      </c>
      <c r="E1047" s="241">
        <v>-2.084567097003478E-3</v>
      </c>
      <c r="F1047" s="242">
        <v>1043</v>
      </c>
      <c r="G1047" s="243">
        <f t="shared" ca="1" si="36"/>
        <v>2.3850400062003417E-2</v>
      </c>
    </row>
    <row r="1048" spans="2:7" ht="15" thickBot="1" x14ac:dyDescent="0.35">
      <c r="B1048" s="170">
        <v>44645.645833333336</v>
      </c>
      <c r="C1048" s="238">
        <v>4001.3</v>
      </c>
      <c r="D1048" s="241">
        <f t="shared" si="35"/>
        <v>9.9424363571418858E-2</v>
      </c>
      <c r="E1048" s="241">
        <v>-2.1820176805775488E-3</v>
      </c>
      <c r="F1048" s="242">
        <v>1044</v>
      </c>
      <c r="G1048" s="243">
        <f t="shared" ca="1" si="36"/>
        <v>-1.9260604884706857E-2</v>
      </c>
    </row>
    <row r="1049" spans="2:7" ht="15" thickBot="1" x14ac:dyDescent="0.35">
      <c r="B1049" s="170">
        <v>45231.645833333336</v>
      </c>
      <c r="C1049" s="238">
        <v>3639.45</v>
      </c>
      <c r="D1049" s="241">
        <f t="shared" si="35"/>
        <v>2.6643159379407564E-2</v>
      </c>
      <c r="E1049" s="241">
        <v>-2.1933131365748674E-3</v>
      </c>
      <c r="F1049" s="242">
        <v>1045</v>
      </c>
      <c r="G1049" s="243">
        <f t="shared" ca="1" si="36"/>
        <v>-8.8292869903504809E-3</v>
      </c>
    </row>
    <row r="1050" spans="2:7" ht="15" thickBot="1" x14ac:dyDescent="0.35">
      <c r="B1050" s="170">
        <v>44974.645833333336</v>
      </c>
      <c r="C1050" s="238">
        <v>3545</v>
      </c>
      <c r="D1050" s="241">
        <f t="shared" si="35"/>
        <v>-2.6192536431936465E-2</v>
      </c>
      <c r="E1050" s="241">
        <v>-2.2094937866782749E-3</v>
      </c>
      <c r="F1050" s="242">
        <v>1046</v>
      </c>
      <c r="G1050" s="243">
        <f t="shared" ca="1" si="36"/>
        <v>-2.5968005600258723E-3</v>
      </c>
    </row>
    <row r="1051" spans="2:7" ht="15" thickBot="1" x14ac:dyDescent="0.35">
      <c r="B1051" s="170">
        <v>45145.645833333336</v>
      </c>
      <c r="C1051" s="238">
        <v>3640.35</v>
      </c>
      <c r="D1051" s="241">
        <f t="shared" si="35"/>
        <v>0.24885504039520409</v>
      </c>
      <c r="E1051" s="241">
        <v>-2.2201208732475185E-3</v>
      </c>
      <c r="F1051" s="242">
        <v>1047</v>
      </c>
      <c r="G1051" s="243">
        <f t="shared" ca="1" si="36"/>
        <v>4.594268671161103E-2</v>
      </c>
    </row>
    <row r="1052" spans="2:7" ht="15" thickBot="1" x14ac:dyDescent="0.35">
      <c r="B1052" s="170">
        <v>44202.645833333336</v>
      </c>
      <c r="C1052" s="238">
        <v>2914.95</v>
      </c>
      <c r="D1052" s="241">
        <f t="shared" si="35"/>
        <v>1.1009405744351146</v>
      </c>
      <c r="E1052" s="241">
        <v>-2.2249225555802769E-3</v>
      </c>
      <c r="F1052" s="242">
        <v>1048</v>
      </c>
      <c r="G1052" s="243">
        <f t="shared" ca="1" si="36"/>
        <v>-3.2433188003296629E-2</v>
      </c>
    </row>
    <row r="1053" spans="2:7" ht="15" thickBot="1" x14ac:dyDescent="0.35">
      <c r="B1053" s="170">
        <v>43642.645833333336</v>
      </c>
      <c r="C1053" s="238">
        <v>1387.45</v>
      </c>
      <c r="D1053" s="241">
        <f t="shared" si="35"/>
        <v>-0.63729642119572327</v>
      </c>
      <c r="E1053" s="241">
        <v>-2.2293337168745528E-3</v>
      </c>
      <c r="F1053" s="242">
        <v>1049</v>
      </c>
      <c r="G1053" s="243">
        <f t="shared" ca="1" si="36"/>
        <v>-1.0263125996277576E-2</v>
      </c>
    </row>
    <row r="1054" spans="2:7" ht="15" thickBot="1" x14ac:dyDescent="0.35">
      <c r="B1054" s="170">
        <v>45733.645833333336</v>
      </c>
      <c r="C1054" s="238">
        <v>3825.3</v>
      </c>
      <c r="D1054" s="241">
        <f t="shared" si="35"/>
        <v>7.8795228291830027E-2</v>
      </c>
      <c r="E1054" s="241">
        <v>-2.2301341993035012E-3</v>
      </c>
      <c r="F1054" s="242">
        <v>1050</v>
      </c>
      <c r="G1054" s="243">
        <f t="shared" ca="1" si="36"/>
        <v>-2.5157520882983765E-2</v>
      </c>
    </row>
    <row r="1055" spans="2:7" ht="15" thickBot="1" x14ac:dyDescent="0.35">
      <c r="B1055" s="170">
        <v>45048.645833333336</v>
      </c>
      <c r="C1055" s="238">
        <v>3545.9</v>
      </c>
      <c r="D1055" s="241">
        <f t="shared" si="35"/>
        <v>2.0001692190540652</v>
      </c>
      <c r="E1055" s="241">
        <v>-2.279122115925692E-3</v>
      </c>
      <c r="F1055" s="242">
        <v>1051</v>
      </c>
      <c r="G1055" s="243">
        <f t="shared" ca="1" si="36"/>
        <v>1.1248534735823034E-2</v>
      </c>
    </row>
    <row r="1056" spans="2:7" ht="15" thickBot="1" x14ac:dyDescent="0.35">
      <c r="B1056" s="170">
        <v>43129.645833333336</v>
      </c>
      <c r="C1056" s="238">
        <v>1181.9000000000001</v>
      </c>
      <c r="D1056" s="241">
        <f t="shared" si="35"/>
        <v>-0.6785345155850514</v>
      </c>
      <c r="E1056" s="241">
        <v>-2.2792503798749098E-3</v>
      </c>
      <c r="F1056" s="242">
        <v>1052</v>
      </c>
      <c r="G1056" s="243">
        <f t="shared" ca="1" si="36"/>
        <v>1.4866470564266409E-2</v>
      </c>
    </row>
    <row r="1057" spans="2:7" ht="15" thickBot="1" x14ac:dyDescent="0.35">
      <c r="B1057" s="170">
        <v>45706.645833333336</v>
      </c>
      <c r="C1057" s="238">
        <v>3676.6</v>
      </c>
      <c r="D1057" s="241">
        <f t="shared" si="35"/>
        <v>7.3428513036115736E-2</v>
      </c>
      <c r="E1057" s="241">
        <v>-2.2795115332429013E-3</v>
      </c>
      <c r="F1057" s="242">
        <v>1053</v>
      </c>
      <c r="G1057" s="243">
        <f t="shared" ca="1" si="36"/>
        <v>3.3653739036629597E-2</v>
      </c>
    </row>
    <row r="1058" spans="2:7" ht="15" thickBot="1" x14ac:dyDescent="0.35">
      <c r="B1058" s="170">
        <v>45068.645833333336</v>
      </c>
      <c r="C1058" s="238">
        <v>3425.1</v>
      </c>
      <c r="D1058" s="241">
        <f t="shared" si="35"/>
        <v>1.7670867668444015</v>
      </c>
      <c r="E1058" s="241">
        <v>-2.2866630740325114E-3</v>
      </c>
      <c r="F1058" s="242">
        <v>1054</v>
      </c>
      <c r="G1058" s="243">
        <f t="shared" ca="1" si="36"/>
        <v>-2.3423382305591284E-2</v>
      </c>
    </row>
    <row r="1059" spans="2:7" ht="15" thickBot="1" x14ac:dyDescent="0.35">
      <c r="B1059" s="170">
        <v>43152.645833333336</v>
      </c>
      <c r="C1059" s="238">
        <v>1237.8</v>
      </c>
      <c r="D1059" s="241">
        <f t="shared" si="35"/>
        <v>-0.35568164072666703</v>
      </c>
      <c r="E1059" s="241">
        <v>-2.2971829283038214E-3</v>
      </c>
      <c r="F1059" s="242">
        <v>1055</v>
      </c>
      <c r="G1059" s="243">
        <f t="shared" ca="1" si="36"/>
        <v>1.295743602288919E-2</v>
      </c>
    </row>
    <row r="1060" spans="2:7" ht="15" thickBot="1" x14ac:dyDescent="0.35">
      <c r="B1060" s="170">
        <v>43825.645833333336</v>
      </c>
      <c r="C1060" s="238">
        <v>1921.1</v>
      </c>
      <c r="D1060" s="241">
        <f t="shared" si="35"/>
        <v>-0.5958981909970551</v>
      </c>
      <c r="E1060" s="241">
        <v>-2.3110280179689155E-3</v>
      </c>
      <c r="F1060" s="242">
        <v>1056</v>
      </c>
      <c r="G1060" s="243">
        <f t="shared" ca="1" si="36"/>
        <v>-3.4098618668675228E-3</v>
      </c>
    </row>
    <row r="1061" spans="2:7" ht="15" thickBot="1" x14ac:dyDescent="0.35">
      <c r="B1061" s="170">
        <v>45392.645833333336</v>
      </c>
      <c r="C1061" s="238">
        <v>4754</v>
      </c>
      <c r="D1061" s="241">
        <f t="shared" si="35"/>
        <v>2.4201438848920862</v>
      </c>
      <c r="E1061" s="241">
        <v>-2.3189683214237377E-3</v>
      </c>
      <c r="F1061" s="242">
        <v>1057</v>
      </c>
      <c r="G1061" s="243">
        <f t="shared" ca="1" si="36"/>
        <v>1.9966983950674592E-2</v>
      </c>
    </row>
    <row r="1062" spans="2:7" ht="15" thickBot="1" x14ac:dyDescent="0.35">
      <c r="B1062" s="170">
        <v>43480.645833333336</v>
      </c>
      <c r="C1062" s="238">
        <v>1390</v>
      </c>
      <c r="D1062" s="241">
        <f t="shared" si="35"/>
        <v>7.1993213280376278E-2</v>
      </c>
      <c r="E1062" s="241">
        <v>-2.3326753992463662E-3</v>
      </c>
      <c r="F1062" s="242">
        <v>1058</v>
      </c>
      <c r="G1062" s="243">
        <f t="shared" ca="1" si="36"/>
        <v>-4.2798252518220739E-2</v>
      </c>
    </row>
    <row r="1063" spans="2:7" ht="15" thickBot="1" x14ac:dyDescent="0.35">
      <c r="B1063" s="170">
        <v>43623.645833333336</v>
      </c>
      <c r="C1063" s="238">
        <v>1296.6500000000001</v>
      </c>
      <c r="D1063" s="241">
        <f t="shared" si="35"/>
        <v>-0.27095105563520838</v>
      </c>
      <c r="E1063" s="241">
        <v>-2.3466953912440981E-3</v>
      </c>
      <c r="F1063" s="242">
        <v>1059</v>
      </c>
      <c r="G1063" s="243">
        <f t="shared" ca="1" si="36"/>
        <v>-1.4355927127876474E-2</v>
      </c>
    </row>
    <row r="1064" spans="2:7" ht="15" thickBot="1" x14ac:dyDescent="0.35">
      <c r="B1064" s="170">
        <v>43811.645833333336</v>
      </c>
      <c r="C1064" s="238">
        <v>1778.55</v>
      </c>
      <c r="D1064" s="241">
        <f t="shared" si="35"/>
        <v>-0.4917484675725492</v>
      </c>
      <c r="E1064" s="241">
        <v>-2.3559108119478589E-3</v>
      </c>
      <c r="F1064" s="242">
        <v>1060</v>
      </c>
      <c r="G1064" s="243">
        <f t="shared" ca="1" si="36"/>
        <v>-1.0010167234254675E-2</v>
      </c>
    </row>
    <row r="1065" spans="2:7" ht="15" thickBot="1" x14ac:dyDescent="0.35">
      <c r="B1065" s="170">
        <v>45154.645833333336</v>
      </c>
      <c r="C1065" s="238">
        <v>3499.35</v>
      </c>
      <c r="D1065" s="241">
        <f t="shared" si="35"/>
        <v>-0.16355531121522143</v>
      </c>
      <c r="E1065" s="241">
        <v>-2.3662566105512755E-3</v>
      </c>
      <c r="F1065" s="242">
        <v>1061</v>
      </c>
      <c r="G1065" s="243">
        <f t="shared" ca="1" si="36"/>
        <v>-8.7743135596974175E-3</v>
      </c>
    </row>
    <row r="1066" spans="2:7" ht="15" thickBot="1" x14ac:dyDescent="0.35">
      <c r="B1066" s="170">
        <v>45579.645833333336</v>
      </c>
      <c r="C1066" s="238">
        <v>4183.6000000000004</v>
      </c>
      <c r="D1066" s="241">
        <f t="shared" si="35"/>
        <v>3.9739543206501617E-2</v>
      </c>
      <c r="E1066" s="241">
        <v>-2.3726913951186506E-3</v>
      </c>
      <c r="F1066" s="242">
        <v>1062</v>
      </c>
      <c r="G1066" s="243">
        <f t="shared" ca="1" si="36"/>
        <v>-2.0129907199489126E-3</v>
      </c>
    </row>
    <row r="1067" spans="2:7" ht="15" thickBot="1" x14ac:dyDescent="0.35">
      <c r="B1067" s="170">
        <v>45859.645833333336</v>
      </c>
      <c r="C1067" s="239">
        <v>4023.7</v>
      </c>
      <c r="D1067" s="241">
        <f t="shared" si="35"/>
        <v>-0.11874021266576881</v>
      </c>
      <c r="E1067" s="241">
        <v>-2.3801849602063728E-3</v>
      </c>
      <c r="F1067" s="242">
        <v>1063</v>
      </c>
      <c r="G1067" s="243">
        <f t="shared" ca="1" si="36"/>
        <v>7.9904547059769446E-3</v>
      </c>
    </row>
    <row r="1068" spans="2:7" ht="15" thickBot="1" x14ac:dyDescent="0.35">
      <c r="B1068" s="170">
        <v>44805.645833333336</v>
      </c>
      <c r="C1068" s="238">
        <v>4565.8500000000004</v>
      </c>
      <c r="D1068" s="241">
        <f t="shared" si="35"/>
        <v>0.34697760863793276</v>
      </c>
      <c r="E1068" s="241">
        <v>-2.3925013109595827E-3</v>
      </c>
      <c r="F1068" s="242">
        <v>1064</v>
      </c>
      <c r="G1068" s="243">
        <f t="shared" ca="1" si="36"/>
        <v>4.3576194635771203E-3</v>
      </c>
    </row>
    <row r="1069" spans="2:7" ht="15" thickBot="1" x14ac:dyDescent="0.35">
      <c r="B1069" s="170">
        <v>44993.645833333336</v>
      </c>
      <c r="C1069" s="238">
        <v>3389.7</v>
      </c>
      <c r="D1069" s="241">
        <f t="shared" si="35"/>
        <v>-7.5922795921705477E-2</v>
      </c>
      <c r="E1069" s="241">
        <v>-2.3985755698456646E-3</v>
      </c>
      <c r="F1069" s="242">
        <v>1065</v>
      </c>
      <c r="G1069" s="243">
        <f t="shared" ca="1" si="36"/>
        <v>-1.4282371122449765E-3</v>
      </c>
    </row>
    <row r="1070" spans="2:7" ht="15" thickBot="1" x14ac:dyDescent="0.35">
      <c r="B1070" s="170">
        <v>45131.645833333336</v>
      </c>
      <c r="C1070" s="238">
        <v>3668.2</v>
      </c>
      <c r="D1070" s="241">
        <f t="shared" si="35"/>
        <v>-0.24871994429197569</v>
      </c>
      <c r="E1070" s="241">
        <v>-2.4068206850601332E-3</v>
      </c>
      <c r="F1070" s="242">
        <v>1066</v>
      </c>
      <c r="G1070" s="243">
        <f t="shared" ca="1" si="36"/>
        <v>1.2951188941343148E-3</v>
      </c>
    </row>
    <row r="1071" spans="2:7" ht="15" thickBot="1" x14ac:dyDescent="0.35">
      <c r="B1071" s="170">
        <v>44524.645833333336</v>
      </c>
      <c r="C1071" s="238">
        <v>4882.6000000000004</v>
      </c>
      <c r="D1071" s="241">
        <f t="shared" si="35"/>
        <v>0.37178658725030206</v>
      </c>
      <c r="E1071" s="241">
        <v>-2.4313004392684926E-3</v>
      </c>
      <c r="F1071" s="242">
        <v>1067</v>
      </c>
      <c r="G1071" s="243">
        <f t="shared" ca="1" si="36"/>
        <v>1.4319313127876357E-2</v>
      </c>
    </row>
    <row r="1072" spans="2:7" ht="15" thickBot="1" x14ac:dyDescent="0.35">
      <c r="B1072" s="170">
        <v>45685.645833333336</v>
      </c>
      <c r="C1072" s="238">
        <v>3559.3</v>
      </c>
      <c r="D1072" s="241">
        <f t="shared" si="35"/>
        <v>-0.23804120952635799</v>
      </c>
      <c r="E1072" s="241">
        <v>-2.4662985902860705E-3</v>
      </c>
      <c r="F1072" s="242">
        <v>1068</v>
      </c>
      <c r="G1072" s="243">
        <f t="shared" ca="1" si="36"/>
        <v>3.3109045848280616E-2</v>
      </c>
    </row>
    <row r="1073" spans="2:7" ht="15" thickBot="1" x14ac:dyDescent="0.35">
      <c r="B1073" s="170">
        <v>45428.645833333336</v>
      </c>
      <c r="C1073" s="238">
        <v>4671.25</v>
      </c>
      <c r="D1073" s="241">
        <f t="shared" si="35"/>
        <v>0.54339853300733498</v>
      </c>
      <c r="E1073" s="241">
        <v>-2.4877746695423E-3</v>
      </c>
      <c r="F1073" s="242">
        <v>1069</v>
      </c>
      <c r="G1073" s="243">
        <f t="shared" ca="1" si="36"/>
        <v>1.9504849890863644E-2</v>
      </c>
    </row>
    <row r="1074" spans="2:7" ht="15" thickBot="1" x14ac:dyDescent="0.35">
      <c r="B1074" s="170">
        <v>44336.645833333336</v>
      </c>
      <c r="C1074" s="238">
        <v>3026.6</v>
      </c>
      <c r="D1074" s="241">
        <f t="shared" si="35"/>
        <v>-0.41327336699977707</v>
      </c>
      <c r="E1074" s="241">
        <v>-2.48834105103577E-3</v>
      </c>
      <c r="F1074" s="242">
        <v>1070</v>
      </c>
      <c r="G1074" s="243">
        <f t="shared" ca="1" si="36"/>
        <v>-2.7930573183583985E-2</v>
      </c>
    </row>
    <row r="1075" spans="2:7" ht="15" thickBot="1" x14ac:dyDescent="0.35">
      <c r="B1075" s="170">
        <v>45497.645833333336</v>
      </c>
      <c r="C1075" s="238">
        <v>5158.45</v>
      </c>
      <c r="D1075" s="241">
        <f t="shared" si="35"/>
        <v>0.34315397534207331</v>
      </c>
      <c r="E1075" s="241">
        <v>-2.4945130381816248E-3</v>
      </c>
      <c r="F1075" s="242">
        <v>1071</v>
      </c>
      <c r="G1075" s="243">
        <f t="shared" ca="1" si="36"/>
        <v>1.2965662897883926E-2</v>
      </c>
    </row>
    <row r="1076" spans="2:7" ht="15" thickBot="1" x14ac:dyDescent="0.35">
      <c r="B1076" s="170">
        <v>45345.645833333336</v>
      </c>
      <c r="C1076" s="238">
        <v>3840.55</v>
      </c>
      <c r="D1076" s="241">
        <f t="shared" si="35"/>
        <v>-9.1123154108292345E-2</v>
      </c>
      <c r="E1076" s="241">
        <v>-2.5452231615306991E-3</v>
      </c>
      <c r="F1076" s="242">
        <v>1072</v>
      </c>
      <c r="G1076" s="243">
        <f t="shared" ca="1" si="36"/>
        <v>-2.0179905691347803E-2</v>
      </c>
    </row>
    <row r="1077" spans="2:7" ht="15" thickBot="1" x14ac:dyDescent="0.35">
      <c r="B1077" s="170">
        <v>44593.645833333336</v>
      </c>
      <c r="C1077" s="238">
        <v>4225.6000000000004</v>
      </c>
      <c r="D1077" s="241">
        <f t="shared" si="35"/>
        <v>1.8353071426175063</v>
      </c>
      <c r="E1077" s="241">
        <v>-2.6081927938345802E-3</v>
      </c>
      <c r="F1077" s="242">
        <v>1073</v>
      </c>
      <c r="G1077" s="243">
        <f t="shared" ca="1" si="36"/>
        <v>9.6939169295286783E-3</v>
      </c>
    </row>
    <row r="1078" spans="2:7" ht="15" thickBot="1" x14ac:dyDescent="0.35">
      <c r="B1078" s="170">
        <v>43272.645833333336</v>
      </c>
      <c r="C1078" s="238">
        <v>1490.35</v>
      </c>
      <c r="D1078" s="241">
        <f t="shared" si="35"/>
        <v>-0.63048868172464234</v>
      </c>
      <c r="E1078" s="241">
        <v>-2.6100050192404823E-3</v>
      </c>
      <c r="F1078" s="242">
        <v>1074</v>
      </c>
      <c r="G1078" s="243">
        <f t="shared" ca="1" si="36"/>
        <v>3.2250191844318005E-3</v>
      </c>
    </row>
    <row r="1079" spans="2:7" ht="15" thickBot="1" x14ac:dyDescent="0.35">
      <c r="B1079" s="170">
        <v>45860.645833333336</v>
      </c>
      <c r="C1079" s="239">
        <v>4033.3</v>
      </c>
      <c r="D1079" s="241">
        <f t="shared" si="35"/>
        <v>0.76176644025596796</v>
      </c>
      <c r="E1079" s="241">
        <v>-2.6212319790301216E-3</v>
      </c>
      <c r="F1079" s="242">
        <v>1075</v>
      </c>
      <c r="G1079" s="243">
        <f t="shared" ca="1" si="36"/>
        <v>-1.1622832680287931E-2</v>
      </c>
    </row>
    <row r="1080" spans="2:7" ht="15" thickBot="1" x14ac:dyDescent="0.35">
      <c r="B1080" s="170">
        <v>44013.645833333336</v>
      </c>
      <c r="C1080" s="238">
        <v>2289.35</v>
      </c>
      <c r="D1080" s="241">
        <f t="shared" si="35"/>
        <v>0.54503121309262692</v>
      </c>
      <c r="E1080" s="241">
        <v>-2.6791548682204708E-3</v>
      </c>
      <c r="F1080" s="242">
        <v>1076</v>
      </c>
      <c r="G1080" s="243">
        <f t="shared" ca="1" si="36"/>
        <v>-5.8051161049916984E-3</v>
      </c>
    </row>
    <row r="1081" spans="2:7" ht="15" thickBot="1" x14ac:dyDescent="0.35">
      <c r="B1081" s="170">
        <v>43698.645833333336</v>
      </c>
      <c r="C1081" s="238">
        <v>1481.75</v>
      </c>
      <c r="D1081" s="241">
        <f t="shared" si="35"/>
        <v>-0.29531079088790596</v>
      </c>
      <c r="E1081" s="241">
        <v>-2.6922429749284874E-3</v>
      </c>
      <c r="F1081" s="242">
        <v>1077</v>
      </c>
      <c r="G1081" s="243">
        <f t="shared" ca="1" si="36"/>
        <v>-1.1076233266221886E-2</v>
      </c>
    </row>
    <row r="1082" spans="2:7" ht="15" thickBot="1" x14ac:dyDescent="0.35">
      <c r="B1082" s="170">
        <v>44099.645833333336</v>
      </c>
      <c r="C1082" s="238">
        <v>2102.6999999999998</v>
      </c>
      <c r="D1082" s="241">
        <f t="shared" si="35"/>
        <v>-0.36597868202445388</v>
      </c>
      <c r="E1082" s="241">
        <v>-2.7034718269779326E-3</v>
      </c>
      <c r="F1082" s="242">
        <v>1078</v>
      </c>
      <c r="G1082" s="243">
        <f t="shared" ca="1" si="36"/>
        <v>1.496968620264749E-2</v>
      </c>
    </row>
    <row r="1083" spans="2:7" ht="15" thickBot="1" x14ac:dyDescent="0.35">
      <c r="B1083" s="170">
        <v>45013.645833333336</v>
      </c>
      <c r="C1083" s="238">
        <v>3316.45</v>
      </c>
      <c r="D1083" s="241">
        <f t="shared" si="35"/>
        <v>1.0883130785215036</v>
      </c>
      <c r="E1083" s="241">
        <v>-2.7064006375077058E-3</v>
      </c>
      <c r="F1083" s="242">
        <v>1079</v>
      </c>
      <c r="G1083" s="243">
        <f t="shared" ca="1" si="36"/>
        <v>1.4164040407625927E-2</v>
      </c>
    </row>
    <row r="1084" spans="2:7" ht="15" thickBot="1" x14ac:dyDescent="0.35">
      <c r="B1084" s="170">
        <v>43339.645833333336</v>
      </c>
      <c r="C1084" s="238">
        <v>1588.1</v>
      </c>
      <c r="D1084" s="241">
        <f t="shared" si="35"/>
        <v>-0.44648147502701196</v>
      </c>
      <c r="E1084" s="241">
        <v>-2.7316399259004276E-3</v>
      </c>
      <c r="F1084" s="242">
        <v>1080</v>
      </c>
      <c r="G1084" s="243">
        <f t="shared" ca="1" si="36"/>
        <v>4.1631970013813486E-3</v>
      </c>
    </row>
    <row r="1085" spans="2:7" ht="15" thickBot="1" x14ac:dyDescent="0.35">
      <c r="B1085" s="170">
        <v>44229.645833333336</v>
      </c>
      <c r="C1085" s="238">
        <v>2869.1</v>
      </c>
      <c r="D1085" s="241">
        <f t="shared" si="35"/>
        <v>-0.17957736410168426</v>
      </c>
      <c r="E1085" s="241">
        <v>-2.7459158846020477E-3</v>
      </c>
      <c r="F1085" s="242">
        <v>1081</v>
      </c>
      <c r="G1085" s="243">
        <f t="shared" ca="1" si="36"/>
        <v>1.4336331966801556E-2</v>
      </c>
    </row>
    <row r="1086" spans="2:7" ht="15" thickBot="1" x14ac:dyDescent="0.35">
      <c r="B1086" s="170">
        <v>45033.645833333336</v>
      </c>
      <c r="C1086" s="238">
        <v>3497.1</v>
      </c>
      <c r="D1086" s="241">
        <f t="shared" si="35"/>
        <v>-9.2145740579691396E-2</v>
      </c>
      <c r="E1086" s="241">
        <v>-2.7660545226418022E-3</v>
      </c>
      <c r="F1086" s="242">
        <v>1082</v>
      </c>
      <c r="G1086" s="243">
        <f t="shared" ca="1" si="36"/>
        <v>1.0957768431415108E-2</v>
      </c>
    </row>
    <row r="1087" spans="2:7" ht="15" thickBot="1" x14ac:dyDescent="0.35">
      <c r="B1087" s="170">
        <v>45210.645833333336</v>
      </c>
      <c r="C1087" s="238">
        <v>3852.05</v>
      </c>
      <c r="D1087" s="241">
        <f t="shared" si="35"/>
        <v>-3.9424959166115957E-2</v>
      </c>
      <c r="E1087" s="241">
        <v>-2.7700472461328891E-3</v>
      </c>
      <c r="F1087" s="242">
        <v>1083</v>
      </c>
      <c r="G1087" s="243">
        <f t="shared" ca="1" si="36"/>
        <v>8.3332644443599811E-3</v>
      </c>
    </row>
    <row r="1088" spans="2:7" ht="15" thickBot="1" x14ac:dyDescent="0.35">
      <c r="B1088" s="170">
        <v>45278.645833333336</v>
      </c>
      <c r="C1088" s="238">
        <v>4010.15</v>
      </c>
      <c r="D1088" s="241">
        <f t="shared" si="35"/>
        <v>8.6651407299344202E-3</v>
      </c>
      <c r="E1088" s="241">
        <v>-2.7851343454312156E-3</v>
      </c>
      <c r="F1088" s="242">
        <v>1084</v>
      </c>
      <c r="G1088" s="243">
        <f t="shared" ca="1" si="36"/>
        <v>4.520954456033624E-2</v>
      </c>
    </row>
    <row r="1089" spans="2:7" ht="15" thickBot="1" x14ac:dyDescent="0.35">
      <c r="B1089" s="170">
        <v>45096.645833333336</v>
      </c>
      <c r="C1089" s="238">
        <v>3975.7</v>
      </c>
      <c r="D1089" s="241">
        <f t="shared" si="35"/>
        <v>-9.8460282546089448E-2</v>
      </c>
      <c r="E1089" s="241">
        <v>-2.8092001304272172E-3</v>
      </c>
      <c r="F1089" s="242">
        <v>1085</v>
      </c>
      <c r="G1089" s="243">
        <f t="shared" ca="1" si="36"/>
        <v>1.7434562148116766E-2</v>
      </c>
    </row>
    <row r="1090" spans="2:7" ht="15" thickBot="1" x14ac:dyDescent="0.35">
      <c r="B1090" s="170">
        <v>44462.645833333336</v>
      </c>
      <c r="C1090" s="238">
        <v>4409.8999999999996</v>
      </c>
      <c r="D1090" s="241">
        <f t="shared" si="35"/>
        <v>0.2271538290293855</v>
      </c>
      <c r="E1090" s="241">
        <v>-2.8152452881388236E-3</v>
      </c>
      <c r="F1090" s="242">
        <v>1086</v>
      </c>
      <c r="G1090" s="243">
        <f t="shared" ca="1" si="36"/>
        <v>-1.6318914748365836E-3</v>
      </c>
    </row>
    <row r="1091" spans="2:7" ht="15" thickBot="1" x14ac:dyDescent="0.35">
      <c r="B1091" s="170">
        <v>45723.645833333336</v>
      </c>
      <c r="C1091" s="238">
        <v>3593.6</v>
      </c>
      <c r="D1091" s="241">
        <f t="shared" si="35"/>
        <v>-9.0342994557650949E-2</v>
      </c>
      <c r="E1091" s="241">
        <v>-2.8165105792577428E-3</v>
      </c>
      <c r="F1091" s="242">
        <v>1087</v>
      </c>
      <c r="G1091" s="243">
        <f t="shared" ca="1" si="36"/>
        <v>-1.3040988156825814E-3</v>
      </c>
    </row>
    <row r="1092" spans="2:7" ht="15" thickBot="1" x14ac:dyDescent="0.35">
      <c r="B1092" s="170">
        <v>44448.645833333336</v>
      </c>
      <c r="C1092" s="238">
        <v>3950.5</v>
      </c>
      <c r="D1092" s="241">
        <f t="shared" si="35"/>
        <v>1.961543424958059E-2</v>
      </c>
      <c r="E1092" s="241">
        <v>-2.8648232517636736E-3</v>
      </c>
      <c r="F1092" s="242">
        <v>1088</v>
      </c>
      <c r="G1092" s="243">
        <f t="shared" ca="1" si="36"/>
        <v>-5.5375109057859404E-2</v>
      </c>
    </row>
    <row r="1093" spans="2:7" ht="15" thickBot="1" x14ac:dyDescent="0.35">
      <c r="B1093" s="170">
        <v>45604.645833333336</v>
      </c>
      <c r="C1093" s="238">
        <v>3874.5</v>
      </c>
      <c r="D1093" s="241">
        <f t="shared" ref="D1093:D1156" si="37">(C1093-C1094)/C1094</f>
        <v>-0.25559099292960347</v>
      </c>
      <c r="E1093" s="241">
        <v>-2.8823635381011962E-3</v>
      </c>
      <c r="F1093" s="242">
        <v>1089</v>
      </c>
      <c r="G1093" s="243">
        <f t="shared" ca="1" si="36"/>
        <v>1.7162095401236501E-2</v>
      </c>
    </row>
    <row r="1094" spans="2:7" ht="15" thickBot="1" x14ac:dyDescent="0.35">
      <c r="B1094" s="170">
        <v>45551.645833333336</v>
      </c>
      <c r="C1094" s="238">
        <v>5204.8</v>
      </c>
      <c r="D1094" s="241">
        <f t="shared" si="37"/>
        <v>0.57396879158098457</v>
      </c>
      <c r="E1094" s="241">
        <v>-2.8832246137341457E-3</v>
      </c>
      <c r="F1094" s="242">
        <v>1090</v>
      </c>
      <c r="G1094" s="243">
        <f t="shared" ref="G1094:G1157" ca="1" si="38">_xlfn.NORM.INV(RAND(),$M$7,$M$8)</f>
        <v>-3.5126992623026351E-3</v>
      </c>
    </row>
    <row r="1095" spans="2:7" ht="15" thickBot="1" x14ac:dyDescent="0.35">
      <c r="B1095" s="170">
        <v>45012.645833333336</v>
      </c>
      <c r="C1095" s="238">
        <v>3306.8</v>
      </c>
      <c r="D1095" s="241">
        <f t="shared" si="37"/>
        <v>0.61362416434880196</v>
      </c>
      <c r="E1095" s="241">
        <v>-2.9097378220686687E-3</v>
      </c>
      <c r="F1095" s="242">
        <v>1091</v>
      </c>
      <c r="G1095" s="243">
        <f t="shared" ca="1" si="38"/>
        <v>4.630524349108856E-3</v>
      </c>
    </row>
    <row r="1096" spans="2:7" ht="15" thickBot="1" x14ac:dyDescent="0.35">
      <c r="B1096" s="170">
        <v>44096.645833333336</v>
      </c>
      <c r="C1096" s="238">
        <v>2049.3000000000002</v>
      </c>
      <c r="D1096" s="241">
        <f t="shared" si="37"/>
        <v>0.38293349529304604</v>
      </c>
      <c r="E1096" s="241">
        <v>-2.9192818566632604E-3</v>
      </c>
      <c r="F1096" s="242">
        <v>1092</v>
      </c>
      <c r="G1096" s="243">
        <f t="shared" ca="1" si="38"/>
        <v>1.8619698449203369E-2</v>
      </c>
    </row>
    <row r="1097" spans="2:7" ht="15" thickBot="1" x14ac:dyDescent="0.35">
      <c r="B1097" s="170">
        <v>43563.645833333336</v>
      </c>
      <c r="C1097" s="238">
        <v>1481.85</v>
      </c>
      <c r="D1097" s="241">
        <f t="shared" si="37"/>
        <v>0.10375777438456665</v>
      </c>
      <c r="E1097" s="241">
        <v>-2.926927735163596E-3</v>
      </c>
      <c r="F1097" s="242">
        <v>1093</v>
      </c>
      <c r="G1097" s="243">
        <f t="shared" ca="1" si="38"/>
        <v>-6.969546368940361E-3</v>
      </c>
    </row>
    <row r="1098" spans="2:7" ht="15" thickBot="1" x14ac:dyDescent="0.35">
      <c r="B1098" s="170">
        <v>43178.645833333336</v>
      </c>
      <c r="C1098" s="238">
        <v>1342.55</v>
      </c>
      <c r="D1098" s="241">
        <f t="shared" si="37"/>
        <v>-0.64769402348619032</v>
      </c>
      <c r="E1098" s="241">
        <v>-2.9335313776457819E-3</v>
      </c>
      <c r="F1098" s="242">
        <v>1094</v>
      </c>
      <c r="G1098" s="243">
        <f t="shared" ca="1" si="38"/>
        <v>4.0530008566044004E-3</v>
      </c>
    </row>
    <row r="1099" spans="2:7" ht="15" thickBot="1" x14ac:dyDescent="0.35">
      <c r="B1099" s="170">
        <v>45300.645833333336</v>
      </c>
      <c r="C1099" s="238">
        <v>3810.75</v>
      </c>
      <c r="D1099" s="241">
        <f t="shared" si="37"/>
        <v>-6.0252748542587503E-3</v>
      </c>
      <c r="E1099" s="241">
        <v>-2.9434850863422294E-3</v>
      </c>
      <c r="F1099" s="242">
        <v>1095</v>
      </c>
      <c r="G1099" s="243">
        <f t="shared" ca="1" si="38"/>
        <v>1.2235256536947986E-2</v>
      </c>
    </row>
    <row r="1100" spans="2:7" ht="15" thickBot="1" x14ac:dyDescent="0.35">
      <c r="B1100" s="170">
        <v>45734.645833333336</v>
      </c>
      <c r="C1100" s="238">
        <v>3833.85</v>
      </c>
      <c r="D1100" s="241">
        <f t="shared" si="37"/>
        <v>0.76220353006067298</v>
      </c>
      <c r="E1100" s="241">
        <v>-2.9517320295433034E-3</v>
      </c>
      <c r="F1100" s="242">
        <v>1096</v>
      </c>
      <c r="G1100" s="243">
        <f t="shared" ca="1" si="38"/>
        <v>1.7088342413709615E-2</v>
      </c>
    </row>
    <row r="1101" spans="2:7" ht="15" thickBot="1" x14ac:dyDescent="0.35">
      <c r="B1101" s="170">
        <v>43957.645833333336</v>
      </c>
      <c r="C1101" s="238">
        <v>2175.6</v>
      </c>
      <c r="D1101" s="241">
        <f t="shared" si="37"/>
        <v>-5.5524202300846578E-2</v>
      </c>
      <c r="E1101" s="241">
        <v>-2.9787819073369692E-3</v>
      </c>
      <c r="F1101" s="242">
        <v>1097</v>
      </c>
      <c r="G1101" s="243">
        <f t="shared" ca="1" si="38"/>
        <v>8.9907501841870654E-3</v>
      </c>
    </row>
    <row r="1102" spans="2:7" ht="15" thickBot="1" x14ac:dyDescent="0.35">
      <c r="B1102" s="170">
        <v>43944.645833333336</v>
      </c>
      <c r="C1102" s="238">
        <v>2303.5</v>
      </c>
      <c r="D1102" s="241">
        <f t="shared" si="37"/>
        <v>0.56090123665932579</v>
      </c>
      <c r="E1102" s="241">
        <v>-3.0296472624972951E-3</v>
      </c>
      <c r="F1102" s="242">
        <v>1098</v>
      </c>
      <c r="G1102" s="243">
        <f t="shared" ca="1" si="38"/>
        <v>-3.9368351308326725E-3</v>
      </c>
    </row>
    <row r="1103" spans="2:7" ht="15" thickBot="1" x14ac:dyDescent="0.35">
      <c r="B1103" s="170">
        <v>43214.645833333336</v>
      </c>
      <c r="C1103" s="238">
        <v>1475.75</v>
      </c>
      <c r="D1103" s="241">
        <f t="shared" si="37"/>
        <v>0.13593503444559896</v>
      </c>
      <c r="E1103" s="241">
        <v>-3.0400270224624219E-3</v>
      </c>
      <c r="F1103" s="242">
        <v>1099</v>
      </c>
      <c r="G1103" s="243">
        <f t="shared" ca="1" si="38"/>
        <v>3.7708271812017581E-3</v>
      </c>
    </row>
    <row r="1104" spans="2:7" ht="15" thickBot="1" x14ac:dyDescent="0.35">
      <c r="B1104" s="170">
        <v>43607.645833333336</v>
      </c>
      <c r="C1104" s="238">
        <v>1299.1500000000001</v>
      </c>
      <c r="D1104" s="241">
        <f t="shared" si="37"/>
        <v>-0.73093014104343146</v>
      </c>
      <c r="E1104" s="241">
        <v>-3.0694854774968344E-3</v>
      </c>
      <c r="F1104" s="242">
        <v>1100</v>
      </c>
      <c r="G1104" s="243">
        <f t="shared" ca="1" si="38"/>
        <v>1.7096075291751379E-2</v>
      </c>
    </row>
    <row r="1105" spans="2:7" ht="15" thickBot="1" x14ac:dyDescent="0.35">
      <c r="B1105" s="170">
        <v>44522.645833333336</v>
      </c>
      <c r="C1105" s="238">
        <v>4828.3</v>
      </c>
      <c r="D1105" s="241">
        <f t="shared" si="37"/>
        <v>0.31262658528960002</v>
      </c>
      <c r="E1105" s="241">
        <v>-3.0970619205913322E-3</v>
      </c>
      <c r="F1105" s="242">
        <v>1101</v>
      </c>
      <c r="G1105" s="243">
        <f t="shared" ca="1" si="38"/>
        <v>-1.2545364170584812E-2</v>
      </c>
    </row>
    <row r="1106" spans="2:7" ht="15" thickBot="1" x14ac:dyDescent="0.35">
      <c r="B1106" s="170">
        <v>44942.645833333336</v>
      </c>
      <c r="C1106" s="238">
        <v>3678.35</v>
      </c>
      <c r="D1106" s="241">
        <f t="shared" si="37"/>
        <v>1.3657265974209731</v>
      </c>
      <c r="E1106" s="241">
        <v>-3.1031492221801379E-3</v>
      </c>
      <c r="F1106" s="242">
        <v>1102</v>
      </c>
      <c r="G1106" s="243">
        <f t="shared" ca="1" si="38"/>
        <v>-2.0405408430572911E-2</v>
      </c>
    </row>
    <row r="1107" spans="2:7" ht="15" thickBot="1" x14ac:dyDescent="0.35">
      <c r="B1107" s="170">
        <v>43335.645833333336</v>
      </c>
      <c r="C1107" s="238">
        <v>1554.85</v>
      </c>
      <c r="D1107" s="241">
        <f t="shared" si="37"/>
        <v>-0.61734304629242243</v>
      </c>
      <c r="E1107" s="241">
        <v>-3.1095723536578423E-3</v>
      </c>
      <c r="F1107" s="242">
        <v>1103</v>
      </c>
      <c r="G1107" s="243">
        <f t="shared" ca="1" si="38"/>
        <v>1.7994718982594405E-2</v>
      </c>
    </row>
    <row r="1108" spans="2:7" ht="15" thickBot="1" x14ac:dyDescent="0.35">
      <c r="B1108" s="170">
        <v>44588.645833333336</v>
      </c>
      <c r="C1108" s="238">
        <v>4063.3</v>
      </c>
      <c r="D1108" s="241">
        <f t="shared" si="37"/>
        <v>-5.6658966650028481E-2</v>
      </c>
      <c r="E1108" s="241">
        <v>-3.1157998037291018E-3</v>
      </c>
      <c r="F1108" s="242">
        <v>1104</v>
      </c>
      <c r="G1108" s="243">
        <f t="shared" ca="1" si="38"/>
        <v>2.2856285658881172E-2</v>
      </c>
    </row>
    <row r="1109" spans="2:7" ht="15" thickBot="1" x14ac:dyDescent="0.35">
      <c r="B1109" s="170">
        <v>44862.645833333336</v>
      </c>
      <c r="C1109" s="238">
        <v>4307.3500000000004</v>
      </c>
      <c r="D1109" s="241">
        <f t="shared" si="37"/>
        <v>0.90637101949589538</v>
      </c>
      <c r="E1109" s="241">
        <v>-3.1359207572494788E-3</v>
      </c>
      <c r="F1109" s="242">
        <v>1105</v>
      </c>
      <c r="G1109" s="243">
        <f t="shared" ca="1" si="38"/>
        <v>-9.4648738434284022E-3</v>
      </c>
    </row>
    <row r="1110" spans="2:7" ht="15" thickBot="1" x14ac:dyDescent="0.35">
      <c r="B1110" s="170">
        <v>44061.645833333336</v>
      </c>
      <c r="C1110" s="238">
        <v>2259.4499999999998</v>
      </c>
      <c r="D1110" s="241">
        <f t="shared" si="37"/>
        <v>-0.35459037934186483</v>
      </c>
      <c r="E1110" s="241">
        <v>-3.1545045442513417E-3</v>
      </c>
      <c r="F1110" s="242">
        <v>1106</v>
      </c>
      <c r="G1110" s="243">
        <f t="shared" ca="1" si="38"/>
        <v>-1.161934712994785E-2</v>
      </c>
    </row>
    <row r="1111" spans="2:7" ht="15" thickBot="1" x14ac:dyDescent="0.35">
      <c r="B1111" s="170">
        <v>45043.645833333336</v>
      </c>
      <c r="C1111" s="238">
        <v>3500.8</v>
      </c>
      <c r="D1111" s="241">
        <f t="shared" si="37"/>
        <v>1.2992274082004714E-2</v>
      </c>
      <c r="E1111" s="241">
        <v>-3.174874357550545E-3</v>
      </c>
      <c r="F1111" s="242">
        <v>1107</v>
      </c>
      <c r="G1111" s="243">
        <f t="shared" ca="1" si="38"/>
        <v>-1.8206361914263107E-2</v>
      </c>
    </row>
    <row r="1112" spans="2:7" ht="15" thickBot="1" x14ac:dyDescent="0.35">
      <c r="B1112" s="170">
        <v>45037.645833333336</v>
      </c>
      <c r="C1112" s="238">
        <v>3455.9</v>
      </c>
      <c r="D1112" s="241">
        <f t="shared" si="37"/>
        <v>-0.26649686936219885</v>
      </c>
      <c r="E1112" s="241">
        <v>-3.2591139824641579E-3</v>
      </c>
      <c r="F1112" s="242">
        <v>1108</v>
      </c>
      <c r="G1112" s="243">
        <f t="shared" ca="1" si="38"/>
        <v>-1.6941098610633823E-2</v>
      </c>
    </row>
    <row r="1113" spans="2:7" ht="15" thickBot="1" x14ac:dyDescent="0.35">
      <c r="B1113" s="170">
        <v>44564.645833333336</v>
      </c>
      <c r="C1113" s="238">
        <v>4711.5</v>
      </c>
      <c r="D1113" s="241">
        <f t="shared" si="37"/>
        <v>1.3823127875815342</v>
      </c>
      <c r="E1113" s="241">
        <v>-3.2684923682289465E-3</v>
      </c>
      <c r="F1113" s="242">
        <v>1109</v>
      </c>
      <c r="G1113" s="243">
        <f t="shared" ca="1" si="38"/>
        <v>-4.2551256306356894E-2</v>
      </c>
    </row>
    <row r="1114" spans="2:7" ht="15" thickBot="1" x14ac:dyDescent="0.35">
      <c r="B1114" s="170">
        <v>44119.645833333336</v>
      </c>
      <c r="C1114" s="238">
        <v>1977.7</v>
      </c>
      <c r="D1114" s="241">
        <f t="shared" si="37"/>
        <v>-0.49188119829402394</v>
      </c>
      <c r="E1114" s="241">
        <v>-3.2758794476363271E-3</v>
      </c>
      <c r="F1114" s="242">
        <v>1110</v>
      </c>
      <c r="G1114" s="243">
        <f t="shared" ca="1" si="38"/>
        <v>-1.8160752763397774E-2</v>
      </c>
    </row>
    <row r="1115" spans="2:7" ht="15" thickBot="1" x14ac:dyDescent="0.35">
      <c r="B1115" s="170">
        <v>45737.645833333336</v>
      </c>
      <c r="C1115" s="238">
        <v>3892.2</v>
      </c>
      <c r="D1115" s="241">
        <f t="shared" si="37"/>
        <v>1.6160614051118617E-2</v>
      </c>
      <c r="E1115" s="241">
        <v>-3.3033725128678118E-3</v>
      </c>
      <c r="F1115" s="242">
        <v>1111</v>
      </c>
      <c r="G1115" s="243">
        <f t="shared" ca="1" si="38"/>
        <v>-9.3291589505526771E-3</v>
      </c>
    </row>
    <row r="1116" spans="2:7" ht="15" thickBot="1" x14ac:dyDescent="0.35">
      <c r="B1116" s="170">
        <v>45664.645833333336</v>
      </c>
      <c r="C1116" s="238">
        <v>3830.3</v>
      </c>
      <c r="D1116" s="241">
        <f t="shared" si="37"/>
        <v>-3.146848726215306E-2</v>
      </c>
      <c r="E1116" s="241">
        <v>-3.304709862086864E-3</v>
      </c>
      <c r="F1116" s="242">
        <v>1112</v>
      </c>
      <c r="G1116" s="243">
        <f t="shared" ca="1" si="38"/>
        <v>1.6399155558611087E-2</v>
      </c>
    </row>
    <row r="1117" spans="2:7" ht="15" thickBot="1" x14ac:dyDescent="0.35">
      <c r="B1117" s="170">
        <v>44888.645833333336</v>
      </c>
      <c r="C1117" s="238">
        <v>3954.75</v>
      </c>
      <c r="D1117" s="241">
        <f t="shared" si="37"/>
        <v>-0.17315673381490498</v>
      </c>
      <c r="E1117" s="241">
        <v>-3.351772281095294E-3</v>
      </c>
      <c r="F1117" s="242">
        <v>1113</v>
      </c>
      <c r="G1117" s="243">
        <f t="shared" ca="1" si="38"/>
        <v>-4.8033405477576523E-3</v>
      </c>
    </row>
    <row r="1118" spans="2:7" ht="15" thickBot="1" x14ac:dyDescent="0.35">
      <c r="B1118" s="170">
        <v>44532.645833333336</v>
      </c>
      <c r="C1118" s="238">
        <v>4782.95</v>
      </c>
      <c r="D1118" s="241">
        <f t="shared" si="37"/>
        <v>0.28342769742667778</v>
      </c>
      <c r="E1118" s="241">
        <v>-3.3548306435649479E-3</v>
      </c>
      <c r="F1118" s="242">
        <v>1114</v>
      </c>
      <c r="G1118" s="243">
        <f t="shared" ca="1" si="38"/>
        <v>1.3647951978538566E-2</v>
      </c>
    </row>
    <row r="1119" spans="2:7" ht="15" thickBot="1" x14ac:dyDescent="0.35">
      <c r="B1119" s="170">
        <v>44719.645833333336</v>
      </c>
      <c r="C1119" s="238">
        <v>3726.7</v>
      </c>
      <c r="D1119" s="241">
        <f t="shared" si="37"/>
        <v>-0.28153767555739784</v>
      </c>
      <c r="E1119" s="241">
        <v>-3.3962667807670406E-3</v>
      </c>
      <c r="F1119" s="242">
        <v>1115</v>
      </c>
      <c r="G1119" s="243">
        <f t="shared" ca="1" si="38"/>
        <v>-2.1011259979300712E-3</v>
      </c>
    </row>
    <row r="1120" spans="2:7" ht="15" thickBot="1" x14ac:dyDescent="0.35">
      <c r="B1120" s="170">
        <v>45548.645833333336</v>
      </c>
      <c r="C1120" s="238">
        <v>5187.05</v>
      </c>
      <c r="D1120" s="241">
        <f t="shared" si="37"/>
        <v>0.4173429516080554</v>
      </c>
      <c r="E1120" s="241">
        <v>-3.4103135567168765E-3</v>
      </c>
      <c r="F1120" s="242">
        <v>1116</v>
      </c>
      <c r="G1120" s="243">
        <f t="shared" ca="1" si="38"/>
        <v>1.6626543160341749E-3</v>
      </c>
    </row>
    <row r="1121" spans="2:7" ht="15" thickBot="1" x14ac:dyDescent="0.35">
      <c r="B1121" s="170">
        <v>45055.645833333336</v>
      </c>
      <c r="C1121" s="238">
        <v>3659.7</v>
      </c>
      <c r="D1121" s="241">
        <f t="shared" si="37"/>
        <v>1.5769813047917471</v>
      </c>
      <c r="E1121" s="241">
        <v>-3.4310922310269759E-3</v>
      </c>
      <c r="F1121" s="242">
        <v>1117</v>
      </c>
      <c r="G1121" s="243">
        <f t="shared" ca="1" si="38"/>
        <v>1.1478542150888447E-2</v>
      </c>
    </row>
    <row r="1122" spans="2:7" ht="15" thickBot="1" x14ac:dyDescent="0.35">
      <c r="B1122" s="170">
        <v>43671.645833333336</v>
      </c>
      <c r="C1122" s="238">
        <v>1420.15</v>
      </c>
      <c r="D1122" s="241">
        <f t="shared" si="37"/>
        <v>-0.65944461763506868</v>
      </c>
      <c r="E1122" s="241">
        <v>-3.4384758429527834E-3</v>
      </c>
      <c r="F1122" s="242">
        <v>1118</v>
      </c>
      <c r="G1122" s="243">
        <f t="shared" ca="1" si="38"/>
        <v>-2.847780079675262E-2</v>
      </c>
    </row>
    <row r="1123" spans="2:7" ht="15" thickBot="1" x14ac:dyDescent="0.35">
      <c r="B1123" s="170">
        <v>45877.645833333336</v>
      </c>
      <c r="C1123" s="239">
        <v>4170.1000000000004</v>
      </c>
      <c r="D1123" s="241">
        <f t="shared" si="37"/>
        <v>0.17413033378852091</v>
      </c>
      <c r="E1123" s="241">
        <v>-3.4412713585851682E-3</v>
      </c>
      <c r="F1123" s="242">
        <v>1119</v>
      </c>
      <c r="G1123" s="243">
        <f t="shared" ca="1" si="38"/>
        <v>-2.3126126562892483E-2</v>
      </c>
    </row>
    <row r="1124" spans="2:7" ht="15" thickBot="1" x14ac:dyDescent="0.35">
      <c r="B1124" s="170">
        <v>44418.645833333336</v>
      </c>
      <c r="C1124" s="238">
        <v>3551.65</v>
      </c>
      <c r="D1124" s="241">
        <f t="shared" si="37"/>
        <v>0.12120781639675483</v>
      </c>
      <c r="E1124" s="241">
        <v>-3.4512268690637432E-3</v>
      </c>
      <c r="F1124" s="242">
        <v>1120</v>
      </c>
      <c r="G1124" s="243">
        <f t="shared" ca="1" si="38"/>
        <v>2.7578208222150558E-2</v>
      </c>
    </row>
    <row r="1125" spans="2:7" ht="15" thickBot="1" x14ac:dyDescent="0.35">
      <c r="B1125" s="170">
        <v>44258.645833333336</v>
      </c>
      <c r="C1125" s="238">
        <v>3167.7</v>
      </c>
      <c r="D1125" s="241">
        <f t="shared" si="37"/>
        <v>1.1250461208197764</v>
      </c>
      <c r="E1125" s="241">
        <v>-3.4605341806398845E-3</v>
      </c>
      <c r="F1125" s="242">
        <v>1121</v>
      </c>
      <c r="G1125" s="243">
        <f t="shared" ca="1" si="38"/>
        <v>1.5853066768244925E-2</v>
      </c>
    </row>
    <row r="1126" spans="2:7" ht="15" thickBot="1" x14ac:dyDescent="0.35">
      <c r="B1126" s="170">
        <v>43220.645833333336</v>
      </c>
      <c r="C1126" s="238">
        <v>1490.65</v>
      </c>
      <c r="D1126" s="241">
        <f t="shared" si="37"/>
        <v>-0.62307828461616266</v>
      </c>
      <c r="E1126" s="241">
        <v>-3.4762843868033685E-3</v>
      </c>
      <c r="F1126" s="242">
        <v>1122</v>
      </c>
      <c r="G1126" s="243">
        <f t="shared" ca="1" si="38"/>
        <v>-1.9302161383407345E-3</v>
      </c>
    </row>
    <row r="1127" spans="2:7" ht="15" thickBot="1" x14ac:dyDescent="0.35">
      <c r="B1127" s="170">
        <v>44439.645833333336</v>
      </c>
      <c r="C1127" s="238">
        <v>3954.8</v>
      </c>
      <c r="D1127" s="241">
        <f t="shared" si="37"/>
        <v>1.5253344401519748</v>
      </c>
      <c r="E1127" s="241">
        <v>-3.4772967797207397E-3</v>
      </c>
      <c r="F1127" s="242">
        <v>1123</v>
      </c>
      <c r="G1127" s="243">
        <f t="shared" ca="1" si="38"/>
        <v>-2.4578859971379926E-2</v>
      </c>
    </row>
    <row r="1128" spans="2:7" ht="15" thickBot="1" x14ac:dyDescent="0.35">
      <c r="B1128" s="170">
        <v>43325.645833333336</v>
      </c>
      <c r="C1128" s="238">
        <v>1566.05</v>
      </c>
      <c r="D1128" s="241">
        <f t="shared" si="37"/>
        <v>-0.57875837211178949</v>
      </c>
      <c r="E1128" s="241">
        <v>-3.5314329345889251E-3</v>
      </c>
      <c r="F1128" s="242">
        <v>1124</v>
      </c>
      <c r="G1128" s="243">
        <f t="shared" ca="1" si="38"/>
        <v>1.8185113086880374E-2</v>
      </c>
    </row>
    <row r="1129" spans="2:7" ht="15" thickBot="1" x14ac:dyDescent="0.35">
      <c r="B1129" s="170">
        <v>45329.645833333336</v>
      </c>
      <c r="C1129" s="238">
        <v>3717.7</v>
      </c>
      <c r="D1129" s="241">
        <f t="shared" si="37"/>
        <v>-3.4388717176177266E-2</v>
      </c>
      <c r="E1129" s="241">
        <v>-3.5780812371853403E-3</v>
      </c>
      <c r="F1129" s="242">
        <v>1125</v>
      </c>
      <c r="G1129" s="243">
        <f t="shared" ca="1" si="38"/>
        <v>3.060861345822747E-2</v>
      </c>
    </row>
    <row r="1130" spans="2:7" ht="15" thickBot="1" x14ac:dyDescent="0.35">
      <c r="B1130" s="170">
        <v>45630.645833333336</v>
      </c>
      <c r="C1130" s="238">
        <v>3850.1</v>
      </c>
      <c r="D1130" s="241">
        <f t="shared" si="37"/>
        <v>0.14538585113345623</v>
      </c>
      <c r="E1130" s="241">
        <v>-3.5844149122012214E-3</v>
      </c>
      <c r="F1130" s="242">
        <v>1126</v>
      </c>
      <c r="G1130" s="243">
        <f t="shared" ca="1" si="38"/>
        <v>4.941368854792451E-3</v>
      </c>
    </row>
    <row r="1131" spans="2:7" ht="15" thickBot="1" x14ac:dyDescent="0.35">
      <c r="B1131" s="170">
        <v>45007.645833333336</v>
      </c>
      <c r="C1131" s="238">
        <v>3361.4</v>
      </c>
      <c r="D1131" s="241">
        <f t="shared" si="37"/>
        <v>-0.29727074121692959</v>
      </c>
      <c r="E1131" s="241">
        <v>-3.5867793093226348E-3</v>
      </c>
      <c r="F1131" s="242">
        <v>1127</v>
      </c>
      <c r="G1131" s="243">
        <f t="shared" ca="1" si="38"/>
        <v>-3.3350260969266222E-2</v>
      </c>
    </row>
    <row r="1132" spans="2:7" ht="15" thickBot="1" x14ac:dyDescent="0.35">
      <c r="B1132" s="170">
        <v>45468.645833333336</v>
      </c>
      <c r="C1132" s="238">
        <v>4783.3500000000004</v>
      </c>
      <c r="D1132" s="241">
        <f t="shared" si="37"/>
        <v>0.29514255543822598</v>
      </c>
      <c r="E1132" s="241">
        <v>-3.6763174338678684E-3</v>
      </c>
      <c r="F1132" s="242">
        <v>1128</v>
      </c>
      <c r="G1132" s="243">
        <f t="shared" ca="1" si="38"/>
        <v>1.6933244695496421E-2</v>
      </c>
    </row>
    <row r="1133" spans="2:7" ht="15" thickBot="1" x14ac:dyDescent="0.35">
      <c r="B1133" s="170">
        <v>45338.645833333336</v>
      </c>
      <c r="C1133" s="238">
        <v>3693.3</v>
      </c>
      <c r="D1133" s="241">
        <f t="shared" si="37"/>
        <v>3.0352908355419216E-2</v>
      </c>
      <c r="E1133" s="241">
        <v>-3.7628970260974626E-3</v>
      </c>
      <c r="F1133" s="242">
        <v>1129</v>
      </c>
      <c r="G1133" s="243">
        <f t="shared" ca="1" si="38"/>
        <v>1.5546558154172151E-2</v>
      </c>
    </row>
    <row r="1134" spans="2:7" ht="15" thickBot="1" x14ac:dyDescent="0.35">
      <c r="B1134" s="170">
        <v>45050.645833333336</v>
      </c>
      <c r="C1134" s="238">
        <v>3584.5</v>
      </c>
      <c r="D1134" s="241">
        <f t="shared" si="37"/>
        <v>-0.17823450520982584</v>
      </c>
      <c r="E1134" s="241">
        <v>-3.8074592851981043E-3</v>
      </c>
      <c r="F1134" s="242">
        <v>1130</v>
      </c>
      <c r="G1134" s="243">
        <f t="shared" ca="1" si="38"/>
        <v>1.7539112687296899E-2</v>
      </c>
    </row>
    <row r="1135" spans="2:7" ht="15" thickBot="1" x14ac:dyDescent="0.35">
      <c r="B1135" s="170">
        <v>44460.645833333336</v>
      </c>
      <c r="C1135" s="238">
        <v>4361.95</v>
      </c>
      <c r="D1135" s="241">
        <f t="shared" si="37"/>
        <v>0.48542482547250121</v>
      </c>
      <c r="E1135" s="241">
        <v>-3.8139609240290546E-3</v>
      </c>
      <c r="F1135" s="242">
        <v>1131</v>
      </c>
      <c r="G1135" s="243">
        <f t="shared" ca="1" si="38"/>
        <v>1.4404966310181143E-2</v>
      </c>
    </row>
    <row r="1136" spans="2:7" ht="15" thickBot="1" x14ac:dyDescent="0.35">
      <c r="B1136" s="170">
        <v>44294.645833333336</v>
      </c>
      <c r="C1136" s="238">
        <v>2936.5</v>
      </c>
      <c r="D1136" s="241">
        <f t="shared" si="37"/>
        <v>-0.26794306085309005</v>
      </c>
      <c r="E1136" s="241">
        <v>-3.8164701891273004E-3</v>
      </c>
      <c r="F1136" s="242">
        <v>1132</v>
      </c>
      <c r="G1136" s="243">
        <f t="shared" ca="1" si="38"/>
        <v>-1.2502008828581523E-2</v>
      </c>
    </row>
    <row r="1137" spans="2:7" ht="15" thickBot="1" x14ac:dyDescent="0.35">
      <c r="B1137" s="170">
        <v>45852.645833333336</v>
      </c>
      <c r="C1137" s="239">
        <v>4011.3</v>
      </c>
      <c r="D1137" s="241">
        <f t="shared" si="37"/>
        <v>2.0505253517185327E-2</v>
      </c>
      <c r="E1137" s="241">
        <v>-3.8244716517246472E-3</v>
      </c>
      <c r="F1137" s="242">
        <v>1133</v>
      </c>
      <c r="G1137" s="243">
        <f t="shared" ca="1" si="38"/>
        <v>9.4219731063494572E-3</v>
      </c>
    </row>
    <row r="1138" spans="2:7" ht="15" thickBot="1" x14ac:dyDescent="0.35">
      <c r="B1138" s="170">
        <v>45596.645833333336</v>
      </c>
      <c r="C1138" s="238">
        <v>3930.7</v>
      </c>
      <c r="D1138" s="241">
        <f t="shared" si="37"/>
        <v>-1.9274192542322134E-2</v>
      </c>
      <c r="E1138" s="241">
        <v>-3.8394769187881169E-3</v>
      </c>
      <c r="F1138" s="242">
        <v>1134</v>
      </c>
      <c r="G1138" s="243">
        <f t="shared" ca="1" si="38"/>
        <v>-2.1395413645014762E-2</v>
      </c>
    </row>
    <row r="1139" spans="2:7" ht="15" thickBot="1" x14ac:dyDescent="0.35">
      <c r="B1139" s="170">
        <v>45282.645833333336</v>
      </c>
      <c r="C1139" s="238">
        <v>4007.95</v>
      </c>
      <c r="D1139" s="241">
        <f t="shared" si="37"/>
        <v>-0.14495242565174721</v>
      </c>
      <c r="E1139" s="241">
        <v>-3.8524152157973879E-3</v>
      </c>
      <c r="F1139" s="242">
        <v>1135</v>
      </c>
      <c r="G1139" s="243">
        <f t="shared" ca="1" si="38"/>
        <v>-4.9168082795512189E-3</v>
      </c>
    </row>
    <row r="1140" spans="2:7" ht="15" thickBot="1" x14ac:dyDescent="0.35">
      <c r="B1140" s="170">
        <v>44566.645833333336</v>
      </c>
      <c r="C1140" s="238">
        <v>4687.3999999999996</v>
      </c>
      <c r="D1140" s="241">
        <f t="shared" si="37"/>
        <v>2.2323552735923866</v>
      </c>
      <c r="E1140" s="241">
        <v>-3.8783164918767868E-3</v>
      </c>
      <c r="F1140" s="242">
        <v>1136</v>
      </c>
      <c r="G1140" s="243">
        <f t="shared" ca="1" si="38"/>
        <v>-4.041980835662181E-2</v>
      </c>
    </row>
    <row r="1141" spans="2:7" ht="15" thickBot="1" x14ac:dyDescent="0.35">
      <c r="B1141" s="170">
        <v>43523.645833333336</v>
      </c>
      <c r="C1141" s="238">
        <v>1450.15</v>
      </c>
      <c r="D1141" s="241">
        <f t="shared" si="37"/>
        <v>-0.5620073091908544</v>
      </c>
      <c r="E1141" s="241">
        <v>-3.8810276136831048E-3</v>
      </c>
      <c r="F1141" s="242">
        <v>1137</v>
      </c>
      <c r="G1141" s="243">
        <f t="shared" ca="1" si="38"/>
        <v>1.2026983855200861E-2</v>
      </c>
    </row>
    <row r="1142" spans="2:7" ht="15" thickBot="1" x14ac:dyDescent="0.35">
      <c r="B1142" s="170">
        <v>44370.645833333336</v>
      </c>
      <c r="C1142" s="238">
        <v>3310.9</v>
      </c>
      <c r="D1142" s="241">
        <f t="shared" si="37"/>
        <v>1.2935023552230538</v>
      </c>
      <c r="E1142" s="241">
        <v>-3.8810999458451442E-3</v>
      </c>
      <c r="F1142" s="242">
        <v>1138</v>
      </c>
      <c r="G1142" s="243">
        <f t="shared" ca="1" si="38"/>
        <v>4.4571075489793777E-2</v>
      </c>
    </row>
    <row r="1143" spans="2:7" ht="15" thickBot="1" x14ac:dyDescent="0.35">
      <c r="B1143" s="170">
        <v>43559.645833333336</v>
      </c>
      <c r="C1143" s="238">
        <v>1443.6</v>
      </c>
      <c r="D1143" s="241">
        <f t="shared" si="37"/>
        <v>-7.8131485679619486E-2</v>
      </c>
      <c r="E1143" s="241">
        <v>-3.9329331401366492E-3</v>
      </c>
      <c r="F1143" s="242">
        <v>1139</v>
      </c>
      <c r="G1143" s="243">
        <f t="shared" ca="1" si="38"/>
        <v>4.035737422634407E-2</v>
      </c>
    </row>
    <row r="1144" spans="2:7" ht="15" thickBot="1" x14ac:dyDescent="0.35">
      <c r="B1144" s="170">
        <v>43250.645833333336</v>
      </c>
      <c r="C1144" s="238">
        <v>1565.95</v>
      </c>
      <c r="D1144" s="241">
        <f t="shared" si="37"/>
        <v>-0.69169357379114826</v>
      </c>
      <c r="E1144" s="241">
        <v>-3.9436440543205451E-3</v>
      </c>
      <c r="F1144" s="242">
        <v>1140</v>
      </c>
      <c r="G1144" s="243">
        <f t="shared" ca="1" si="38"/>
        <v>-1.3463655145397886E-2</v>
      </c>
    </row>
    <row r="1145" spans="2:7" ht="15" thickBot="1" x14ac:dyDescent="0.35">
      <c r="B1145" s="170">
        <v>45524.645833333336</v>
      </c>
      <c r="C1145" s="238">
        <v>5079.2</v>
      </c>
      <c r="D1145" s="241">
        <f t="shared" si="37"/>
        <v>6.3963048692355112E-2</v>
      </c>
      <c r="E1145" s="241">
        <v>-3.9710164821696462E-3</v>
      </c>
      <c r="F1145" s="242">
        <v>1141</v>
      </c>
      <c r="G1145" s="243">
        <f t="shared" ca="1" si="38"/>
        <v>-2.6748985767658384E-2</v>
      </c>
    </row>
    <row r="1146" spans="2:7" ht="15" thickBot="1" x14ac:dyDescent="0.35">
      <c r="B1146" s="170">
        <v>45475.645833333336</v>
      </c>
      <c r="C1146" s="238">
        <v>4773.8500000000004</v>
      </c>
      <c r="D1146" s="241">
        <f t="shared" si="37"/>
        <v>0.29773555156853165</v>
      </c>
      <c r="E1146" s="241">
        <v>-3.9746291389345231E-3</v>
      </c>
      <c r="F1146" s="242">
        <v>1142</v>
      </c>
      <c r="G1146" s="243">
        <f t="shared" ca="1" si="38"/>
        <v>-2.9307897714498973E-2</v>
      </c>
    </row>
    <row r="1147" spans="2:7" ht="15" thickBot="1" x14ac:dyDescent="0.35">
      <c r="B1147" s="170">
        <v>45337.645833333336</v>
      </c>
      <c r="C1147" s="238">
        <v>3678.6</v>
      </c>
      <c r="D1147" s="241">
        <f t="shared" si="37"/>
        <v>8.3052380560808391E-3</v>
      </c>
      <c r="E1147" s="241">
        <v>-3.980180326537317E-3</v>
      </c>
      <c r="F1147" s="242">
        <v>1143</v>
      </c>
      <c r="G1147" s="243">
        <f t="shared" ca="1" si="38"/>
        <v>-2.825360692838462E-2</v>
      </c>
    </row>
    <row r="1148" spans="2:7" ht="15" thickBot="1" x14ac:dyDescent="0.35">
      <c r="B1148" s="170">
        <v>44726.645833333336</v>
      </c>
      <c r="C1148" s="238">
        <v>3648.3</v>
      </c>
      <c r="D1148" s="241">
        <f t="shared" si="37"/>
        <v>-4.1522718614946004E-2</v>
      </c>
      <c r="E1148" s="241">
        <v>-3.9859128013322526E-3</v>
      </c>
      <c r="F1148" s="242">
        <v>1144</v>
      </c>
      <c r="G1148" s="243">
        <f t="shared" ca="1" si="38"/>
        <v>1.764198071386865E-2</v>
      </c>
    </row>
    <row r="1149" spans="2:7" ht="15" thickBot="1" x14ac:dyDescent="0.35">
      <c r="B1149" s="170">
        <v>45119.645833333336</v>
      </c>
      <c r="C1149" s="238">
        <v>3806.35</v>
      </c>
      <c r="D1149" s="241">
        <f t="shared" si="37"/>
        <v>-0.18186116992122428</v>
      </c>
      <c r="E1149" s="241">
        <v>-4.0035063388850845E-3</v>
      </c>
      <c r="F1149" s="242">
        <v>1145</v>
      </c>
      <c r="G1149" s="243">
        <f t="shared" ca="1" si="38"/>
        <v>-9.1514415177979293E-3</v>
      </c>
    </row>
    <row r="1150" spans="2:7" ht="15" thickBot="1" x14ac:dyDescent="0.35">
      <c r="B1150" s="170">
        <v>45427.645833333336</v>
      </c>
      <c r="C1150" s="238">
        <v>4652.45</v>
      </c>
      <c r="D1150" s="241">
        <f t="shared" si="37"/>
        <v>0.33365343270746733</v>
      </c>
      <c r="E1150" s="241">
        <v>-4.0246186780840635E-3</v>
      </c>
      <c r="F1150" s="242">
        <v>1146</v>
      </c>
      <c r="G1150" s="243">
        <f t="shared" ca="1" si="38"/>
        <v>-5.6624951094463262E-3</v>
      </c>
    </row>
    <row r="1151" spans="2:7" ht="15" thickBot="1" x14ac:dyDescent="0.35">
      <c r="B1151" s="170">
        <v>44405.645833333336</v>
      </c>
      <c r="C1151" s="238">
        <v>3488.5</v>
      </c>
      <c r="D1151" s="241">
        <f t="shared" si="37"/>
        <v>0.48421545268890398</v>
      </c>
      <c r="E1151" s="241">
        <v>-4.0255809969736512E-3</v>
      </c>
      <c r="F1151" s="242">
        <v>1147</v>
      </c>
      <c r="G1151" s="243">
        <f t="shared" ca="1" si="38"/>
        <v>-8.7960114816148845E-3</v>
      </c>
    </row>
    <row r="1152" spans="2:7" ht="15" thickBot="1" x14ac:dyDescent="0.35">
      <c r="B1152" s="170">
        <v>44004.645833333336</v>
      </c>
      <c r="C1152" s="238">
        <v>2350.4</v>
      </c>
      <c r="D1152" s="241">
        <f t="shared" si="37"/>
        <v>1.1185682326621923E-2</v>
      </c>
      <c r="E1152" s="241">
        <v>-4.0255943048434252E-3</v>
      </c>
      <c r="F1152" s="242">
        <v>1148</v>
      </c>
      <c r="G1152" s="243">
        <f t="shared" ca="1" si="38"/>
        <v>-1.7259480002783111E-2</v>
      </c>
    </row>
    <row r="1153" spans="2:7" ht="15" thickBot="1" x14ac:dyDescent="0.35">
      <c r="B1153" s="170">
        <v>43965.645833333336</v>
      </c>
      <c r="C1153" s="238">
        <v>2324.4</v>
      </c>
      <c r="D1153" s="241">
        <f t="shared" si="37"/>
        <v>-0.37754569190600518</v>
      </c>
      <c r="E1153" s="241">
        <v>-4.0277658753963882E-3</v>
      </c>
      <c r="F1153" s="242">
        <v>1149</v>
      </c>
      <c r="G1153" s="243">
        <f t="shared" ca="1" si="38"/>
        <v>2.9724068224716228E-2</v>
      </c>
    </row>
    <row r="1154" spans="2:7" ht="15" thickBot="1" x14ac:dyDescent="0.35">
      <c r="B1154" s="170">
        <v>45316.645833333336</v>
      </c>
      <c r="C1154" s="238">
        <v>3734.25</v>
      </c>
      <c r="D1154" s="241">
        <f t="shared" si="37"/>
        <v>-0.2083002067101288</v>
      </c>
      <c r="E1154" s="241">
        <v>-4.040646503440575E-3</v>
      </c>
      <c r="F1154" s="242">
        <v>1150</v>
      </c>
      <c r="G1154" s="243">
        <f t="shared" ca="1" si="38"/>
        <v>-1.2323868423194922E-2</v>
      </c>
    </row>
    <row r="1155" spans="2:7" ht="15" thickBot="1" x14ac:dyDescent="0.35">
      <c r="B1155" s="170">
        <v>45471.645833333336</v>
      </c>
      <c r="C1155" s="238">
        <v>4716.75</v>
      </c>
      <c r="D1155" s="241">
        <f t="shared" si="37"/>
        <v>0.12579659641501784</v>
      </c>
      <c r="E1155" s="241">
        <v>-4.0435820013090731E-3</v>
      </c>
      <c r="F1155" s="242">
        <v>1151</v>
      </c>
      <c r="G1155" s="243">
        <f t="shared" ca="1" si="38"/>
        <v>-2.8274295782051161E-2</v>
      </c>
    </row>
    <row r="1156" spans="2:7" ht="15" thickBot="1" x14ac:dyDescent="0.35">
      <c r="B1156" s="170">
        <v>45793.645833333336</v>
      </c>
      <c r="C1156" s="239">
        <v>4189.7</v>
      </c>
      <c r="D1156" s="241">
        <f t="shared" si="37"/>
        <v>0.10467476995280407</v>
      </c>
      <c r="E1156" s="241">
        <v>-4.0648473899401833E-3</v>
      </c>
      <c r="F1156" s="242">
        <v>1152</v>
      </c>
      <c r="G1156" s="243">
        <f t="shared" ca="1" si="38"/>
        <v>-1.878585115902557E-3</v>
      </c>
    </row>
    <row r="1157" spans="2:7" ht="15" thickBot="1" x14ac:dyDescent="0.35">
      <c r="B1157" s="170">
        <v>45322.645833333336</v>
      </c>
      <c r="C1157" s="238">
        <v>3792.7</v>
      </c>
      <c r="D1157" s="241">
        <f t="shared" ref="D1157:D1220" si="39">(C1157-C1158)/C1158</f>
        <v>-1.12233591865998E-2</v>
      </c>
      <c r="E1157" s="241">
        <v>-4.0701643821227877E-3</v>
      </c>
      <c r="F1157" s="242">
        <v>1153</v>
      </c>
      <c r="G1157" s="243">
        <f t="shared" ca="1" si="38"/>
        <v>2.2671702676764084E-2</v>
      </c>
    </row>
    <row r="1158" spans="2:7" ht="15" thickBot="1" x14ac:dyDescent="0.35">
      <c r="B1158" s="170">
        <v>45343.645833333336</v>
      </c>
      <c r="C1158" s="238">
        <v>3835.75</v>
      </c>
      <c r="D1158" s="241">
        <f t="shared" si="39"/>
        <v>-0.18724639523673306</v>
      </c>
      <c r="E1158" s="241">
        <v>-4.0763868153552091E-3</v>
      </c>
      <c r="F1158" s="242">
        <v>1154</v>
      </c>
      <c r="G1158" s="243">
        <f t="shared" ref="G1158:G1221" ca="1" si="40">_xlfn.NORM.INV(RAND(),$M$7,$M$8)</f>
        <v>-1.20597254270993E-4</v>
      </c>
    </row>
    <row r="1159" spans="2:7" ht="15" thickBot="1" x14ac:dyDescent="0.35">
      <c r="B1159" s="170">
        <v>44480.645833333336</v>
      </c>
      <c r="C1159" s="238">
        <v>4719.45</v>
      </c>
      <c r="D1159" s="241">
        <f t="shared" si="39"/>
        <v>0.20354219264019574</v>
      </c>
      <c r="E1159" s="241">
        <v>-4.1253428993458918E-3</v>
      </c>
      <c r="F1159" s="242">
        <v>1155</v>
      </c>
      <c r="G1159" s="243">
        <f t="shared" ca="1" si="40"/>
        <v>2.875563042543745E-2</v>
      </c>
    </row>
    <row r="1160" spans="2:7" ht="15" thickBot="1" x14ac:dyDescent="0.35">
      <c r="B1160" s="170">
        <v>44445.645833333336</v>
      </c>
      <c r="C1160" s="238">
        <v>3921.3</v>
      </c>
      <c r="D1160" s="241">
        <f t="shared" si="39"/>
        <v>-7.3471557682083952E-2</v>
      </c>
      <c r="E1160" s="241">
        <v>-4.1269317215019488E-3</v>
      </c>
      <c r="F1160" s="242">
        <v>1156</v>
      </c>
      <c r="G1160" s="243">
        <f t="shared" ca="1" si="40"/>
        <v>-7.4899683861287605E-3</v>
      </c>
    </row>
    <row r="1161" spans="2:7" ht="15" thickBot="1" x14ac:dyDescent="0.35">
      <c r="B1161" s="170">
        <v>44778.645833333336</v>
      </c>
      <c r="C1161" s="238">
        <v>4232.25</v>
      </c>
      <c r="D1161" s="241">
        <f t="shared" si="39"/>
        <v>0.58996562541089848</v>
      </c>
      <c r="E1161" s="241">
        <v>-4.188186021340968E-3</v>
      </c>
      <c r="F1161" s="242">
        <v>1157</v>
      </c>
      <c r="G1161" s="243">
        <f t="shared" ca="1" si="40"/>
        <v>-1.9590909364546254E-2</v>
      </c>
    </row>
    <row r="1162" spans="2:7" ht="15" thickBot="1" x14ac:dyDescent="0.35">
      <c r="B1162" s="170">
        <v>44188.645833333336</v>
      </c>
      <c r="C1162" s="238">
        <v>2661.85</v>
      </c>
      <c r="D1162" s="241">
        <f t="shared" si="39"/>
        <v>0.66756460454189503</v>
      </c>
      <c r="E1162" s="241">
        <v>-4.2085967603157385E-3</v>
      </c>
      <c r="F1162" s="242">
        <v>1158</v>
      </c>
      <c r="G1162" s="243">
        <f t="shared" ca="1" si="40"/>
        <v>1.236662448390153E-3</v>
      </c>
    </row>
    <row r="1163" spans="2:7" ht="15" thickBot="1" x14ac:dyDescent="0.35">
      <c r="B1163" s="170">
        <v>43724.645833333336</v>
      </c>
      <c r="C1163" s="238">
        <v>1596.25</v>
      </c>
      <c r="D1163" s="241">
        <f t="shared" si="39"/>
        <v>-0.60365740108505384</v>
      </c>
      <c r="E1163" s="241">
        <v>-4.2419138517201301E-3</v>
      </c>
      <c r="F1163" s="242">
        <v>1159</v>
      </c>
      <c r="G1163" s="243">
        <f t="shared" ca="1" si="40"/>
        <v>3.012911535165648E-3</v>
      </c>
    </row>
    <row r="1164" spans="2:7" ht="15" thickBot="1" x14ac:dyDescent="0.35">
      <c r="B1164" s="170">
        <v>45287.645833333336</v>
      </c>
      <c r="C1164" s="238">
        <v>4027.45</v>
      </c>
      <c r="D1164" s="241">
        <f t="shared" si="39"/>
        <v>0.11414028244602126</v>
      </c>
      <c r="E1164" s="241">
        <v>-4.2525311213579102E-3</v>
      </c>
      <c r="F1164" s="242">
        <v>1160</v>
      </c>
      <c r="G1164" s="243">
        <f t="shared" ca="1" si="40"/>
        <v>-4.2870212062591506E-3</v>
      </c>
    </row>
    <row r="1165" spans="2:7" ht="15" thickBot="1" x14ac:dyDescent="0.35">
      <c r="B1165" s="170">
        <v>44700.645833333336</v>
      </c>
      <c r="C1165" s="238">
        <v>3614.85</v>
      </c>
      <c r="D1165" s="241">
        <f t="shared" si="39"/>
        <v>1.8926899531868921</v>
      </c>
      <c r="E1165" s="241">
        <v>-4.2832745702953345E-3</v>
      </c>
      <c r="F1165" s="242">
        <v>1161</v>
      </c>
      <c r="G1165" s="243">
        <f t="shared" ca="1" si="40"/>
        <v>-1.6817315507641761E-3</v>
      </c>
    </row>
    <row r="1166" spans="2:7" ht="15" thickBot="1" x14ac:dyDescent="0.35">
      <c r="B1166" s="170">
        <v>43591.645833333336</v>
      </c>
      <c r="C1166" s="238">
        <v>1249.6500000000001</v>
      </c>
      <c r="D1166" s="241">
        <f t="shared" si="39"/>
        <v>-8.1004559494043143E-2</v>
      </c>
      <c r="E1166" s="241">
        <v>-4.3422834833876335E-3</v>
      </c>
      <c r="F1166" s="242">
        <v>1162</v>
      </c>
      <c r="G1166" s="243">
        <f t="shared" ca="1" si="40"/>
        <v>-1.5512289063765327E-2</v>
      </c>
    </row>
    <row r="1167" spans="2:7" ht="15" thickBot="1" x14ac:dyDescent="0.35">
      <c r="B1167" s="170">
        <v>43174.645833333336</v>
      </c>
      <c r="C1167" s="238">
        <v>1359.8</v>
      </c>
      <c r="D1167" s="241">
        <f t="shared" si="39"/>
        <v>-0.39603366719225386</v>
      </c>
      <c r="E1167" s="241">
        <v>-4.3930297261678139E-3</v>
      </c>
      <c r="F1167" s="242">
        <v>1163</v>
      </c>
      <c r="G1167" s="243">
        <f t="shared" ca="1" si="40"/>
        <v>-1.4212779196271548E-2</v>
      </c>
    </row>
    <row r="1168" spans="2:7" ht="15" thickBot="1" x14ac:dyDescent="0.35">
      <c r="B1168" s="170">
        <v>44078.645833333336</v>
      </c>
      <c r="C1168" s="238">
        <v>2251.4499999999998</v>
      </c>
      <c r="D1168" s="241">
        <f t="shared" si="39"/>
        <v>0.51740522325189542</v>
      </c>
      <c r="E1168" s="241">
        <v>-4.3999292473690067E-3</v>
      </c>
      <c r="F1168" s="242">
        <v>1164</v>
      </c>
      <c r="G1168" s="243">
        <f t="shared" ca="1" si="40"/>
        <v>-1.2390480421091591E-2</v>
      </c>
    </row>
    <row r="1169" spans="2:7" ht="15" thickBot="1" x14ac:dyDescent="0.35">
      <c r="B1169" s="170">
        <v>43271.645833333336</v>
      </c>
      <c r="C1169" s="238">
        <v>1483.75</v>
      </c>
      <c r="D1169" s="241">
        <f t="shared" si="39"/>
        <v>-0.62273865673349516</v>
      </c>
      <c r="E1169" s="241">
        <v>-4.4284899520246317E-3</v>
      </c>
      <c r="F1169" s="242">
        <v>1165</v>
      </c>
      <c r="G1169" s="243">
        <f t="shared" ca="1" si="40"/>
        <v>-5.1737094485371519E-4</v>
      </c>
    </row>
    <row r="1170" spans="2:7" ht="15" thickBot="1" x14ac:dyDescent="0.35">
      <c r="B1170" s="170">
        <v>44447.645833333336</v>
      </c>
      <c r="C1170" s="238">
        <v>3932.95</v>
      </c>
      <c r="D1170" s="241">
        <f t="shared" si="39"/>
        <v>0.68046060502478189</v>
      </c>
      <c r="E1170" s="241">
        <v>-4.4424756359954893E-3</v>
      </c>
      <c r="F1170" s="242">
        <v>1166</v>
      </c>
      <c r="G1170" s="243">
        <f t="shared" ca="1" si="40"/>
        <v>2.7652710639560754E-3</v>
      </c>
    </row>
    <row r="1171" spans="2:7" ht="15" thickBot="1" x14ac:dyDescent="0.35">
      <c r="B1171" s="170">
        <v>43999.645833333336</v>
      </c>
      <c r="C1171" s="238">
        <v>2340.4</v>
      </c>
      <c r="D1171" s="241">
        <f t="shared" si="39"/>
        <v>-0.35603340349718654</v>
      </c>
      <c r="E1171" s="241">
        <v>-4.4452006720972492E-3</v>
      </c>
      <c r="F1171" s="242">
        <v>1167</v>
      </c>
      <c r="G1171" s="243">
        <f t="shared" ca="1" si="40"/>
        <v>2.515111135011391E-4</v>
      </c>
    </row>
    <row r="1172" spans="2:7" ht="15" thickBot="1" x14ac:dyDescent="0.35">
      <c r="B1172" s="170">
        <v>44425.645833333336</v>
      </c>
      <c r="C1172" s="238">
        <v>3634.35</v>
      </c>
      <c r="D1172" s="241">
        <f t="shared" si="39"/>
        <v>0.21759887431529223</v>
      </c>
      <c r="E1172" s="241">
        <v>-4.4513230701802445E-3</v>
      </c>
      <c r="F1172" s="242">
        <v>1168</v>
      </c>
      <c r="G1172" s="243">
        <f t="shared" ca="1" si="40"/>
        <v>-1.2162384873988592E-2</v>
      </c>
    </row>
    <row r="1173" spans="2:7" ht="15" thickBot="1" x14ac:dyDescent="0.35">
      <c r="B1173" s="170">
        <v>44207.645833333336</v>
      </c>
      <c r="C1173" s="238">
        <v>2984.85</v>
      </c>
      <c r="D1173" s="241">
        <f t="shared" si="39"/>
        <v>-0.21896301335810453</v>
      </c>
      <c r="E1173" s="241">
        <v>-4.4526716029617474E-3</v>
      </c>
      <c r="F1173" s="242">
        <v>1169</v>
      </c>
      <c r="G1173" s="243">
        <f t="shared" ca="1" si="40"/>
        <v>-1.1483041418321427E-2</v>
      </c>
    </row>
    <row r="1174" spans="2:7" ht="15" thickBot="1" x14ac:dyDescent="0.35">
      <c r="B1174" s="170">
        <v>45120.645833333336</v>
      </c>
      <c r="C1174" s="238">
        <v>3821.65</v>
      </c>
      <c r="D1174" s="241">
        <f t="shared" si="39"/>
        <v>-5.9864698646986444E-2</v>
      </c>
      <c r="E1174" s="241">
        <v>-4.4545750569846719E-3</v>
      </c>
      <c r="F1174" s="242">
        <v>1170</v>
      </c>
      <c r="G1174" s="243">
        <f t="shared" ca="1" si="40"/>
        <v>-1.3780112263154392E-3</v>
      </c>
    </row>
    <row r="1175" spans="2:7" ht="15" thickBot="1" x14ac:dyDescent="0.35">
      <c r="B1175" s="170">
        <v>45743.645833333336</v>
      </c>
      <c r="C1175" s="238">
        <v>4065</v>
      </c>
      <c r="D1175" s="241">
        <f t="shared" si="39"/>
        <v>5.8318146316063524E-2</v>
      </c>
      <c r="E1175" s="241">
        <v>-4.4572884012538741E-3</v>
      </c>
      <c r="F1175" s="242">
        <v>1171</v>
      </c>
      <c r="G1175" s="243">
        <f t="shared" ca="1" si="40"/>
        <v>1.9024500891049206E-2</v>
      </c>
    </row>
    <row r="1176" spans="2:7" ht="15" thickBot="1" x14ac:dyDescent="0.35">
      <c r="B1176" s="170">
        <v>45303.645833333336</v>
      </c>
      <c r="C1176" s="238">
        <v>3841</v>
      </c>
      <c r="D1176" s="241">
        <f t="shared" si="39"/>
        <v>-3.050342642957202E-2</v>
      </c>
      <c r="E1176" s="241">
        <v>-4.4709388971684054E-3</v>
      </c>
      <c r="F1176" s="242">
        <v>1172</v>
      </c>
      <c r="G1176" s="243">
        <f t="shared" ca="1" si="40"/>
        <v>1.1749879602219776E-3</v>
      </c>
    </row>
    <row r="1177" spans="2:7" ht="15" thickBot="1" x14ac:dyDescent="0.35">
      <c r="B1177" s="170">
        <v>44452.645833333336</v>
      </c>
      <c r="C1177" s="238">
        <v>3961.85</v>
      </c>
      <c r="D1177" s="241">
        <f t="shared" si="39"/>
        <v>1.0020971776536878</v>
      </c>
      <c r="E1177" s="241">
        <v>-4.4852627082443176E-3</v>
      </c>
      <c r="F1177" s="242">
        <v>1173</v>
      </c>
      <c r="G1177" s="243">
        <f t="shared" ca="1" si="40"/>
        <v>1.7102013881420464E-2</v>
      </c>
    </row>
    <row r="1178" spans="2:7" ht="15" thickBot="1" x14ac:dyDescent="0.35">
      <c r="B1178" s="170">
        <v>43775.645833333336</v>
      </c>
      <c r="C1178" s="238">
        <v>1978.85</v>
      </c>
      <c r="D1178" s="241">
        <f t="shared" si="39"/>
        <v>-0.43194442450948034</v>
      </c>
      <c r="E1178" s="241">
        <v>-4.5275045903865989E-3</v>
      </c>
      <c r="F1178" s="242">
        <v>1174</v>
      </c>
      <c r="G1178" s="243">
        <f t="shared" ca="1" si="40"/>
        <v>-1.4924605164886109E-2</v>
      </c>
    </row>
    <row r="1179" spans="2:7" ht="15" thickBot="1" x14ac:dyDescent="0.35">
      <c r="B1179" s="170">
        <v>44403.645833333336</v>
      </c>
      <c r="C1179" s="238">
        <v>3483.55</v>
      </c>
      <c r="D1179" s="241">
        <f t="shared" si="39"/>
        <v>0.9008785332314746</v>
      </c>
      <c r="E1179" s="241">
        <v>-4.5293478882093815E-3</v>
      </c>
      <c r="F1179" s="242">
        <v>1175</v>
      </c>
      <c r="G1179" s="243">
        <f t="shared" ca="1" si="40"/>
        <v>-2.9976882328046541E-2</v>
      </c>
    </row>
    <row r="1180" spans="2:7" ht="15" thickBot="1" x14ac:dyDescent="0.35">
      <c r="B1180" s="170">
        <v>43802.645833333336</v>
      </c>
      <c r="C1180" s="238">
        <v>1832.6</v>
      </c>
      <c r="D1180" s="241">
        <f t="shared" si="39"/>
        <v>0.24244067796610164</v>
      </c>
      <c r="E1180" s="241">
        <v>-4.5357016757653036E-3</v>
      </c>
      <c r="F1180" s="242">
        <v>1176</v>
      </c>
      <c r="G1180" s="243">
        <f t="shared" ca="1" si="40"/>
        <v>9.8943764218600554E-3</v>
      </c>
    </row>
    <row r="1181" spans="2:7" ht="15" thickBot="1" x14ac:dyDescent="0.35">
      <c r="B1181" s="170">
        <v>43697.645833333336</v>
      </c>
      <c r="C1181" s="238">
        <v>1475</v>
      </c>
      <c r="D1181" s="241">
        <f t="shared" si="39"/>
        <v>2.5829255029907248E-3</v>
      </c>
      <c r="E1181" s="241">
        <v>-4.5554243293403074E-3</v>
      </c>
      <c r="F1181" s="242">
        <v>1177</v>
      </c>
      <c r="G1181" s="243">
        <f t="shared" ca="1" si="40"/>
        <v>-2.5714926804916639E-2</v>
      </c>
    </row>
    <row r="1182" spans="2:7" ht="15" thickBot="1" x14ac:dyDescent="0.35">
      <c r="B1182" s="170">
        <v>43549.645833333336</v>
      </c>
      <c r="C1182" s="238">
        <v>1471.2</v>
      </c>
      <c r="D1182" s="241">
        <f t="shared" si="39"/>
        <v>7.0469676574380719E-2</v>
      </c>
      <c r="E1182" s="241">
        <v>-4.567136912615447E-3</v>
      </c>
      <c r="F1182" s="242">
        <v>1178</v>
      </c>
      <c r="G1182" s="243">
        <f t="shared" ca="1" si="40"/>
        <v>-9.6377830327043284E-4</v>
      </c>
    </row>
    <row r="1183" spans="2:7" ht="15" thickBot="1" x14ac:dyDescent="0.35">
      <c r="B1183" s="170">
        <v>43417.645833333336</v>
      </c>
      <c r="C1183" s="238">
        <v>1374.35</v>
      </c>
      <c r="D1183" s="241">
        <f t="shared" si="39"/>
        <v>-0.61041740486145568</v>
      </c>
      <c r="E1183" s="241">
        <v>-4.5991163902369351E-3</v>
      </c>
      <c r="F1183" s="242">
        <v>1179</v>
      </c>
      <c r="G1183" s="243">
        <f t="shared" ca="1" si="40"/>
        <v>-1.8305324035243528E-2</v>
      </c>
    </row>
    <row r="1184" spans="2:7" ht="15" thickBot="1" x14ac:dyDescent="0.35">
      <c r="B1184" s="170">
        <v>45083.645833333336</v>
      </c>
      <c r="C1184" s="238">
        <v>3527.75</v>
      </c>
      <c r="D1184" s="241">
        <f t="shared" si="39"/>
        <v>-0.12364923611973667</v>
      </c>
      <c r="E1184" s="241">
        <v>-4.5992579111469025E-3</v>
      </c>
      <c r="F1184" s="242">
        <v>1180</v>
      </c>
      <c r="G1184" s="243">
        <f t="shared" ca="1" si="40"/>
        <v>-4.1985103539351691E-2</v>
      </c>
    </row>
    <row r="1185" spans="2:7" ht="15" thickBot="1" x14ac:dyDescent="0.35">
      <c r="B1185" s="170">
        <v>44895.645833333336</v>
      </c>
      <c r="C1185" s="238">
        <v>4025.5</v>
      </c>
      <c r="D1185" s="241">
        <f t="shared" si="39"/>
        <v>0.18489410864350159</v>
      </c>
      <c r="E1185" s="241">
        <v>-4.6115994708406192E-3</v>
      </c>
      <c r="F1185" s="242">
        <v>1181</v>
      </c>
      <c r="G1185" s="243">
        <f t="shared" ca="1" si="40"/>
        <v>-1.7389668828174165E-2</v>
      </c>
    </row>
    <row r="1186" spans="2:7" ht="15" thickBot="1" x14ac:dyDescent="0.35">
      <c r="B1186" s="170">
        <v>44399.645833333336</v>
      </c>
      <c r="C1186" s="238">
        <v>3397.35</v>
      </c>
      <c r="D1186" s="241">
        <f t="shared" si="39"/>
        <v>0.58825179402070993</v>
      </c>
      <c r="E1186" s="241">
        <v>-4.6437360834407334E-3</v>
      </c>
      <c r="F1186" s="242">
        <v>1182</v>
      </c>
      <c r="G1186" s="243">
        <f t="shared" ca="1" si="40"/>
        <v>1.9655988662138253E-2</v>
      </c>
    </row>
    <row r="1187" spans="2:7" ht="15" thickBot="1" x14ac:dyDescent="0.35">
      <c r="B1187" s="170">
        <v>44091.645833333336</v>
      </c>
      <c r="C1187" s="238">
        <v>2139.0500000000002</v>
      </c>
      <c r="D1187" s="241">
        <f t="shared" si="39"/>
        <v>-0.32730045914837408</v>
      </c>
      <c r="E1187" s="241">
        <v>-4.6532188641492745E-3</v>
      </c>
      <c r="F1187" s="242">
        <v>1183</v>
      </c>
      <c r="G1187" s="243">
        <f t="shared" ca="1" si="40"/>
        <v>-4.4141185003078211E-3</v>
      </c>
    </row>
    <row r="1188" spans="2:7" ht="15" thickBot="1" x14ac:dyDescent="0.35">
      <c r="B1188" s="170">
        <v>44355.645833333336</v>
      </c>
      <c r="C1188" s="238">
        <v>3179.8</v>
      </c>
      <c r="D1188" s="241">
        <f t="shared" si="39"/>
        <v>-0.26521935044078054</v>
      </c>
      <c r="E1188" s="241">
        <v>-4.6639747081101942E-3</v>
      </c>
      <c r="F1188" s="242">
        <v>1184</v>
      </c>
      <c r="G1188" s="243">
        <f t="shared" ca="1" si="40"/>
        <v>-1.4508994330553826E-2</v>
      </c>
    </row>
    <row r="1189" spans="2:7" ht="15" thickBot="1" x14ac:dyDescent="0.35">
      <c r="B1189" s="170">
        <v>44820.645833333336</v>
      </c>
      <c r="C1189" s="238">
        <v>4327.55</v>
      </c>
      <c r="D1189" s="241">
        <f t="shared" si="39"/>
        <v>2.6568300696231808E-2</v>
      </c>
      <c r="E1189" s="241">
        <v>-4.7033118675252573E-3</v>
      </c>
      <c r="F1189" s="242">
        <v>1185</v>
      </c>
      <c r="G1189" s="243">
        <f t="shared" ca="1" si="40"/>
        <v>3.71381400081915E-3</v>
      </c>
    </row>
    <row r="1190" spans="2:7" ht="15" thickBot="1" x14ac:dyDescent="0.35">
      <c r="B1190" s="170">
        <v>44855.645833333336</v>
      </c>
      <c r="C1190" s="238">
        <v>4215.55</v>
      </c>
      <c r="D1190" s="241">
        <f t="shared" si="39"/>
        <v>3.9541822844742641E-2</v>
      </c>
      <c r="E1190" s="241">
        <v>-4.7336859004627873E-3</v>
      </c>
      <c r="F1190" s="242">
        <v>1186</v>
      </c>
      <c r="G1190" s="243">
        <f t="shared" ca="1" si="40"/>
        <v>1.9811677275934109E-2</v>
      </c>
    </row>
    <row r="1191" spans="2:7" ht="15" thickBot="1" x14ac:dyDescent="0.35">
      <c r="B1191" s="170">
        <v>45811.645833333336</v>
      </c>
      <c r="C1191" s="239">
        <v>4055.2</v>
      </c>
      <c r="D1191" s="241">
        <f t="shared" si="39"/>
        <v>-0.18732652631789898</v>
      </c>
      <c r="E1191" s="241">
        <v>-4.7367775187139973E-3</v>
      </c>
      <c r="F1191" s="242">
        <v>1187</v>
      </c>
      <c r="G1191" s="243">
        <f t="shared" ca="1" si="40"/>
        <v>1.9246306202558312E-3</v>
      </c>
    </row>
    <row r="1192" spans="2:7" ht="15" thickBot="1" x14ac:dyDescent="0.35">
      <c r="B1192" s="170">
        <v>45513.645833333336</v>
      </c>
      <c r="C1192" s="238">
        <v>4989.95</v>
      </c>
      <c r="D1192" s="241">
        <f t="shared" si="39"/>
        <v>0.43304949670452736</v>
      </c>
      <c r="E1192" s="241">
        <v>-4.7568710359408755E-3</v>
      </c>
      <c r="F1192" s="242">
        <v>1188</v>
      </c>
      <c r="G1192" s="243">
        <f t="shared" ca="1" si="40"/>
        <v>-2.2226941484869079E-2</v>
      </c>
    </row>
    <row r="1193" spans="2:7" ht="15" thickBot="1" x14ac:dyDescent="0.35">
      <c r="B1193" s="170">
        <v>44966.645833333336</v>
      </c>
      <c r="C1193" s="238">
        <v>3482.05</v>
      </c>
      <c r="D1193" s="241">
        <f t="shared" si="39"/>
        <v>-0.11326016094529896</v>
      </c>
      <c r="E1193" s="241">
        <v>-4.8015776612314693E-3</v>
      </c>
      <c r="F1193" s="242">
        <v>1189</v>
      </c>
      <c r="G1193" s="243">
        <f t="shared" ca="1" si="40"/>
        <v>-1.6896862698864205E-2</v>
      </c>
    </row>
    <row r="1194" spans="2:7" ht="15" thickBot="1" x14ac:dyDescent="0.35">
      <c r="B1194" s="170">
        <v>44757.645833333336</v>
      </c>
      <c r="C1194" s="238">
        <v>3926.8</v>
      </c>
      <c r="D1194" s="241">
        <f t="shared" si="39"/>
        <v>2.1526634819959054</v>
      </c>
      <c r="E1194" s="241">
        <v>-4.8026357473230233E-3</v>
      </c>
      <c r="F1194" s="242">
        <v>1190</v>
      </c>
      <c r="G1194" s="243">
        <f t="shared" ca="1" si="40"/>
        <v>-9.3643597811084878E-3</v>
      </c>
    </row>
    <row r="1195" spans="2:7" ht="15" thickBot="1" x14ac:dyDescent="0.35">
      <c r="B1195" s="170">
        <v>43593.645833333336</v>
      </c>
      <c r="C1195" s="238">
        <v>1245.55</v>
      </c>
      <c r="D1195" s="241">
        <f t="shared" si="39"/>
        <v>-0.69347098488950143</v>
      </c>
      <c r="E1195" s="241">
        <v>-4.8338127197187237E-3</v>
      </c>
      <c r="F1195" s="242">
        <v>1191</v>
      </c>
      <c r="G1195" s="243">
        <f t="shared" ca="1" si="40"/>
        <v>-1.0438976389165088E-2</v>
      </c>
    </row>
    <row r="1196" spans="2:7" ht="15" thickBot="1" x14ac:dyDescent="0.35">
      <c r="B1196" s="170">
        <v>44901.645833333336</v>
      </c>
      <c r="C1196" s="238">
        <v>4063.4</v>
      </c>
      <c r="D1196" s="241">
        <f t="shared" si="39"/>
        <v>2.0070302671501521</v>
      </c>
      <c r="E1196" s="241">
        <v>-4.8369518631448758E-3</v>
      </c>
      <c r="F1196" s="242">
        <v>1192</v>
      </c>
      <c r="G1196" s="243">
        <f t="shared" ca="1" si="40"/>
        <v>5.9416518989929131E-3</v>
      </c>
    </row>
    <row r="1197" spans="2:7" ht="15" thickBot="1" x14ac:dyDescent="0.35">
      <c r="B1197" s="170">
        <v>43486.645833333336</v>
      </c>
      <c r="C1197" s="238">
        <v>1351.3</v>
      </c>
      <c r="D1197" s="241">
        <f t="shared" si="39"/>
        <v>-0.71143949262209305</v>
      </c>
      <c r="E1197" s="241">
        <v>-4.8604462773401101E-3</v>
      </c>
      <c r="F1197" s="242">
        <v>1193</v>
      </c>
      <c r="G1197" s="243">
        <f t="shared" ca="1" si="40"/>
        <v>-2.0165528832728027E-2</v>
      </c>
    </row>
    <row r="1198" spans="2:7" ht="15" thickBot="1" x14ac:dyDescent="0.35">
      <c r="B1198" s="170">
        <v>45429.645833333336</v>
      </c>
      <c r="C1198" s="238">
        <v>4682.8999999999996</v>
      </c>
      <c r="D1198" s="241">
        <f t="shared" si="39"/>
        <v>6.1966369212976088E-2</v>
      </c>
      <c r="E1198" s="241">
        <v>-4.8874816719437306E-3</v>
      </c>
      <c r="F1198" s="242">
        <v>1194</v>
      </c>
      <c r="G1198" s="243">
        <f t="shared" ca="1" si="40"/>
        <v>-4.1662519521293059E-2</v>
      </c>
    </row>
    <row r="1199" spans="2:7" ht="15" thickBot="1" x14ac:dyDescent="0.35">
      <c r="B1199" s="170">
        <v>44799.645833333336</v>
      </c>
      <c r="C1199" s="238">
        <v>4409.6499999999996</v>
      </c>
      <c r="D1199" s="241">
        <f t="shared" si="39"/>
        <v>1.3390886908550816</v>
      </c>
      <c r="E1199" s="241">
        <v>-4.9418375060645923E-3</v>
      </c>
      <c r="F1199" s="242">
        <v>1195</v>
      </c>
      <c r="G1199" s="243">
        <f t="shared" ca="1" si="40"/>
        <v>-4.6879363593818075E-3</v>
      </c>
    </row>
    <row r="1200" spans="2:7" ht="15" thickBot="1" x14ac:dyDescent="0.35">
      <c r="B1200" s="170">
        <v>43741.645833333336</v>
      </c>
      <c r="C1200" s="238">
        <v>1885.2</v>
      </c>
      <c r="D1200" s="241">
        <f t="shared" si="39"/>
        <v>-0.55558698727015565</v>
      </c>
      <c r="E1200" s="241">
        <v>-4.9877286042277176E-3</v>
      </c>
      <c r="F1200" s="242">
        <v>1196</v>
      </c>
      <c r="G1200" s="243">
        <f t="shared" ca="1" si="40"/>
        <v>-2.5944276582766101E-2</v>
      </c>
    </row>
    <row r="1201" spans="2:7" ht="15" thickBot="1" x14ac:dyDescent="0.35">
      <c r="B1201" s="170">
        <v>45875.645833333336</v>
      </c>
      <c r="C1201" s="239">
        <v>4242</v>
      </c>
      <c r="D1201" s="241">
        <f t="shared" si="39"/>
        <v>0.27950291824392604</v>
      </c>
      <c r="E1201" s="241">
        <v>-5.0428052069895627E-3</v>
      </c>
      <c r="F1201" s="242">
        <v>1197</v>
      </c>
      <c r="G1201" s="243">
        <f t="shared" ca="1" si="40"/>
        <v>-1.718855335408679E-2</v>
      </c>
    </row>
    <row r="1202" spans="2:7" ht="15" thickBot="1" x14ac:dyDescent="0.35">
      <c r="B1202" s="170">
        <v>44372.645833333336</v>
      </c>
      <c r="C1202" s="238">
        <v>3315.35</v>
      </c>
      <c r="D1202" s="241">
        <f t="shared" si="39"/>
        <v>-0.21726555859854574</v>
      </c>
      <c r="E1202" s="241">
        <v>-5.0567192845567223E-3</v>
      </c>
      <c r="F1202" s="242">
        <v>1198</v>
      </c>
      <c r="G1202" s="243">
        <f t="shared" ca="1" si="40"/>
        <v>-6.9790287294742275E-3</v>
      </c>
    </row>
    <row r="1203" spans="2:7" ht="15" thickBot="1" x14ac:dyDescent="0.35">
      <c r="B1203" s="170">
        <v>44470.645833333336</v>
      </c>
      <c r="C1203" s="238">
        <v>4235.6000000000004</v>
      </c>
      <c r="D1203" s="241">
        <f t="shared" si="39"/>
        <v>0.10840409802818388</v>
      </c>
      <c r="E1203" s="241">
        <v>-5.1088118195591146E-3</v>
      </c>
      <c r="F1203" s="242">
        <v>1199</v>
      </c>
      <c r="G1203" s="243">
        <f t="shared" ca="1" si="40"/>
        <v>-1.8838027327818915E-2</v>
      </c>
    </row>
    <row r="1204" spans="2:7" ht="15" thickBot="1" x14ac:dyDescent="0.35">
      <c r="B1204" s="170">
        <v>45302.645833333336</v>
      </c>
      <c r="C1204" s="238">
        <v>3821.35</v>
      </c>
      <c r="D1204" s="241">
        <f t="shared" si="39"/>
        <v>0.11056700281902986</v>
      </c>
      <c r="E1204" s="241">
        <v>-5.1158552460297034E-3</v>
      </c>
      <c r="F1204" s="242">
        <v>1200</v>
      </c>
      <c r="G1204" s="243">
        <f t="shared" ca="1" si="40"/>
        <v>5.0798027184725475E-3</v>
      </c>
    </row>
    <row r="1205" spans="2:7" ht="15" thickBot="1" x14ac:dyDescent="0.35">
      <c r="B1205" s="170">
        <v>44964.645833333336</v>
      </c>
      <c r="C1205" s="238">
        <v>3440.9</v>
      </c>
      <c r="D1205" s="241">
        <f t="shared" si="39"/>
        <v>1.5351064613571064</v>
      </c>
      <c r="E1205" s="241">
        <v>-5.117677673046845E-3</v>
      </c>
      <c r="F1205" s="242">
        <v>1201</v>
      </c>
      <c r="G1205" s="243">
        <f t="shared" ca="1" si="40"/>
        <v>-2.8877372463268818E-2</v>
      </c>
    </row>
    <row r="1206" spans="2:7" ht="15" thickBot="1" x14ac:dyDescent="0.35">
      <c r="B1206" s="170">
        <v>43192.645833333336</v>
      </c>
      <c r="C1206" s="238">
        <v>1357.3</v>
      </c>
      <c r="D1206" s="241">
        <f t="shared" si="39"/>
        <v>-8.4760620364126807E-2</v>
      </c>
      <c r="E1206" s="241">
        <v>-5.1308363263211903E-3</v>
      </c>
      <c r="F1206" s="242">
        <v>1202</v>
      </c>
      <c r="G1206" s="243">
        <f t="shared" ca="1" si="40"/>
        <v>-9.7994759589357435E-3</v>
      </c>
    </row>
    <row r="1207" spans="2:7" ht="15" thickBot="1" x14ac:dyDescent="0.35">
      <c r="B1207" s="170">
        <v>43217.645833333336</v>
      </c>
      <c r="C1207" s="238">
        <v>1483</v>
      </c>
      <c r="D1207" s="241">
        <f t="shared" si="39"/>
        <v>8.5890019770081247E-2</v>
      </c>
      <c r="E1207" s="241">
        <v>-5.1319894005971154E-3</v>
      </c>
      <c r="F1207" s="242">
        <v>1203</v>
      </c>
      <c r="G1207" s="243">
        <f t="shared" ca="1" si="40"/>
        <v>3.7943409995340155E-2</v>
      </c>
    </row>
    <row r="1208" spans="2:7" ht="15" thickBot="1" x14ac:dyDescent="0.35">
      <c r="B1208" s="170">
        <v>43490.645833333336</v>
      </c>
      <c r="C1208" s="238">
        <v>1365.7</v>
      </c>
      <c r="D1208" s="241">
        <f t="shared" si="39"/>
        <v>-0.63121084467487576</v>
      </c>
      <c r="E1208" s="241">
        <v>-5.1356765616462977E-3</v>
      </c>
      <c r="F1208" s="242">
        <v>1204</v>
      </c>
      <c r="G1208" s="243">
        <f t="shared" ca="1" si="40"/>
        <v>8.2124375584395441E-3</v>
      </c>
    </row>
    <row r="1209" spans="2:7" ht="15" thickBot="1" x14ac:dyDescent="0.35">
      <c r="B1209" s="170">
        <v>45335.645833333336</v>
      </c>
      <c r="C1209" s="238">
        <v>3703.2</v>
      </c>
      <c r="D1209" s="241">
        <f t="shared" si="39"/>
        <v>0.56862080650626889</v>
      </c>
      <c r="E1209" s="241">
        <v>-5.1579626047711883E-3</v>
      </c>
      <c r="F1209" s="242">
        <v>1205</v>
      </c>
      <c r="G1209" s="243">
        <f t="shared" ca="1" si="40"/>
        <v>1.7676422176093248E-2</v>
      </c>
    </row>
    <row r="1210" spans="2:7" ht="15" thickBot="1" x14ac:dyDescent="0.35">
      <c r="B1210" s="170">
        <v>44160.645833333336</v>
      </c>
      <c r="C1210" s="238">
        <v>2360.8000000000002</v>
      </c>
      <c r="D1210" s="241">
        <f t="shared" si="39"/>
        <v>0.23298689089674629</v>
      </c>
      <c r="E1210" s="241">
        <v>-5.1621331198246981E-3</v>
      </c>
      <c r="F1210" s="242">
        <v>1206</v>
      </c>
      <c r="G1210" s="243">
        <f t="shared" ca="1" si="40"/>
        <v>2.7102362054461177E-2</v>
      </c>
    </row>
    <row r="1211" spans="2:7" ht="15" thickBot="1" x14ac:dyDescent="0.35">
      <c r="B1211" s="170">
        <v>43852.645833333336</v>
      </c>
      <c r="C1211" s="238">
        <v>1914.7</v>
      </c>
      <c r="D1211" s="241">
        <f t="shared" si="39"/>
        <v>0.2582224412682767</v>
      </c>
      <c r="E1211" s="241">
        <v>-5.1956149010235356E-3</v>
      </c>
      <c r="F1211" s="242">
        <v>1207</v>
      </c>
      <c r="G1211" s="243">
        <f t="shared" ca="1" si="40"/>
        <v>-7.4224925465167452E-3</v>
      </c>
    </row>
    <row r="1212" spans="2:7" ht="15" thickBot="1" x14ac:dyDescent="0.35">
      <c r="B1212" s="170">
        <v>43713.645833333336</v>
      </c>
      <c r="C1212" s="238">
        <v>1521.75</v>
      </c>
      <c r="D1212" s="241">
        <f t="shared" si="39"/>
        <v>-0.35268094519003762</v>
      </c>
      <c r="E1212" s="241">
        <v>-5.1970974700922042E-3</v>
      </c>
      <c r="F1212" s="242">
        <v>1208</v>
      </c>
      <c r="G1212" s="243">
        <f t="shared" ca="1" si="40"/>
        <v>8.7725576670900779E-3</v>
      </c>
    </row>
    <row r="1213" spans="2:7" ht="15" thickBot="1" x14ac:dyDescent="0.35">
      <c r="B1213" s="170">
        <v>44000.645833333336</v>
      </c>
      <c r="C1213" s="238">
        <v>2350.85</v>
      </c>
      <c r="D1213" s="241">
        <f t="shared" si="39"/>
        <v>-0.37757155339034659</v>
      </c>
      <c r="E1213" s="241">
        <v>-5.2049171656476231E-3</v>
      </c>
      <c r="F1213" s="242">
        <v>1209</v>
      </c>
      <c r="G1213" s="243">
        <f t="shared" ca="1" si="40"/>
        <v>-1.2219485935205682E-2</v>
      </c>
    </row>
    <row r="1214" spans="2:7" ht="15" thickBot="1" x14ac:dyDescent="0.35">
      <c r="B1214" s="170">
        <v>45174.645833333336</v>
      </c>
      <c r="C1214" s="238">
        <v>3776.9</v>
      </c>
      <c r="D1214" s="241">
        <f t="shared" si="39"/>
        <v>1.7161195210528211</v>
      </c>
      <c r="E1214" s="241">
        <v>-5.2412557943531633E-3</v>
      </c>
      <c r="F1214" s="242">
        <v>1210</v>
      </c>
      <c r="G1214" s="243">
        <f t="shared" ca="1" si="40"/>
        <v>-2.9194584998842935E-2</v>
      </c>
    </row>
    <row r="1215" spans="2:7" ht="15" thickBot="1" x14ac:dyDescent="0.35">
      <c r="B1215" s="170">
        <v>43643.645833333336</v>
      </c>
      <c r="C1215" s="238">
        <v>1390.55</v>
      </c>
      <c r="D1215" s="241">
        <f t="shared" si="39"/>
        <v>-0.63691789495672158</v>
      </c>
      <c r="E1215" s="241">
        <v>-5.2578868302454651E-3</v>
      </c>
      <c r="F1215" s="242">
        <v>1211</v>
      </c>
      <c r="G1215" s="243">
        <f t="shared" ca="1" si="40"/>
        <v>1.2556707508392587E-2</v>
      </c>
    </row>
    <row r="1216" spans="2:7" ht="15" thickBot="1" x14ac:dyDescent="0.35">
      <c r="B1216" s="170">
        <v>45629.645833333336</v>
      </c>
      <c r="C1216" s="238">
        <v>3829.85</v>
      </c>
      <c r="D1216" s="241">
        <f t="shared" si="39"/>
        <v>1.4896639147110449</v>
      </c>
      <c r="E1216" s="241">
        <v>-5.2596036466585287E-3</v>
      </c>
      <c r="F1216" s="242">
        <v>1212</v>
      </c>
      <c r="G1216" s="243">
        <f t="shared" ca="1" si="40"/>
        <v>-1.922829138521703E-2</v>
      </c>
    </row>
    <row r="1217" spans="2:7" ht="15" thickBot="1" x14ac:dyDescent="0.35">
      <c r="B1217" s="170">
        <v>43285.645833333336</v>
      </c>
      <c r="C1217" s="238">
        <v>1538.3</v>
      </c>
      <c r="D1217" s="241">
        <f t="shared" si="39"/>
        <v>-0.555475285720478</v>
      </c>
      <c r="E1217" s="241">
        <v>-5.2701348249216537E-3</v>
      </c>
      <c r="F1217" s="242">
        <v>1213</v>
      </c>
      <c r="G1217" s="243">
        <f t="shared" ca="1" si="40"/>
        <v>-8.7134095157415294E-3</v>
      </c>
    </row>
    <row r="1218" spans="2:7" ht="15" thickBot="1" x14ac:dyDescent="0.35">
      <c r="B1218" s="170">
        <v>44729.645833333336</v>
      </c>
      <c r="C1218" s="238">
        <v>3460.55</v>
      </c>
      <c r="D1218" s="241">
        <f t="shared" si="39"/>
        <v>-5.5243113380108629E-2</v>
      </c>
      <c r="E1218" s="241">
        <v>-5.3318386939150151E-3</v>
      </c>
      <c r="F1218" s="242">
        <v>1214</v>
      </c>
      <c r="G1218" s="243">
        <f t="shared" ca="1" si="40"/>
        <v>1.7930158277359412E-3</v>
      </c>
    </row>
    <row r="1219" spans="2:7" ht="15" thickBot="1" x14ac:dyDescent="0.35">
      <c r="B1219" s="170">
        <v>44727.645833333336</v>
      </c>
      <c r="C1219" s="238">
        <v>3662.9</v>
      </c>
      <c r="D1219" s="241">
        <f t="shared" si="39"/>
        <v>0.68177226813590452</v>
      </c>
      <c r="E1219" s="241">
        <v>-5.3494813447020634E-3</v>
      </c>
      <c r="F1219" s="242">
        <v>1215</v>
      </c>
      <c r="G1219" s="243">
        <f t="shared" ca="1" si="40"/>
        <v>2.285100726178247E-2</v>
      </c>
    </row>
    <row r="1220" spans="2:7" ht="15" thickBot="1" x14ac:dyDescent="0.35">
      <c r="B1220" s="170">
        <v>44057.645833333336</v>
      </c>
      <c r="C1220" s="238">
        <v>2178</v>
      </c>
      <c r="D1220" s="241">
        <f t="shared" si="39"/>
        <v>0.46380805161637195</v>
      </c>
      <c r="E1220" s="241">
        <v>-5.3659093503824638E-3</v>
      </c>
      <c r="F1220" s="242">
        <v>1216</v>
      </c>
      <c r="G1220" s="243">
        <f t="shared" ca="1" si="40"/>
        <v>1.3330066367253078E-2</v>
      </c>
    </row>
    <row r="1221" spans="2:7" ht="15" thickBot="1" x14ac:dyDescent="0.35">
      <c r="B1221" s="170">
        <v>43518.645833333336</v>
      </c>
      <c r="C1221" s="238">
        <v>1487.9</v>
      </c>
      <c r="D1221" s="241">
        <f t="shared" ref="D1221:D1284" si="41">(C1221-C1222)/C1222</f>
        <v>0.11893213009964286</v>
      </c>
      <c r="E1221" s="241">
        <v>-5.381195895584715E-3</v>
      </c>
      <c r="F1221" s="242">
        <v>1217</v>
      </c>
      <c r="G1221" s="243">
        <f t="shared" ca="1" si="40"/>
        <v>4.5526535636002986E-3</v>
      </c>
    </row>
    <row r="1222" spans="2:7" ht="15" thickBot="1" x14ac:dyDescent="0.35">
      <c r="B1222" s="170">
        <v>43388.645833333336</v>
      </c>
      <c r="C1222" s="238">
        <v>1329.75</v>
      </c>
      <c r="D1222" s="241">
        <f t="shared" si="41"/>
        <v>-0.66057457914821383</v>
      </c>
      <c r="E1222" s="241">
        <v>-5.3853921238640528E-3</v>
      </c>
      <c r="F1222" s="242">
        <v>1218</v>
      </c>
      <c r="G1222" s="243">
        <f t="shared" ref="G1222:G1285" ca="1" si="42">_xlfn.NORM.INV(RAND(),$M$7,$M$8)</f>
        <v>1.3195869846346119E-2</v>
      </c>
    </row>
    <row r="1223" spans="2:7" ht="15" thickBot="1" x14ac:dyDescent="0.35">
      <c r="B1223" s="170">
        <v>44441.645833333336</v>
      </c>
      <c r="C1223" s="238">
        <v>3917.65</v>
      </c>
      <c r="D1223" s="241">
        <f t="shared" si="41"/>
        <v>-9.6191113366862049E-2</v>
      </c>
      <c r="E1223" s="241">
        <v>-5.3949072075960289E-3</v>
      </c>
      <c r="F1223" s="242">
        <v>1219</v>
      </c>
      <c r="G1223" s="243">
        <f t="shared" ca="1" si="42"/>
        <v>1.0605407051534817E-2</v>
      </c>
    </row>
    <row r="1224" spans="2:7" ht="15" thickBot="1" x14ac:dyDescent="0.35">
      <c r="B1224" s="170">
        <v>45882.645833333336</v>
      </c>
      <c r="C1224" s="239">
        <v>4334.6000000000004</v>
      </c>
      <c r="D1224" s="241">
        <f t="shared" si="41"/>
        <v>0.14361849482224137</v>
      </c>
      <c r="E1224" s="241">
        <v>-5.4150796200264917E-3</v>
      </c>
      <c r="F1224" s="242">
        <v>1220</v>
      </c>
      <c r="G1224" s="243">
        <f t="shared" ca="1" si="42"/>
        <v>-9.6863294008219455E-3</v>
      </c>
    </row>
    <row r="1225" spans="2:7" ht="15" thickBot="1" x14ac:dyDescent="0.35">
      <c r="B1225" s="170">
        <v>45246.645833333336</v>
      </c>
      <c r="C1225" s="238">
        <v>3790.25</v>
      </c>
      <c r="D1225" s="241">
        <f t="shared" si="41"/>
        <v>1.8329845279916286</v>
      </c>
      <c r="E1225" s="241">
        <v>-5.41866750636335E-3</v>
      </c>
      <c r="F1225" s="242">
        <v>1221</v>
      </c>
      <c r="G1225" s="243">
        <f t="shared" ca="1" si="42"/>
        <v>1.6754065374123207E-2</v>
      </c>
    </row>
    <row r="1226" spans="2:7" ht="15" thickBot="1" x14ac:dyDescent="0.35">
      <c r="B1226" s="170">
        <v>43172.645833333336</v>
      </c>
      <c r="C1226" s="238">
        <v>1337.9</v>
      </c>
      <c r="D1226" s="241">
        <f t="shared" si="41"/>
        <v>-0.71568221180920799</v>
      </c>
      <c r="E1226" s="241">
        <v>-5.4267023490930377E-3</v>
      </c>
      <c r="F1226" s="242">
        <v>1222</v>
      </c>
      <c r="G1226" s="243">
        <f t="shared" ca="1" si="42"/>
        <v>-8.3729043423790284E-3</v>
      </c>
    </row>
    <row r="1227" spans="2:7" ht="15" thickBot="1" x14ac:dyDescent="0.35">
      <c r="B1227" s="170">
        <v>44567.645833333336</v>
      </c>
      <c r="C1227" s="238">
        <v>4705.6499999999996</v>
      </c>
      <c r="D1227" s="241">
        <f t="shared" si="41"/>
        <v>0.30678015523681246</v>
      </c>
      <c r="E1227" s="241">
        <v>-5.4318534879052964E-3</v>
      </c>
      <c r="F1227" s="242">
        <v>1223</v>
      </c>
      <c r="G1227" s="243">
        <f t="shared" ca="1" si="42"/>
        <v>5.9555969221559805E-3</v>
      </c>
    </row>
    <row r="1228" spans="2:7" ht="15" thickBot="1" x14ac:dyDescent="0.35">
      <c r="B1228" s="170">
        <v>45673.645833333336</v>
      </c>
      <c r="C1228" s="238">
        <v>3600.95</v>
      </c>
      <c r="D1228" s="241">
        <f t="shared" si="41"/>
        <v>4.2484511609055642E-2</v>
      </c>
      <c r="E1228" s="241">
        <v>-5.4410119729883504E-3</v>
      </c>
      <c r="F1228" s="242">
        <v>1224</v>
      </c>
      <c r="G1228" s="243">
        <f t="shared" ca="1" si="42"/>
        <v>-2.4979252517029768E-3</v>
      </c>
    </row>
    <row r="1229" spans="2:7" ht="15" thickBot="1" x14ac:dyDescent="0.35">
      <c r="B1229" s="170">
        <v>45027.645833333336</v>
      </c>
      <c r="C1229" s="238">
        <v>3454.2</v>
      </c>
      <c r="D1229" s="241">
        <f t="shared" si="41"/>
        <v>0.29579472558802566</v>
      </c>
      <c r="E1229" s="241">
        <v>-5.4418243068152638E-3</v>
      </c>
      <c r="F1229" s="242">
        <v>1225</v>
      </c>
      <c r="G1229" s="243">
        <f t="shared" ca="1" si="42"/>
        <v>9.3389933302762389E-3</v>
      </c>
    </row>
    <row r="1230" spans="2:7" ht="15" thickBot="1" x14ac:dyDescent="0.35">
      <c r="B1230" s="170">
        <v>44194.645833333336</v>
      </c>
      <c r="C1230" s="238">
        <v>2665.7</v>
      </c>
      <c r="D1230" s="241">
        <f t="shared" si="41"/>
        <v>0.46266117969821663</v>
      </c>
      <c r="E1230" s="241">
        <v>-5.4471514382719707E-3</v>
      </c>
      <c r="F1230" s="242">
        <v>1226</v>
      </c>
      <c r="G1230" s="243">
        <f t="shared" ca="1" si="42"/>
        <v>-3.556359688704773E-2</v>
      </c>
    </row>
    <row r="1231" spans="2:7" ht="15" thickBot="1" x14ac:dyDescent="0.35">
      <c r="B1231" s="170">
        <v>43798.645833333336</v>
      </c>
      <c r="C1231" s="238">
        <v>1822.5</v>
      </c>
      <c r="D1231" s="241">
        <f t="shared" si="41"/>
        <v>-0.20134095839084987</v>
      </c>
      <c r="E1231" s="241">
        <v>-5.5112954272617644E-3</v>
      </c>
      <c r="F1231" s="242">
        <v>1227</v>
      </c>
      <c r="G1231" s="243">
        <f t="shared" ca="1" si="42"/>
        <v>1.5584497698223577E-2</v>
      </c>
    </row>
    <row r="1232" spans="2:7" ht="15" thickBot="1" x14ac:dyDescent="0.35">
      <c r="B1232" s="170">
        <v>44140.645833333336</v>
      </c>
      <c r="C1232" s="238">
        <v>2281.9499999999998</v>
      </c>
      <c r="D1232" s="241">
        <f t="shared" si="41"/>
        <v>-0.3821462899535652</v>
      </c>
      <c r="E1232" s="241">
        <v>-5.5129434324065595E-3</v>
      </c>
      <c r="F1232" s="242">
        <v>1228</v>
      </c>
      <c r="G1232" s="243">
        <f t="shared" ca="1" si="42"/>
        <v>1.6318605637130341E-2</v>
      </c>
    </row>
    <row r="1233" spans="2:7" ht="15" thickBot="1" x14ac:dyDescent="0.35">
      <c r="B1233" s="170">
        <v>45134.645833333336</v>
      </c>
      <c r="C1233" s="238">
        <v>3693.35</v>
      </c>
      <c r="D1233" s="241">
        <f t="shared" si="41"/>
        <v>-0.11420896739456303</v>
      </c>
      <c r="E1233" s="241">
        <v>-5.5332669161798059E-3</v>
      </c>
      <c r="F1233" s="242">
        <v>1229</v>
      </c>
      <c r="G1233" s="243">
        <f t="shared" ca="1" si="42"/>
        <v>-4.5191106283692896E-3</v>
      </c>
    </row>
    <row r="1234" spans="2:7" ht="15" thickBot="1" x14ac:dyDescent="0.35">
      <c r="B1234" s="170">
        <v>44636.645833333336</v>
      </c>
      <c r="C1234" s="238">
        <v>4169.55</v>
      </c>
      <c r="D1234" s="241">
        <f t="shared" si="41"/>
        <v>1.8221259602693833</v>
      </c>
      <c r="E1234" s="241">
        <v>-5.533361159143717E-3</v>
      </c>
      <c r="F1234" s="242">
        <v>1230</v>
      </c>
      <c r="G1234" s="243">
        <f t="shared" ca="1" si="42"/>
        <v>-7.0097633943026847E-3</v>
      </c>
    </row>
    <row r="1235" spans="2:7" ht="15" thickBot="1" x14ac:dyDescent="0.35">
      <c r="B1235" s="170">
        <v>43437.645833333336</v>
      </c>
      <c r="C1235" s="238">
        <v>1477.45</v>
      </c>
      <c r="D1235" s="241">
        <f t="shared" si="41"/>
        <v>-0.63116769643637272</v>
      </c>
      <c r="E1235" s="241">
        <v>-5.5529380090193177E-3</v>
      </c>
      <c r="F1235" s="242">
        <v>1231</v>
      </c>
      <c r="G1235" s="243">
        <f t="shared" ca="1" si="42"/>
        <v>-2.8172042036715031E-3</v>
      </c>
    </row>
    <row r="1236" spans="2:7" ht="15" thickBot="1" x14ac:dyDescent="0.35">
      <c r="B1236" s="170">
        <v>44897.645833333336</v>
      </c>
      <c r="C1236" s="238">
        <v>4005.75</v>
      </c>
      <c r="D1236" s="241">
        <f t="shared" si="41"/>
        <v>0.40139588581024344</v>
      </c>
      <c r="E1236" s="241">
        <v>-5.560865409679404E-3</v>
      </c>
      <c r="F1236" s="242">
        <v>1232</v>
      </c>
      <c r="G1236" s="243">
        <f t="shared" ca="1" si="42"/>
        <v>2.2755535643596753E-2</v>
      </c>
    </row>
    <row r="1237" spans="2:7" ht="15" thickBot="1" x14ac:dyDescent="0.35">
      <c r="B1237" s="170">
        <v>44320.645833333336</v>
      </c>
      <c r="C1237" s="238">
        <v>2858.4</v>
      </c>
      <c r="D1237" s="241">
        <f t="shared" si="41"/>
        <v>1.0702542188744839</v>
      </c>
      <c r="E1237" s="241">
        <v>-5.5663790704146947E-3</v>
      </c>
      <c r="F1237" s="242">
        <v>1233</v>
      </c>
      <c r="G1237" s="243">
        <f t="shared" ca="1" si="42"/>
        <v>-3.5642759036219815E-2</v>
      </c>
    </row>
    <row r="1238" spans="2:7" ht="15" thickBot="1" x14ac:dyDescent="0.35">
      <c r="B1238" s="170">
        <v>43418.645833333336</v>
      </c>
      <c r="C1238" s="238">
        <v>1380.7</v>
      </c>
      <c r="D1238" s="241">
        <f t="shared" si="41"/>
        <v>-0.63237702189975376</v>
      </c>
      <c r="E1238" s="241">
        <v>-5.5817638373726096E-3</v>
      </c>
      <c r="F1238" s="242">
        <v>1234</v>
      </c>
      <c r="G1238" s="243">
        <f t="shared" ca="1" si="42"/>
        <v>-3.5829341527826119E-3</v>
      </c>
    </row>
    <row r="1239" spans="2:7" ht="15" thickBot="1" x14ac:dyDescent="0.35">
      <c r="B1239" s="170">
        <v>45173.645833333336</v>
      </c>
      <c r="C1239" s="238">
        <v>3755.75</v>
      </c>
      <c r="D1239" s="241">
        <f t="shared" si="41"/>
        <v>5.2517269886642313E-2</v>
      </c>
      <c r="E1239" s="241">
        <v>-5.5998305488628476E-3</v>
      </c>
      <c r="F1239" s="242">
        <v>1235</v>
      </c>
      <c r="G1239" s="243">
        <f t="shared" ca="1" si="42"/>
        <v>3.7193311959487489E-2</v>
      </c>
    </row>
    <row r="1240" spans="2:7" ht="15" thickBot="1" x14ac:dyDescent="0.35">
      <c r="B1240" s="170">
        <v>45653.645833333336</v>
      </c>
      <c r="C1240" s="238">
        <v>3568.35</v>
      </c>
      <c r="D1240" s="241">
        <f t="shared" si="41"/>
        <v>-0.16052650151739711</v>
      </c>
      <c r="E1240" s="241">
        <v>-5.6290145044656679E-3</v>
      </c>
      <c r="F1240" s="242">
        <v>1236</v>
      </c>
      <c r="G1240" s="243">
        <f t="shared" ca="1" si="42"/>
        <v>2.8118046565303301E-2</v>
      </c>
    </row>
    <row r="1241" spans="2:7" ht="15" thickBot="1" x14ac:dyDescent="0.35">
      <c r="B1241" s="170">
        <v>44783.645833333336</v>
      </c>
      <c r="C1241" s="238">
        <v>4250.7</v>
      </c>
      <c r="D1241" s="241">
        <f t="shared" si="41"/>
        <v>4.3603152390071426E-2</v>
      </c>
      <c r="E1241" s="241">
        <v>-5.6493210288081552E-3</v>
      </c>
      <c r="F1241" s="242">
        <v>1237</v>
      </c>
      <c r="G1241" s="243">
        <f t="shared" ca="1" si="42"/>
        <v>-2.6658854583727645E-2</v>
      </c>
    </row>
    <row r="1242" spans="2:7" ht="15" thickBot="1" x14ac:dyDescent="0.35">
      <c r="B1242" s="170">
        <v>44610.645833333336</v>
      </c>
      <c r="C1242" s="238">
        <v>4073.1</v>
      </c>
      <c r="D1242" s="241">
        <f t="shared" si="41"/>
        <v>7.3874871470378814E-2</v>
      </c>
      <c r="E1242" s="241">
        <v>-5.7364643850999495E-3</v>
      </c>
      <c r="F1242" s="242">
        <v>1238</v>
      </c>
      <c r="G1242" s="243">
        <f t="shared" ca="1" si="42"/>
        <v>-3.6585391784111597E-2</v>
      </c>
    </row>
    <row r="1243" spans="2:7" ht="15" thickBot="1" x14ac:dyDescent="0.35">
      <c r="B1243" s="170">
        <v>45250.645833333336</v>
      </c>
      <c r="C1243" s="238">
        <v>3792.9</v>
      </c>
      <c r="D1243" s="241">
        <f t="shared" si="41"/>
        <v>0.64159272884657004</v>
      </c>
      <c r="E1243" s="241">
        <v>-5.7798922659536107E-3</v>
      </c>
      <c r="F1243" s="242">
        <v>1239</v>
      </c>
      <c r="G1243" s="243">
        <f t="shared" ca="1" si="42"/>
        <v>-1.2079238563516902E-2</v>
      </c>
    </row>
    <row r="1244" spans="2:7" ht="15" thickBot="1" x14ac:dyDescent="0.35">
      <c r="B1244" s="170">
        <v>43945.645833333336</v>
      </c>
      <c r="C1244" s="238">
        <v>2310.5</v>
      </c>
      <c r="D1244" s="241">
        <f t="shared" si="41"/>
        <v>-0.32896723977695164</v>
      </c>
      <c r="E1244" s="241">
        <v>-5.7875599733212069E-3</v>
      </c>
      <c r="F1244" s="242">
        <v>1240</v>
      </c>
      <c r="G1244" s="243">
        <f t="shared" ca="1" si="42"/>
        <v>1.5129025755486298E-2</v>
      </c>
    </row>
    <row r="1245" spans="2:7" ht="15" thickBot="1" x14ac:dyDescent="0.35">
      <c r="B1245" s="170">
        <v>44987.645833333336</v>
      </c>
      <c r="C1245" s="238">
        <v>3443.2</v>
      </c>
      <c r="D1245" s="241">
        <f t="shared" si="41"/>
        <v>0.88353710237684957</v>
      </c>
      <c r="E1245" s="241">
        <v>-5.7893597054790103E-3</v>
      </c>
      <c r="F1245" s="242">
        <v>1241</v>
      </c>
      <c r="G1245" s="243">
        <f t="shared" ca="1" si="42"/>
        <v>1.0162049292170948E-2</v>
      </c>
    </row>
    <row r="1246" spans="2:7" ht="15" thickBot="1" x14ac:dyDescent="0.35">
      <c r="B1246" s="170">
        <v>43752.645833333336</v>
      </c>
      <c r="C1246" s="238">
        <v>1828.05</v>
      </c>
      <c r="D1246" s="241">
        <f t="shared" si="41"/>
        <v>-0.6196594089069668</v>
      </c>
      <c r="E1246" s="241">
        <v>-5.7921357480829336E-3</v>
      </c>
      <c r="F1246" s="242">
        <v>1242</v>
      </c>
      <c r="G1246" s="243">
        <f t="shared" ca="1" si="42"/>
        <v>2.625913846856083E-2</v>
      </c>
    </row>
    <row r="1247" spans="2:7" ht="15" thickBot="1" x14ac:dyDescent="0.35">
      <c r="B1247" s="170">
        <v>45482.645833333336</v>
      </c>
      <c r="C1247" s="238">
        <v>4806.3500000000004</v>
      </c>
      <c r="D1247" s="241">
        <f t="shared" si="41"/>
        <v>0.61966301600673979</v>
      </c>
      <c r="E1247" s="241">
        <v>-5.8124502270164042E-3</v>
      </c>
      <c r="F1247" s="242">
        <v>1243</v>
      </c>
      <c r="G1247" s="243">
        <f t="shared" ca="1" si="42"/>
        <v>6.0439255751315222E-5</v>
      </c>
    </row>
    <row r="1248" spans="2:7" ht="15" thickBot="1" x14ac:dyDescent="0.35">
      <c r="B1248" s="170">
        <v>44204.645833333336</v>
      </c>
      <c r="C1248" s="238">
        <v>2967.5</v>
      </c>
      <c r="D1248" s="241">
        <f t="shared" si="41"/>
        <v>-0.25851428000299842</v>
      </c>
      <c r="E1248" s="241">
        <v>-5.8126874047271758E-3</v>
      </c>
      <c r="F1248" s="242">
        <v>1244</v>
      </c>
      <c r="G1248" s="243">
        <f t="shared" ca="1" si="42"/>
        <v>1.2746786997839958E-2</v>
      </c>
    </row>
    <row r="1249" spans="2:7" ht="15" thickBot="1" x14ac:dyDescent="0.35">
      <c r="B1249" s="170">
        <v>45807.645833333336</v>
      </c>
      <c r="C1249" s="239">
        <v>4002.1</v>
      </c>
      <c r="D1249" s="241">
        <f t="shared" si="41"/>
        <v>1.7144843490351682</v>
      </c>
      <c r="E1249" s="241">
        <v>-5.8129424916159708E-3</v>
      </c>
      <c r="F1249" s="242">
        <v>1245</v>
      </c>
      <c r="G1249" s="243">
        <f t="shared" ca="1" si="42"/>
        <v>3.467883500090542E-2</v>
      </c>
    </row>
    <row r="1250" spans="2:7" ht="15" thickBot="1" x14ac:dyDescent="0.35">
      <c r="B1250" s="170">
        <v>43216.645833333336</v>
      </c>
      <c r="C1250" s="238">
        <v>1474.35</v>
      </c>
      <c r="D1250" s="241">
        <f t="shared" si="41"/>
        <v>-0.35619309622060663</v>
      </c>
      <c r="E1250" s="241">
        <v>-5.8327714093055231E-3</v>
      </c>
      <c r="F1250" s="242">
        <v>1246</v>
      </c>
      <c r="G1250" s="243">
        <f t="shared" ca="1" si="42"/>
        <v>-3.6239651048200809E-2</v>
      </c>
    </row>
    <row r="1251" spans="2:7" ht="15" thickBot="1" x14ac:dyDescent="0.35">
      <c r="B1251" s="170">
        <v>43943.645833333336</v>
      </c>
      <c r="C1251" s="238">
        <v>2290.0500000000002</v>
      </c>
      <c r="D1251" s="241">
        <f t="shared" si="41"/>
        <v>-0.34170319798778293</v>
      </c>
      <c r="E1251" s="241">
        <v>-5.8389407423485211E-3</v>
      </c>
      <c r="F1251" s="242">
        <v>1247</v>
      </c>
      <c r="G1251" s="243">
        <f t="shared" ca="1" si="42"/>
        <v>-1.9546775217689738E-4</v>
      </c>
    </row>
    <row r="1252" spans="2:7" ht="15" thickBot="1" x14ac:dyDescent="0.35">
      <c r="B1252" s="170">
        <v>44980.645833333336</v>
      </c>
      <c r="C1252" s="238">
        <v>3478.75</v>
      </c>
      <c r="D1252" s="241">
        <f t="shared" si="41"/>
        <v>1.2505256348051108</v>
      </c>
      <c r="E1252" s="241">
        <v>-5.844192958390438E-3</v>
      </c>
      <c r="F1252" s="242">
        <v>1248</v>
      </c>
      <c r="G1252" s="243">
        <f t="shared" ca="1" si="42"/>
        <v>-9.183225320528508E-3</v>
      </c>
    </row>
    <row r="1253" spans="2:7" ht="15" thickBot="1" x14ac:dyDescent="0.35">
      <c r="B1253" s="170">
        <v>43458.645833333336</v>
      </c>
      <c r="C1253" s="238">
        <v>1545.75</v>
      </c>
      <c r="D1253" s="241">
        <f t="shared" si="41"/>
        <v>0.25998532768177379</v>
      </c>
      <c r="E1253" s="241">
        <v>-5.8526545969063955E-3</v>
      </c>
      <c r="F1253" s="242">
        <v>1249</v>
      </c>
      <c r="G1253" s="243">
        <f t="shared" ca="1" si="42"/>
        <v>1.2955500469016746E-2</v>
      </c>
    </row>
    <row r="1254" spans="2:7" ht="15" thickBot="1" x14ac:dyDescent="0.35">
      <c r="B1254" s="170">
        <v>43108.645833333336</v>
      </c>
      <c r="C1254" s="238">
        <v>1226.8</v>
      </c>
      <c r="D1254" s="241">
        <f t="shared" si="41"/>
        <v>-0.65419849479944747</v>
      </c>
      <c r="E1254" s="241">
        <v>-5.9152418766712216E-3</v>
      </c>
      <c r="F1254" s="242">
        <v>1250</v>
      </c>
      <c r="G1254" s="243">
        <f t="shared" ca="1" si="42"/>
        <v>1.7979649706125673E-3</v>
      </c>
    </row>
    <row r="1255" spans="2:7" ht="15" thickBot="1" x14ac:dyDescent="0.35">
      <c r="B1255" s="170">
        <v>45159.645833333336</v>
      </c>
      <c r="C1255" s="238">
        <v>3547.7</v>
      </c>
      <c r="D1255" s="241">
        <f t="shared" si="41"/>
        <v>-0.13093430013228161</v>
      </c>
      <c r="E1255" s="241">
        <v>-5.9402056656113287E-3</v>
      </c>
      <c r="F1255" s="242">
        <v>1251</v>
      </c>
      <c r="G1255" s="243">
        <f t="shared" ca="1" si="42"/>
        <v>1.5948165425530101E-2</v>
      </c>
    </row>
    <row r="1256" spans="2:7" ht="15" thickBot="1" x14ac:dyDescent="0.35">
      <c r="B1256" s="170">
        <v>44652.645833333336</v>
      </c>
      <c r="C1256" s="238">
        <v>4082.2</v>
      </c>
      <c r="D1256" s="241">
        <f t="shared" si="41"/>
        <v>8.149757976884324E-3</v>
      </c>
      <c r="E1256" s="241">
        <v>-5.9537579292123317E-3</v>
      </c>
      <c r="F1256" s="242">
        <v>1252</v>
      </c>
      <c r="G1256" s="243">
        <f t="shared" ca="1" si="42"/>
        <v>3.1698833442664769E-3</v>
      </c>
    </row>
    <row r="1257" spans="2:7" ht="15" thickBot="1" x14ac:dyDescent="0.35">
      <c r="B1257" s="170">
        <v>45791.645833333336</v>
      </c>
      <c r="C1257" s="239">
        <v>4049.2</v>
      </c>
      <c r="D1257" s="241">
        <f t="shared" si="41"/>
        <v>-0.1572681769462107</v>
      </c>
      <c r="E1257" s="241">
        <v>-5.9653860316681434E-3</v>
      </c>
      <c r="F1257" s="242">
        <v>1253</v>
      </c>
      <c r="G1257" s="243">
        <f t="shared" ca="1" si="42"/>
        <v>2.2015384556403464E-2</v>
      </c>
    </row>
    <row r="1258" spans="2:7" ht="15" thickBot="1" x14ac:dyDescent="0.35">
      <c r="B1258" s="170">
        <v>45464.645833333336</v>
      </c>
      <c r="C1258" s="238">
        <v>4804.8500000000004</v>
      </c>
      <c r="D1258" s="241">
        <f t="shared" si="41"/>
        <v>2.3188395786565361</v>
      </c>
      <c r="E1258" s="241">
        <v>-5.968512733516655E-3</v>
      </c>
      <c r="F1258" s="242">
        <v>1254</v>
      </c>
      <c r="G1258" s="243">
        <f t="shared" ca="1" si="42"/>
        <v>-1.490584829625374E-2</v>
      </c>
    </row>
    <row r="1259" spans="2:7" ht="15" thickBot="1" x14ac:dyDescent="0.35">
      <c r="B1259" s="170">
        <v>43229.645833333336</v>
      </c>
      <c r="C1259" s="238">
        <v>1447.75</v>
      </c>
      <c r="D1259" s="241">
        <f t="shared" si="41"/>
        <v>-0.4969859110887202</v>
      </c>
      <c r="E1259" s="241">
        <v>-5.9734285420028465E-3</v>
      </c>
      <c r="F1259" s="242">
        <v>1255</v>
      </c>
      <c r="G1259" s="243">
        <f t="shared" ca="1" si="42"/>
        <v>-1.5408319107804946E-2</v>
      </c>
    </row>
    <row r="1260" spans="2:7" ht="15" thickBot="1" x14ac:dyDescent="0.35">
      <c r="B1260" s="170">
        <v>44322.645833333336</v>
      </c>
      <c r="C1260" s="238">
        <v>2878.15</v>
      </c>
      <c r="D1260" s="241">
        <f t="shared" si="41"/>
        <v>0.17188517915309451</v>
      </c>
      <c r="E1260" s="241">
        <v>-5.9920566396131619E-3</v>
      </c>
      <c r="F1260" s="242">
        <v>1256</v>
      </c>
      <c r="G1260" s="243">
        <f t="shared" ca="1" si="42"/>
        <v>-1.9078380618580412E-2</v>
      </c>
    </row>
    <row r="1261" spans="2:7" ht="15" thickBot="1" x14ac:dyDescent="0.35">
      <c r="B1261" s="170">
        <v>44167.645833333336</v>
      </c>
      <c r="C1261" s="238">
        <v>2456</v>
      </c>
      <c r="D1261" s="241">
        <f t="shared" si="41"/>
        <v>-0.42219921893379764</v>
      </c>
      <c r="E1261" s="241">
        <v>-6.0100775036930247E-3</v>
      </c>
      <c r="F1261" s="242">
        <v>1257</v>
      </c>
      <c r="G1261" s="243">
        <f t="shared" ca="1" si="42"/>
        <v>3.4704048204618768E-2</v>
      </c>
    </row>
    <row r="1262" spans="2:7" ht="15" thickBot="1" x14ac:dyDescent="0.35">
      <c r="B1262" s="170">
        <v>45832.645833333336</v>
      </c>
      <c r="C1262" s="239">
        <v>4250.6000000000004</v>
      </c>
      <c r="D1262" s="241">
        <f t="shared" si="41"/>
        <v>0.11419546783050907</v>
      </c>
      <c r="E1262" s="241">
        <v>-6.0331119633334753E-3</v>
      </c>
      <c r="F1262" s="242">
        <v>1258</v>
      </c>
      <c r="G1262" s="243">
        <f t="shared" ca="1" si="42"/>
        <v>4.7588560871112363E-3</v>
      </c>
    </row>
    <row r="1263" spans="2:7" ht="15" thickBot="1" x14ac:dyDescent="0.35">
      <c r="B1263" s="170">
        <v>45251.645833333336</v>
      </c>
      <c r="C1263" s="238">
        <v>3814.95</v>
      </c>
      <c r="D1263" s="241">
        <f t="shared" si="41"/>
        <v>-7.9903527283690129E-2</v>
      </c>
      <c r="E1263" s="241">
        <v>-6.0704748257669984E-3</v>
      </c>
      <c r="F1263" s="242">
        <v>1259</v>
      </c>
      <c r="G1263" s="243">
        <f t="shared" ca="1" si="42"/>
        <v>6.7494841598836463E-3</v>
      </c>
    </row>
    <row r="1264" spans="2:7" ht="15" thickBot="1" x14ac:dyDescent="0.35">
      <c r="B1264" s="170">
        <v>44659.645833333336</v>
      </c>
      <c r="C1264" s="238">
        <v>4146.25</v>
      </c>
      <c r="D1264" s="241">
        <f t="shared" si="41"/>
        <v>8.9527137995821834E-2</v>
      </c>
      <c r="E1264" s="241">
        <v>-6.0768050628057244E-3</v>
      </c>
      <c r="F1264" s="242">
        <v>1260</v>
      </c>
      <c r="G1264" s="243">
        <f t="shared" ca="1" si="42"/>
        <v>-2.1322267430483981E-2</v>
      </c>
    </row>
    <row r="1265" spans="2:7" ht="15" thickBot="1" x14ac:dyDescent="0.35">
      <c r="B1265" s="170">
        <v>45632.645833333336</v>
      </c>
      <c r="C1265" s="238">
        <v>3805.55</v>
      </c>
      <c r="D1265" s="241">
        <f t="shared" si="41"/>
        <v>-1.1095952705775305E-2</v>
      </c>
      <c r="E1265" s="241">
        <v>-6.1372925399250464E-3</v>
      </c>
      <c r="F1265" s="242">
        <v>1261</v>
      </c>
      <c r="G1265" s="243">
        <f t="shared" ca="1" si="42"/>
        <v>-1.9623573815790205E-2</v>
      </c>
    </row>
    <row r="1266" spans="2:7" ht="15" thickBot="1" x14ac:dyDescent="0.35">
      <c r="B1266" s="170">
        <v>45103.645833333336</v>
      </c>
      <c r="C1266" s="238">
        <v>3848.25</v>
      </c>
      <c r="D1266" s="241">
        <f t="shared" si="41"/>
        <v>0.15615141955835962</v>
      </c>
      <c r="E1266" s="241">
        <v>-6.1594483613542804E-3</v>
      </c>
      <c r="F1266" s="242">
        <v>1262</v>
      </c>
      <c r="G1266" s="243">
        <f t="shared" ca="1" si="42"/>
        <v>6.1623994637267036E-3</v>
      </c>
    </row>
    <row r="1267" spans="2:7" ht="15" thickBot="1" x14ac:dyDescent="0.35">
      <c r="B1267" s="170">
        <v>44392.645833333336</v>
      </c>
      <c r="C1267" s="238">
        <v>3328.5</v>
      </c>
      <c r="D1267" s="241">
        <f t="shared" si="41"/>
        <v>-0.32477938939040468</v>
      </c>
      <c r="E1267" s="241">
        <v>-6.1805804371192581E-3</v>
      </c>
      <c r="F1267" s="242">
        <v>1263</v>
      </c>
      <c r="G1267" s="243">
        <f t="shared" ca="1" si="42"/>
        <v>1.215735156752237E-2</v>
      </c>
    </row>
    <row r="1268" spans="2:7" ht="15" thickBot="1" x14ac:dyDescent="0.35">
      <c r="B1268" s="170">
        <v>45517.645833333336</v>
      </c>
      <c r="C1268" s="238">
        <v>4929.5</v>
      </c>
      <c r="D1268" s="241">
        <f t="shared" si="41"/>
        <v>2.4899115044247786</v>
      </c>
      <c r="E1268" s="241">
        <v>-6.2093018567425723E-3</v>
      </c>
      <c r="F1268" s="242">
        <v>1264</v>
      </c>
      <c r="G1268" s="243">
        <f t="shared" ca="1" si="42"/>
        <v>-6.3839045541470713E-3</v>
      </c>
    </row>
    <row r="1269" spans="2:7" ht="15" thickBot="1" x14ac:dyDescent="0.35">
      <c r="B1269" s="170">
        <v>43424.645833333336</v>
      </c>
      <c r="C1269" s="238">
        <v>1412.5</v>
      </c>
      <c r="D1269" s="241">
        <f t="shared" si="41"/>
        <v>-0.60090978442064813</v>
      </c>
      <c r="E1269" s="241">
        <v>-6.226474830266936E-3</v>
      </c>
      <c r="F1269" s="242">
        <v>1265</v>
      </c>
      <c r="G1269" s="243">
        <f t="shared" ca="1" si="42"/>
        <v>-1.7827715990771705E-2</v>
      </c>
    </row>
    <row r="1270" spans="2:7" ht="15" thickBot="1" x14ac:dyDescent="0.35">
      <c r="B1270" s="170">
        <v>45161.645833333336</v>
      </c>
      <c r="C1270" s="238">
        <v>3539.3</v>
      </c>
      <c r="D1270" s="241">
        <f t="shared" si="41"/>
        <v>0.25734484351131481</v>
      </c>
      <c r="E1270" s="241">
        <v>-6.2333286536571161E-3</v>
      </c>
      <c r="F1270" s="242">
        <v>1266</v>
      </c>
      <c r="G1270" s="243">
        <f t="shared" ca="1" si="42"/>
        <v>-1.200712534645858E-3</v>
      </c>
    </row>
    <row r="1271" spans="2:7" ht="15" thickBot="1" x14ac:dyDescent="0.35">
      <c r="B1271" s="170">
        <v>44298.645833333336</v>
      </c>
      <c r="C1271" s="238">
        <v>2814.9</v>
      </c>
      <c r="D1271" s="241">
        <f t="shared" si="41"/>
        <v>0.89498131879228515</v>
      </c>
      <c r="E1271" s="241">
        <v>-6.2837575458042604E-3</v>
      </c>
      <c r="F1271" s="242">
        <v>1267</v>
      </c>
      <c r="G1271" s="243">
        <f t="shared" ca="1" si="42"/>
        <v>4.12011035614072E-3</v>
      </c>
    </row>
    <row r="1272" spans="2:7" ht="15" thickBot="1" x14ac:dyDescent="0.35">
      <c r="B1272" s="170">
        <v>43235.645833333336</v>
      </c>
      <c r="C1272" s="238">
        <v>1485.45</v>
      </c>
      <c r="D1272" s="241">
        <f t="shared" si="41"/>
        <v>-0.2317498900985234</v>
      </c>
      <c r="E1272" s="241">
        <v>-6.3547275828623028E-3</v>
      </c>
      <c r="F1272" s="242">
        <v>1268</v>
      </c>
      <c r="G1272" s="243">
        <f t="shared" ca="1" si="42"/>
        <v>1.9744723881537189E-2</v>
      </c>
    </row>
    <row r="1273" spans="2:7" ht="15" thickBot="1" x14ac:dyDescent="0.35">
      <c r="B1273" s="170">
        <v>43845.645833333336</v>
      </c>
      <c r="C1273" s="238">
        <v>1933.55</v>
      </c>
      <c r="D1273" s="241">
        <f t="shared" si="41"/>
        <v>-0.21219467476113837</v>
      </c>
      <c r="E1273" s="241">
        <v>-6.4232676447162204E-3</v>
      </c>
      <c r="F1273" s="242">
        <v>1269</v>
      </c>
      <c r="G1273" s="243">
        <f t="shared" ca="1" si="42"/>
        <v>1.1824102512217606E-2</v>
      </c>
    </row>
    <row r="1274" spans="2:7" ht="15" thickBot="1" x14ac:dyDescent="0.35">
      <c r="B1274" s="170">
        <v>43971.645833333336</v>
      </c>
      <c r="C1274" s="238">
        <v>2454.35</v>
      </c>
      <c r="D1274" s="241">
        <f t="shared" si="41"/>
        <v>0.57673776178851344</v>
      </c>
      <c r="E1274" s="241">
        <v>-6.43659548628685E-3</v>
      </c>
      <c r="F1274" s="242">
        <v>1270</v>
      </c>
      <c r="G1274" s="243">
        <f t="shared" ca="1" si="42"/>
        <v>2.3801366973288413E-2</v>
      </c>
    </row>
    <row r="1275" spans="2:7" ht="15" thickBot="1" x14ac:dyDescent="0.35">
      <c r="B1275" s="170">
        <v>43307.645833333336</v>
      </c>
      <c r="C1275" s="238">
        <v>1556.6</v>
      </c>
      <c r="D1275" s="241">
        <f t="shared" si="41"/>
        <v>2.0855194123819486E-2</v>
      </c>
      <c r="E1275" s="241">
        <v>-6.4466713474182272E-3</v>
      </c>
      <c r="F1275" s="242">
        <v>1271</v>
      </c>
      <c r="G1275" s="243">
        <f t="shared" ca="1" si="42"/>
        <v>-2.7472684914763856E-2</v>
      </c>
    </row>
    <row r="1276" spans="2:7" ht="15" thickBot="1" x14ac:dyDescent="0.35">
      <c r="B1276" s="170">
        <v>43360.645833333336</v>
      </c>
      <c r="C1276" s="238">
        <v>1524.8</v>
      </c>
      <c r="D1276" s="241">
        <f t="shared" si="41"/>
        <v>-0.49423686087201685</v>
      </c>
      <c r="E1276" s="241">
        <v>-6.4507721378771685E-3</v>
      </c>
      <c r="F1276" s="242">
        <v>1272</v>
      </c>
      <c r="G1276" s="243">
        <f t="shared" ca="1" si="42"/>
        <v>-7.3179439174094678E-4</v>
      </c>
    </row>
    <row r="1277" spans="2:7" ht="15" thickBot="1" x14ac:dyDescent="0.35">
      <c r="B1277" s="170">
        <v>44272.645833333336</v>
      </c>
      <c r="C1277" s="238">
        <v>3014.85</v>
      </c>
      <c r="D1277" s="241">
        <f t="shared" si="41"/>
        <v>-0.11767804621080201</v>
      </c>
      <c r="E1277" s="241">
        <v>-6.5082712713372438E-3</v>
      </c>
      <c r="F1277" s="242">
        <v>1273</v>
      </c>
      <c r="G1277" s="243">
        <f t="shared" ca="1" si="42"/>
        <v>1.103159195394046E-2</v>
      </c>
    </row>
    <row r="1278" spans="2:7" ht="15" thickBot="1" x14ac:dyDescent="0.35">
      <c r="B1278" s="170">
        <v>44985.645833333336</v>
      </c>
      <c r="C1278" s="238">
        <v>3416.95</v>
      </c>
      <c r="D1278" s="241">
        <f t="shared" si="41"/>
        <v>-0.28022539364895471</v>
      </c>
      <c r="E1278" s="241">
        <v>-6.5128585343161034E-3</v>
      </c>
      <c r="F1278" s="242">
        <v>1274</v>
      </c>
      <c r="G1278" s="243">
        <f t="shared" ca="1" si="42"/>
        <v>1.1092155685942817E-3</v>
      </c>
    </row>
    <row r="1279" spans="2:7" ht="15" thickBot="1" x14ac:dyDescent="0.35">
      <c r="B1279" s="170">
        <v>45450.645833333336</v>
      </c>
      <c r="C1279" s="238">
        <v>4747.25</v>
      </c>
      <c r="D1279" s="241">
        <f t="shared" si="41"/>
        <v>2.5951758870082169</v>
      </c>
      <c r="E1279" s="241">
        <v>-6.518918466432203E-3</v>
      </c>
      <c r="F1279" s="242">
        <v>1275</v>
      </c>
      <c r="G1279" s="243">
        <f t="shared" ca="1" si="42"/>
        <v>-2.4572178924793547E-4</v>
      </c>
    </row>
    <row r="1280" spans="2:7" ht="15" thickBot="1" x14ac:dyDescent="0.35">
      <c r="B1280" s="170">
        <v>43637.645833333336</v>
      </c>
      <c r="C1280" s="238">
        <v>1320.45</v>
      </c>
      <c r="D1280" s="241">
        <f t="shared" si="41"/>
        <v>-0.13213933618139989</v>
      </c>
      <c r="E1280" s="241">
        <v>-6.5829070117363825E-3</v>
      </c>
      <c r="F1280" s="242">
        <v>1276</v>
      </c>
      <c r="G1280" s="243">
        <f t="shared" ca="1" si="42"/>
        <v>2.0772536749185035E-2</v>
      </c>
    </row>
    <row r="1281" spans="2:7" ht="15" thickBot="1" x14ac:dyDescent="0.35">
      <c r="B1281" s="170">
        <v>43301.645833333336</v>
      </c>
      <c r="C1281" s="238">
        <v>1521.5</v>
      </c>
      <c r="D1281" s="241">
        <f t="shared" si="41"/>
        <v>-0.4582035075224784</v>
      </c>
      <c r="E1281" s="241">
        <v>-6.5944110733872482E-3</v>
      </c>
      <c r="F1281" s="242">
        <v>1277</v>
      </c>
      <c r="G1281" s="243">
        <f t="shared" ca="1" si="42"/>
        <v>1.4373108486280329E-2</v>
      </c>
    </row>
    <row r="1282" spans="2:7" ht="15" thickBot="1" x14ac:dyDescent="0.35">
      <c r="B1282" s="170">
        <v>44312.645833333336</v>
      </c>
      <c r="C1282" s="238">
        <v>2808.25</v>
      </c>
      <c r="D1282" s="241">
        <f t="shared" si="41"/>
        <v>0.53502418759736525</v>
      </c>
      <c r="E1282" s="241">
        <v>-6.6149029873184238E-3</v>
      </c>
      <c r="F1282" s="242">
        <v>1278</v>
      </c>
      <c r="G1282" s="243">
        <f t="shared" ca="1" si="42"/>
        <v>-1.7593204904254086E-2</v>
      </c>
    </row>
    <row r="1283" spans="2:7" ht="15" thickBot="1" x14ac:dyDescent="0.35">
      <c r="B1283" s="170">
        <v>43787.645833333336</v>
      </c>
      <c r="C1283" s="238">
        <v>1829.45</v>
      </c>
      <c r="D1283" s="241">
        <f t="shared" si="41"/>
        <v>0.14882727872146692</v>
      </c>
      <c r="E1283" s="241">
        <v>-6.6244943393153127E-3</v>
      </c>
      <c r="F1283" s="242">
        <v>1279</v>
      </c>
      <c r="G1283" s="243">
        <f t="shared" ca="1" si="42"/>
        <v>2.6809903022932857E-2</v>
      </c>
    </row>
    <row r="1284" spans="2:7" ht="15" thickBot="1" x14ac:dyDescent="0.35">
      <c r="B1284" s="170">
        <v>43340.645833333336</v>
      </c>
      <c r="C1284" s="238">
        <v>1592.45</v>
      </c>
      <c r="D1284" s="241">
        <f t="shared" si="41"/>
        <v>9.8317125318987481E-2</v>
      </c>
      <c r="E1284" s="241">
        <v>-6.6433784542448155E-3</v>
      </c>
      <c r="F1284" s="242">
        <v>1280</v>
      </c>
      <c r="G1284" s="243">
        <f t="shared" ca="1" si="42"/>
        <v>-2.0974944692426532E-2</v>
      </c>
    </row>
    <row r="1285" spans="2:7" ht="15" thickBot="1" x14ac:dyDescent="0.35">
      <c r="B1285" s="170">
        <v>43675.645833333336</v>
      </c>
      <c r="C1285" s="238">
        <v>1449.9</v>
      </c>
      <c r="D1285" s="241">
        <f t="shared" ref="D1285:D1348" si="43">(C1285-C1286)/C1286</f>
        <v>-0.34768524767175046</v>
      </c>
      <c r="E1285" s="241">
        <v>-6.7137082962252202E-3</v>
      </c>
      <c r="F1285" s="242">
        <v>1281</v>
      </c>
      <c r="G1285" s="243">
        <f t="shared" ca="1" si="42"/>
        <v>-1.4813966248522716E-2</v>
      </c>
    </row>
    <row r="1286" spans="2:7" ht="15" thickBot="1" x14ac:dyDescent="0.35">
      <c r="B1286" s="170">
        <v>44083.645833333336</v>
      </c>
      <c r="C1286" s="238">
        <v>2222.6999999999998</v>
      </c>
      <c r="D1286" s="241">
        <f t="shared" si="43"/>
        <v>-0.35734112068467011</v>
      </c>
      <c r="E1286" s="241">
        <v>-6.725505530108449E-3</v>
      </c>
      <c r="F1286" s="242">
        <v>1282</v>
      </c>
      <c r="G1286" s="243">
        <f t="shared" ref="G1286:G1349" ca="1" si="44">_xlfn.NORM.INV(RAND(),$M$7,$M$8)</f>
        <v>-2.1717282083780119E-2</v>
      </c>
    </row>
    <row r="1287" spans="2:7" ht="15" thickBot="1" x14ac:dyDescent="0.35">
      <c r="B1287" s="170">
        <v>44965.645833333336</v>
      </c>
      <c r="C1287" s="238">
        <v>3458.6</v>
      </c>
      <c r="D1287" s="241">
        <f t="shared" si="43"/>
        <v>-0.16445818787973968</v>
      </c>
      <c r="E1287" s="241">
        <v>-6.7345385620540404E-3</v>
      </c>
      <c r="F1287" s="242">
        <v>1283</v>
      </c>
      <c r="G1287" s="243">
        <f t="shared" ca="1" si="44"/>
        <v>-3.1472290101750401E-3</v>
      </c>
    </row>
    <row r="1288" spans="2:7" ht="15" thickBot="1" x14ac:dyDescent="0.35">
      <c r="B1288" s="170">
        <v>44852.645833333336</v>
      </c>
      <c r="C1288" s="238">
        <v>4139.3500000000004</v>
      </c>
      <c r="D1288" s="241">
        <f t="shared" si="43"/>
        <v>-0.1077737183010551</v>
      </c>
      <c r="E1288" s="241">
        <v>-6.8380579915304045E-3</v>
      </c>
      <c r="F1288" s="242">
        <v>1284</v>
      </c>
      <c r="G1288" s="243">
        <f t="shared" ca="1" si="44"/>
        <v>6.7344668368011888E-3</v>
      </c>
    </row>
    <row r="1289" spans="2:7" ht="15" thickBot="1" x14ac:dyDescent="0.35">
      <c r="B1289" s="170">
        <v>44560.645833333336</v>
      </c>
      <c r="C1289" s="238">
        <v>4639.3500000000004</v>
      </c>
      <c r="D1289" s="241">
        <f t="shared" si="43"/>
        <v>2.1977874276261375</v>
      </c>
      <c r="E1289" s="241">
        <v>-6.8715281122562494E-3</v>
      </c>
      <c r="F1289" s="242">
        <v>1285</v>
      </c>
      <c r="G1289" s="243">
        <f t="shared" ca="1" si="44"/>
        <v>-3.4858420906273287E-2</v>
      </c>
    </row>
    <row r="1290" spans="2:7" ht="15" thickBot="1" x14ac:dyDescent="0.35">
      <c r="B1290" s="170">
        <v>43686.645833333336</v>
      </c>
      <c r="C1290" s="238">
        <v>1450.8</v>
      </c>
      <c r="D1290" s="241">
        <f t="shared" si="43"/>
        <v>0.11040526577628106</v>
      </c>
      <c r="E1290" s="241">
        <v>-6.9135464439729864E-3</v>
      </c>
      <c r="F1290" s="242">
        <v>1286</v>
      </c>
      <c r="G1290" s="243">
        <f t="shared" ca="1" si="44"/>
        <v>-2.3055169368088577E-2</v>
      </c>
    </row>
    <row r="1291" spans="2:7" ht="15" thickBot="1" x14ac:dyDescent="0.35">
      <c r="B1291" s="170">
        <v>43168.645833333336</v>
      </c>
      <c r="C1291" s="238">
        <v>1306.55</v>
      </c>
      <c r="D1291" s="241">
        <f t="shared" si="43"/>
        <v>-0.57089135575407257</v>
      </c>
      <c r="E1291" s="241">
        <v>-6.9167331737165173E-3</v>
      </c>
      <c r="F1291" s="242">
        <v>1287</v>
      </c>
      <c r="G1291" s="243">
        <f t="shared" ca="1" si="44"/>
        <v>1.0852876843721453E-2</v>
      </c>
    </row>
    <row r="1292" spans="2:7" ht="15" thickBot="1" x14ac:dyDescent="0.35">
      <c r="B1292" s="170">
        <v>44348.645833333336</v>
      </c>
      <c r="C1292" s="238">
        <v>3044.8</v>
      </c>
      <c r="D1292" s="241">
        <f t="shared" si="43"/>
        <v>-0.33297551892217531</v>
      </c>
      <c r="E1292" s="241">
        <v>-6.9793229404473411E-3</v>
      </c>
      <c r="F1292" s="242">
        <v>1288</v>
      </c>
      <c r="G1292" s="243">
        <f t="shared" ca="1" si="44"/>
        <v>2.2447639880941489E-3</v>
      </c>
    </row>
    <row r="1293" spans="2:7" ht="15" thickBot="1" x14ac:dyDescent="0.35">
      <c r="B1293" s="170">
        <v>44501.645833333336</v>
      </c>
      <c r="C1293" s="238">
        <v>4564.75</v>
      </c>
      <c r="D1293" s="241">
        <f t="shared" si="43"/>
        <v>4.2501684309090786E-2</v>
      </c>
      <c r="E1293" s="241">
        <v>-7.0262450919611882E-3</v>
      </c>
      <c r="F1293" s="242">
        <v>1289</v>
      </c>
      <c r="G1293" s="243">
        <f t="shared" ca="1" si="44"/>
        <v>4.7695018141251926E-2</v>
      </c>
    </row>
    <row r="1294" spans="2:7" ht="15" thickBot="1" x14ac:dyDescent="0.35">
      <c r="B1294" s="170">
        <v>44461.645833333336</v>
      </c>
      <c r="C1294" s="238">
        <v>4378.6499999999996</v>
      </c>
      <c r="D1294" s="241">
        <f t="shared" si="43"/>
        <v>1.2956118276187478</v>
      </c>
      <c r="E1294" s="241">
        <v>-7.0863284881743354E-3</v>
      </c>
      <c r="F1294" s="242">
        <v>1290</v>
      </c>
      <c r="G1294" s="243">
        <f t="shared" ca="1" si="44"/>
        <v>1.9618024567243316E-2</v>
      </c>
    </row>
    <row r="1295" spans="2:7" ht="15" thickBot="1" x14ac:dyDescent="0.35">
      <c r="B1295" s="170">
        <v>43823.645833333336</v>
      </c>
      <c r="C1295" s="238">
        <v>1907.4</v>
      </c>
      <c r="D1295" s="241">
        <f t="shared" si="43"/>
        <v>-0.19690111787120274</v>
      </c>
      <c r="E1295" s="241">
        <v>-7.1313310082764137E-3</v>
      </c>
      <c r="F1295" s="242">
        <v>1291</v>
      </c>
      <c r="G1295" s="243">
        <f t="shared" ca="1" si="44"/>
        <v>-1.4896272382632376E-3</v>
      </c>
    </row>
    <row r="1296" spans="2:7" ht="15" thickBot="1" x14ac:dyDescent="0.35">
      <c r="B1296" s="170">
        <v>44153.645833333336</v>
      </c>
      <c r="C1296" s="238">
        <v>2375.0500000000002</v>
      </c>
      <c r="D1296" s="241">
        <f t="shared" si="43"/>
        <v>-0.43025236290361274</v>
      </c>
      <c r="E1296" s="241">
        <v>-7.1691330156339926E-3</v>
      </c>
      <c r="F1296" s="242">
        <v>1292</v>
      </c>
      <c r="G1296" s="243">
        <f t="shared" ca="1" si="44"/>
        <v>3.3907014476833278E-3</v>
      </c>
    </row>
    <row r="1297" spans="2:7" ht="15" thickBot="1" x14ac:dyDescent="0.35">
      <c r="B1297" s="170">
        <v>44630.645833333336</v>
      </c>
      <c r="C1297" s="238">
        <v>4168.6000000000004</v>
      </c>
      <c r="D1297" s="241">
        <f t="shared" si="43"/>
        <v>0.96957240727616367</v>
      </c>
      <c r="E1297" s="241">
        <v>-7.227997475559236E-3</v>
      </c>
      <c r="F1297" s="242">
        <v>1293</v>
      </c>
      <c r="G1297" s="243">
        <f t="shared" ca="1" si="44"/>
        <v>2.7941832310038991E-2</v>
      </c>
    </row>
    <row r="1298" spans="2:7" ht="15" thickBot="1" x14ac:dyDescent="0.35">
      <c r="B1298" s="170">
        <v>44053.645833333336</v>
      </c>
      <c r="C1298" s="238">
        <v>2116.5</v>
      </c>
      <c r="D1298" s="241">
        <f t="shared" si="43"/>
        <v>0.16563403552251135</v>
      </c>
      <c r="E1298" s="241">
        <v>-7.2468866530640118E-3</v>
      </c>
      <c r="F1298" s="242">
        <v>1294</v>
      </c>
      <c r="G1298" s="243">
        <f t="shared" ca="1" si="44"/>
        <v>1.5863840074069189E-2</v>
      </c>
    </row>
    <row r="1299" spans="2:7" ht="15" thickBot="1" x14ac:dyDescent="0.35">
      <c r="B1299" s="170">
        <v>43837.645833333336</v>
      </c>
      <c r="C1299" s="238">
        <v>1815.75</v>
      </c>
      <c r="D1299" s="241">
        <f t="shared" si="43"/>
        <v>-0.50630794747002361</v>
      </c>
      <c r="E1299" s="241">
        <v>-7.2715344031054124E-3</v>
      </c>
      <c r="F1299" s="242">
        <v>1295</v>
      </c>
      <c r="G1299" s="243">
        <f t="shared" ca="1" si="44"/>
        <v>-1.6360227107467554E-2</v>
      </c>
    </row>
    <row r="1300" spans="2:7" ht="15" thickBot="1" x14ac:dyDescent="0.35">
      <c r="B1300" s="170">
        <v>45090.645833333336</v>
      </c>
      <c r="C1300" s="238">
        <v>3677.9</v>
      </c>
      <c r="D1300" s="241">
        <f t="shared" si="43"/>
        <v>1.3235201212963548</v>
      </c>
      <c r="E1300" s="241">
        <v>-7.274248620052045E-3</v>
      </c>
      <c r="F1300" s="242">
        <v>1296</v>
      </c>
      <c r="G1300" s="243">
        <f t="shared" ca="1" si="44"/>
        <v>9.799406346152166E-3</v>
      </c>
    </row>
    <row r="1301" spans="2:7" ht="15" thickBot="1" x14ac:dyDescent="0.35">
      <c r="B1301" s="170">
        <v>43447.645833333336</v>
      </c>
      <c r="C1301" s="238">
        <v>1582.9</v>
      </c>
      <c r="D1301" s="241">
        <f t="shared" si="43"/>
        <v>-0.60678176624021862</v>
      </c>
      <c r="E1301" s="241">
        <v>-7.2750078394480458E-3</v>
      </c>
      <c r="F1301" s="242">
        <v>1297</v>
      </c>
      <c r="G1301" s="243">
        <f t="shared" ca="1" si="44"/>
        <v>-9.1541160681397581E-3</v>
      </c>
    </row>
    <row r="1302" spans="2:7" ht="15" thickBot="1" x14ac:dyDescent="0.35">
      <c r="B1302" s="170">
        <v>45810.645833333336</v>
      </c>
      <c r="C1302" s="239">
        <v>4025.5</v>
      </c>
      <c r="D1302" s="241">
        <f t="shared" si="43"/>
        <v>6.0151167996629035E-2</v>
      </c>
      <c r="E1302" s="241">
        <v>-7.3239297691851989E-3</v>
      </c>
      <c r="F1302" s="242">
        <v>1298</v>
      </c>
      <c r="G1302" s="243">
        <f t="shared" ca="1" si="44"/>
        <v>-1.4700910179553444E-2</v>
      </c>
    </row>
    <row r="1303" spans="2:7" ht="15" thickBot="1" x14ac:dyDescent="0.35">
      <c r="B1303" s="170">
        <v>45729.645833333336</v>
      </c>
      <c r="C1303" s="238">
        <v>3797.1</v>
      </c>
      <c r="D1303" s="241">
        <f t="shared" si="43"/>
        <v>7.4767545535600596E-2</v>
      </c>
      <c r="E1303" s="241">
        <v>-7.3719708258176541E-3</v>
      </c>
      <c r="F1303" s="242">
        <v>1299</v>
      </c>
      <c r="G1303" s="243">
        <f t="shared" ca="1" si="44"/>
        <v>-8.6935613627368933E-3</v>
      </c>
    </row>
    <row r="1304" spans="2:7" ht="15" thickBot="1" x14ac:dyDescent="0.35">
      <c r="B1304" s="170">
        <v>45684.645833333336</v>
      </c>
      <c r="C1304" s="238">
        <v>3532.95</v>
      </c>
      <c r="D1304" s="241">
        <f t="shared" si="43"/>
        <v>-6.5950190355330021E-2</v>
      </c>
      <c r="E1304" s="241">
        <v>-7.4031410670638504E-3</v>
      </c>
      <c r="F1304" s="242">
        <v>1300</v>
      </c>
      <c r="G1304" s="243">
        <f t="shared" ca="1" si="44"/>
        <v>-2.2481486611708869E-3</v>
      </c>
    </row>
    <row r="1305" spans="2:7" ht="15" thickBot="1" x14ac:dyDescent="0.35">
      <c r="B1305" s="170">
        <v>45177.645833333336</v>
      </c>
      <c r="C1305" s="238">
        <v>3782.4</v>
      </c>
      <c r="D1305" s="241">
        <f t="shared" si="43"/>
        <v>2.9056480574600117E-2</v>
      </c>
      <c r="E1305" s="241">
        <v>-7.439480417240677E-3</v>
      </c>
      <c r="F1305" s="242">
        <v>1301</v>
      </c>
      <c r="G1305" s="243">
        <f t="shared" ca="1" si="44"/>
        <v>1.8344971159350468E-2</v>
      </c>
    </row>
    <row r="1306" spans="2:7" ht="15" thickBot="1" x14ac:dyDescent="0.35">
      <c r="B1306" s="170">
        <v>45334.645833333336</v>
      </c>
      <c r="C1306" s="238">
        <v>3675.6</v>
      </c>
      <c r="D1306" s="241">
        <f t="shared" si="43"/>
        <v>3.0662460567823319E-2</v>
      </c>
      <c r="E1306" s="241">
        <v>-7.4530136098509159E-3</v>
      </c>
      <c r="F1306" s="242">
        <v>1302</v>
      </c>
      <c r="G1306" s="243">
        <f t="shared" ca="1" si="44"/>
        <v>-2.4051928472186797E-2</v>
      </c>
    </row>
    <row r="1307" spans="2:7" ht="15" thickBot="1" x14ac:dyDescent="0.35">
      <c r="B1307" s="170">
        <v>44411.645833333336</v>
      </c>
      <c r="C1307" s="238">
        <v>3566.25</v>
      </c>
      <c r="D1307" s="241">
        <f t="shared" si="43"/>
        <v>-0.10246891830673983</v>
      </c>
      <c r="E1307" s="241">
        <v>-7.4588441574707232E-3</v>
      </c>
      <c r="F1307" s="242">
        <v>1303</v>
      </c>
      <c r="G1307" s="243">
        <f t="shared" ca="1" si="44"/>
        <v>-9.4417871909836058E-3</v>
      </c>
    </row>
    <row r="1308" spans="2:7" ht="15" thickBot="1" x14ac:dyDescent="0.35">
      <c r="B1308" s="170">
        <v>44650.645833333336</v>
      </c>
      <c r="C1308" s="238">
        <v>3973.4</v>
      </c>
      <c r="D1308" s="241">
        <f t="shared" si="43"/>
        <v>-0.19895974033828601</v>
      </c>
      <c r="E1308" s="241">
        <v>-7.4812344661345674E-3</v>
      </c>
      <c r="F1308" s="242">
        <v>1304</v>
      </c>
      <c r="G1308" s="243">
        <f t="shared" ca="1" si="44"/>
        <v>-2.2905622830061832E-2</v>
      </c>
    </row>
    <row r="1309" spans="2:7" ht="15" thickBot="1" x14ac:dyDescent="0.35">
      <c r="B1309" s="170">
        <v>44510.645833333336</v>
      </c>
      <c r="C1309" s="238">
        <v>4960.3</v>
      </c>
      <c r="D1309" s="241">
        <f t="shared" si="43"/>
        <v>0.74809254462476427</v>
      </c>
      <c r="E1309" s="241">
        <v>-7.4933720174077973E-3</v>
      </c>
      <c r="F1309" s="242">
        <v>1305</v>
      </c>
      <c r="G1309" s="243">
        <f t="shared" ca="1" si="44"/>
        <v>1.251918776377519E-3</v>
      </c>
    </row>
    <row r="1310" spans="2:7" ht="15" thickBot="1" x14ac:dyDescent="0.35">
      <c r="B1310" s="170">
        <v>44285.645833333336</v>
      </c>
      <c r="C1310" s="238">
        <v>2837.55</v>
      </c>
      <c r="D1310" s="241">
        <f t="shared" si="43"/>
        <v>0.18807963656917967</v>
      </c>
      <c r="E1310" s="241">
        <v>-7.5199804130742726E-3</v>
      </c>
      <c r="F1310" s="242">
        <v>1306</v>
      </c>
      <c r="G1310" s="243">
        <f t="shared" ca="1" si="44"/>
        <v>3.3024820345022368E-2</v>
      </c>
    </row>
    <row r="1311" spans="2:7" ht="15" thickBot="1" x14ac:dyDescent="0.35">
      <c r="B1311" s="170">
        <v>43992.645833333336</v>
      </c>
      <c r="C1311" s="238">
        <v>2388.35</v>
      </c>
      <c r="D1311" s="241">
        <f t="shared" si="43"/>
        <v>-0.47292749401392525</v>
      </c>
      <c r="E1311" s="241">
        <v>-7.542073550799955E-3</v>
      </c>
      <c r="F1311" s="242">
        <v>1307</v>
      </c>
      <c r="G1311" s="243">
        <f t="shared" ca="1" si="44"/>
        <v>3.459567116479758E-2</v>
      </c>
    </row>
    <row r="1312" spans="2:7" ht="15" thickBot="1" x14ac:dyDescent="0.35">
      <c r="B1312" s="170">
        <v>44803.645833333336</v>
      </c>
      <c r="C1312" s="238">
        <v>4531.3500000000004</v>
      </c>
      <c r="D1312" s="241">
        <f t="shared" si="43"/>
        <v>0.12631892919727086</v>
      </c>
      <c r="E1312" s="241">
        <v>-7.5560957981536834E-3</v>
      </c>
      <c r="F1312" s="242">
        <v>1308</v>
      </c>
      <c r="G1312" s="243">
        <f t="shared" ca="1" si="44"/>
        <v>-3.6086032760204188E-2</v>
      </c>
    </row>
    <row r="1313" spans="2:7" ht="15" thickBot="1" x14ac:dyDescent="0.35">
      <c r="B1313" s="170">
        <v>45754.645833333336</v>
      </c>
      <c r="C1313" s="239">
        <v>4023.15</v>
      </c>
      <c r="D1313" s="241">
        <f t="shared" si="43"/>
        <v>1.7418728276426092</v>
      </c>
      <c r="E1313" s="241">
        <v>-7.5730478434080737E-3</v>
      </c>
      <c r="F1313" s="242">
        <v>1309</v>
      </c>
      <c r="G1313" s="243">
        <f t="shared" ca="1" si="44"/>
        <v>-5.531725174411738E-3</v>
      </c>
    </row>
    <row r="1314" spans="2:7" ht="15" thickBot="1" x14ac:dyDescent="0.35">
      <c r="B1314" s="170">
        <v>43538.645833333336</v>
      </c>
      <c r="C1314" s="238">
        <v>1467.3</v>
      </c>
      <c r="D1314" s="241">
        <f t="shared" si="43"/>
        <v>-0.30138551635480654</v>
      </c>
      <c r="E1314" s="241">
        <v>-7.5752451809266456E-3</v>
      </c>
      <c r="F1314" s="242">
        <v>1310</v>
      </c>
      <c r="G1314" s="243">
        <f t="shared" ca="1" si="44"/>
        <v>-3.3236255167441532E-2</v>
      </c>
    </row>
    <row r="1315" spans="2:7" ht="15" thickBot="1" x14ac:dyDescent="0.35">
      <c r="B1315" s="170">
        <v>44126.645833333336</v>
      </c>
      <c r="C1315" s="238">
        <v>2100.3000000000002</v>
      </c>
      <c r="D1315" s="241">
        <f t="shared" si="43"/>
        <v>-0.41719042663891776</v>
      </c>
      <c r="E1315" s="241">
        <v>-7.6775885285015706E-3</v>
      </c>
      <c r="F1315" s="242">
        <v>1311</v>
      </c>
      <c r="G1315" s="243">
        <f t="shared" ca="1" si="44"/>
        <v>-3.046466279737186E-3</v>
      </c>
    </row>
    <row r="1316" spans="2:7" ht="15" thickBot="1" x14ac:dyDescent="0.35">
      <c r="B1316" s="170">
        <v>45726.645833333336</v>
      </c>
      <c r="C1316" s="238">
        <v>3603.75</v>
      </c>
      <c r="D1316" s="241">
        <f t="shared" si="43"/>
        <v>2.1738517768285703</v>
      </c>
      <c r="E1316" s="241">
        <v>-7.6824583866837637E-3</v>
      </c>
      <c r="F1316" s="242">
        <v>1312</v>
      </c>
      <c r="G1316" s="243">
        <f t="shared" ca="1" si="44"/>
        <v>6.822009096722103E-3</v>
      </c>
    </row>
    <row r="1317" spans="2:7" ht="15" thickBot="1" x14ac:dyDescent="0.35">
      <c r="B1317" s="170">
        <v>43118.645833333336</v>
      </c>
      <c r="C1317" s="238">
        <v>1135.45</v>
      </c>
      <c r="D1317" s="241">
        <f t="shared" si="43"/>
        <v>-0.66292618485698607</v>
      </c>
      <c r="E1317" s="241">
        <v>-7.7773408485165068E-3</v>
      </c>
      <c r="F1317" s="242">
        <v>1313</v>
      </c>
      <c r="G1317" s="243">
        <f t="shared" ca="1" si="44"/>
        <v>-1.2759114270766548E-2</v>
      </c>
    </row>
    <row r="1318" spans="2:7" ht="15" thickBot="1" x14ac:dyDescent="0.35">
      <c r="B1318" s="170">
        <v>45064.645833333336</v>
      </c>
      <c r="C1318" s="238">
        <v>3368.55</v>
      </c>
      <c r="D1318" s="241">
        <f t="shared" si="43"/>
        <v>1.1161892197512251</v>
      </c>
      <c r="E1318" s="241">
        <v>-7.863927545836041E-3</v>
      </c>
      <c r="F1318" s="242">
        <v>1314</v>
      </c>
      <c r="G1318" s="243">
        <f t="shared" ca="1" si="44"/>
        <v>1.8451852464451357E-2</v>
      </c>
    </row>
    <row r="1319" spans="2:7" ht="15" thickBot="1" x14ac:dyDescent="0.35">
      <c r="B1319" s="170">
        <v>43342.645833333336</v>
      </c>
      <c r="C1319" s="238">
        <v>1591.8</v>
      </c>
      <c r="D1319" s="241">
        <f t="shared" si="43"/>
        <v>0.35150280183392768</v>
      </c>
      <c r="E1319" s="241">
        <v>-7.9152383920224646E-3</v>
      </c>
      <c r="F1319" s="242">
        <v>1315</v>
      </c>
      <c r="G1319" s="243">
        <f t="shared" ca="1" si="44"/>
        <v>2.1028031545730907E-2</v>
      </c>
    </row>
    <row r="1320" spans="2:7" ht="15" thickBot="1" x14ac:dyDescent="0.35">
      <c r="B1320" s="170">
        <v>43140.645833333336</v>
      </c>
      <c r="C1320" s="238">
        <v>1177.8</v>
      </c>
      <c r="D1320" s="241">
        <f t="shared" si="43"/>
        <v>-0.67964096287229703</v>
      </c>
      <c r="E1320" s="241">
        <v>-7.9177897574124745E-3</v>
      </c>
      <c r="F1320" s="242">
        <v>1316</v>
      </c>
      <c r="G1320" s="243">
        <f t="shared" ca="1" si="44"/>
        <v>3.794155814376391E-3</v>
      </c>
    </row>
    <row r="1321" spans="2:7" ht="15" thickBot="1" x14ac:dyDescent="0.35">
      <c r="B1321" s="170">
        <v>45125.645833333336</v>
      </c>
      <c r="C1321" s="238">
        <v>3676.5</v>
      </c>
      <c r="D1321" s="241">
        <f t="shared" si="43"/>
        <v>-7.4733543897620408E-2</v>
      </c>
      <c r="E1321" s="241">
        <v>-7.9199104119162707E-3</v>
      </c>
      <c r="F1321" s="242">
        <v>1317</v>
      </c>
      <c r="G1321" s="243">
        <f t="shared" ca="1" si="44"/>
        <v>-3.3218281996462158E-2</v>
      </c>
    </row>
    <row r="1322" spans="2:7" ht="15" thickBot="1" x14ac:dyDescent="0.35">
      <c r="B1322" s="170">
        <v>45586.645833333336</v>
      </c>
      <c r="C1322" s="238">
        <v>3973.45</v>
      </c>
      <c r="D1322" s="241">
        <f t="shared" si="43"/>
        <v>-0.16099368652209714</v>
      </c>
      <c r="E1322" s="241">
        <v>-7.9271946469589537E-3</v>
      </c>
      <c r="F1322" s="242">
        <v>1318</v>
      </c>
      <c r="G1322" s="243">
        <f t="shared" ca="1" si="44"/>
        <v>6.4725132242004508E-3</v>
      </c>
    </row>
    <row r="1323" spans="2:7" ht="15" thickBot="1" x14ac:dyDescent="0.35">
      <c r="B1323" s="170">
        <v>45474.645833333336</v>
      </c>
      <c r="C1323" s="238">
        <v>4735.8999999999996</v>
      </c>
      <c r="D1323" s="241">
        <f t="shared" si="43"/>
        <v>4.1877378794143534E-3</v>
      </c>
      <c r="E1323" s="241">
        <v>-7.9495585324215728E-3</v>
      </c>
      <c r="F1323" s="242">
        <v>1319</v>
      </c>
      <c r="G1323" s="243">
        <f t="shared" ca="1" si="44"/>
        <v>1.829585164412903E-2</v>
      </c>
    </row>
    <row r="1324" spans="2:7" ht="15" thickBot="1" x14ac:dyDescent="0.35">
      <c r="B1324" s="170">
        <v>45391.645833333336</v>
      </c>
      <c r="C1324" s="238">
        <v>4716.1499999999996</v>
      </c>
      <c r="D1324" s="241">
        <f t="shared" si="43"/>
        <v>9.1583125595128267E-3</v>
      </c>
      <c r="E1324" s="241">
        <v>-7.9617164493059247E-3</v>
      </c>
      <c r="F1324" s="242">
        <v>1320</v>
      </c>
      <c r="G1324" s="243">
        <f t="shared" ca="1" si="44"/>
        <v>-8.0361384117602769E-3</v>
      </c>
    </row>
    <row r="1325" spans="2:7" ht="15" thickBot="1" x14ac:dyDescent="0.35">
      <c r="B1325" s="170">
        <v>44529.645833333336</v>
      </c>
      <c r="C1325" s="238">
        <v>4673.3500000000004</v>
      </c>
      <c r="D1325" s="241">
        <f t="shared" si="43"/>
        <v>2.1308032424465737</v>
      </c>
      <c r="E1325" s="241">
        <v>-7.9708760534078996E-3</v>
      </c>
      <c r="F1325" s="242">
        <v>1321</v>
      </c>
      <c r="G1325" s="243">
        <f t="shared" ca="1" si="44"/>
        <v>-1.7376515812834569E-2</v>
      </c>
    </row>
    <row r="1326" spans="2:7" ht="15" thickBot="1" x14ac:dyDescent="0.35">
      <c r="B1326" s="170">
        <v>43693.645833333336</v>
      </c>
      <c r="C1326" s="238">
        <v>1492.7</v>
      </c>
      <c r="D1326" s="241">
        <f t="shared" si="43"/>
        <v>-0.57021105064639654</v>
      </c>
      <c r="E1326" s="241">
        <v>-7.9750116302252944E-3</v>
      </c>
      <c r="F1326" s="242">
        <v>1322</v>
      </c>
      <c r="G1326" s="243">
        <f t="shared" ca="1" si="44"/>
        <v>3.668387169532776E-2</v>
      </c>
    </row>
    <row r="1327" spans="2:7" ht="15" thickBot="1" x14ac:dyDescent="0.35">
      <c r="B1327" s="170">
        <v>45028.645833333336</v>
      </c>
      <c r="C1327" s="238">
        <v>3473.1</v>
      </c>
      <c r="D1327" s="241">
        <f t="shared" si="43"/>
        <v>-0.21843037974683546</v>
      </c>
      <c r="E1327" s="241">
        <v>-7.9833192899273851E-3</v>
      </c>
      <c r="F1327" s="242">
        <v>1323</v>
      </c>
      <c r="G1327" s="243">
        <f t="shared" ca="1" si="44"/>
        <v>9.3763995552687968E-3</v>
      </c>
    </row>
    <row r="1328" spans="2:7" ht="15" thickBot="1" x14ac:dyDescent="0.35">
      <c r="B1328" s="170">
        <v>44837.645833333336</v>
      </c>
      <c r="C1328" s="238">
        <v>4443.75</v>
      </c>
      <c r="D1328" s="241">
        <f t="shared" si="43"/>
        <v>2.188455191217622</v>
      </c>
      <c r="E1328" s="241">
        <v>-7.9918741837908223E-3</v>
      </c>
      <c r="F1328" s="242">
        <v>1324</v>
      </c>
      <c r="G1328" s="243">
        <f t="shared" ca="1" si="44"/>
        <v>-6.4569841592229402E-3</v>
      </c>
    </row>
    <row r="1329" spans="2:7" ht="15" thickBot="1" x14ac:dyDescent="0.35">
      <c r="B1329" s="170">
        <v>43430.645833333336</v>
      </c>
      <c r="C1329" s="238">
        <v>1393.7</v>
      </c>
      <c r="D1329" s="241">
        <f t="shared" si="43"/>
        <v>-0.71224165341812407</v>
      </c>
      <c r="E1329" s="241">
        <v>-8.0074023986618746E-3</v>
      </c>
      <c r="F1329" s="242">
        <v>1325</v>
      </c>
      <c r="G1329" s="243">
        <f t="shared" ca="1" si="44"/>
        <v>2.4063053502690657E-2</v>
      </c>
    </row>
    <row r="1330" spans="2:7" ht="15" thickBot="1" x14ac:dyDescent="0.35">
      <c r="B1330" s="170">
        <v>44523.645833333336</v>
      </c>
      <c r="C1330" s="238">
        <v>4843.3</v>
      </c>
      <c r="D1330" s="241">
        <f t="shared" si="43"/>
        <v>0.37476582458132279</v>
      </c>
      <c r="E1330" s="241">
        <v>-8.0489902920575472E-3</v>
      </c>
      <c r="F1330" s="242">
        <v>1326</v>
      </c>
      <c r="G1330" s="243">
        <f t="shared" ca="1" si="44"/>
        <v>7.491251596586806E-3</v>
      </c>
    </row>
    <row r="1331" spans="2:7" ht="15" thickBot="1" x14ac:dyDescent="0.35">
      <c r="B1331" s="170">
        <v>44417.645833333336</v>
      </c>
      <c r="C1331" s="238">
        <v>3523</v>
      </c>
      <c r="D1331" s="241">
        <f t="shared" si="43"/>
        <v>-0.30534742487577887</v>
      </c>
      <c r="E1331" s="241">
        <v>-8.0666732363831144E-3</v>
      </c>
      <c r="F1331" s="242">
        <v>1327</v>
      </c>
      <c r="G1331" s="243">
        <f t="shared" ca="1" si="44"/>
        <v>-3.2443243419069671E-2</v>
      </c>
    </row>
    <row r="1332" spans="2:7" ht="15" thickBot="1" x14ac:dyDescent="0.35">
      <c r="B1332" s="170">
        <v>45499.645833333336</v>
      </c>
      <c r="C1332" s="238">
        <v>5071.6000000000004</v>
      </c>
      <c r="D1332" s="241">
        <f t="shared" si="43"/>
        <v>0.18406798655211071</v>
      </c>
      <c r="E1332" s="241">
        <v>-8.0679073315274262E-3</v>
      </c>
      <c r="F1332" s="242">
        <v>1328</v>
      </c>
      <c r="G1332" s="243">
        <f t="shared" ca="1" si="44"/>
        <v>3.1435112404669431E-3</v>
      </c>
    </row>
    <row r="1333" spans="2:7" ht="15" thickBot="1" x14ac:dyDescent="0.35">
      <c r="B1333" s="170">
        <v>44831.645833333336</v>
      </c>
      <c r="C1333" s="238">
        <v>4283.2</v>
      </c>
      <c r="D1333" s="241">
        <f t="shared" si="43"/>
        <v>1.8130828845396034</v>
      </c>
      <c r="E1333" s="241">
        <v>-8.0937438486388437E-3</v>
      </c>
      <c r="F1333" s="242">
        <v>1329</v>
      </c>
      <c r="G1333" s="243">
        <f t="shared" ca="1" si="44"/>
        <v>2.9531137546932817E-2</v>
      </c>
    </row>
    <row r="1334" spans="2:7" ht="15" thickBot="1" x14ac:dyDescent="0.35">
      <c r="B1334" s="170">
        <v>43355.645833333336</v>
      </c>
      <c r="C1334" s="238">
        <v>1522.6</v>
      </c>
      <c r="D1334" s="241">
        <f t="shared" si="43"/>
        <v>-0.64593167918517314</v>
      </c>
      <c r="E1334" s="241">
        <v>-8.1750968960689063E-3</v>
      </c>
      <c r="F1334" s="242">
        <v>1330</v>
      </c>
      <c r="G1334" s="243">
        <f t="shared" ca="1" si="44"/>
        <v>-3.8324464528679873E-2</v>
      </c>
    </row>
    <row r="1335" spans="2:7" ht="15" thickBot="1" x14ac:dyDescent="0.35">
      <c r="B1335" s="170">
        <v>45828.645833333336</v>
      </c>
      <c r="C1335" s="239">
        <v>4300.3</v>
      </c>
      <c r="D1335" s="241">
        <f t="shared" si="43"/>
        <v>0.18117395006454814</v>
      </c>
      <c r="E1335" s="241">
        <v>-8.1876470316896537E-3</v>
      </c>
      <c r="F1335" s="242">
        <v>1331</v>
      </c>
      <c r="G1335" s="243">
        <f t="shared" ca="1" si="44"/>
        <v>-3.588852700048651E-2</v>
      </c>
    </row>
    <row r="1336" spans="2:7" ht="15" thickBot="1" x14ac:dyDescent="0.35">
      <c r="B1336" s="170">
        <v>45196.645833333336</v>
      </c>
      <c r="C1336" s="238">
        <v>3640.7</v>
      </c>
      <c r="D1336" s="241">
        <f t="shared" si="43"/>
        <v>1.4781839221291948</v>
      </c>
      <c r="E1336" s="241">
        <v>-8.2673894389889441E-3</v>
      </c>
      <c r="F1336" s="242">
        <v>1332</v>
      </c>
      <c r="G1336" s="243">
        <f t="shared" ca="1" si="44"/>
        <v>2.3876268319481097E-2</v>
      </c>
    </row>
    <row r="1337" spans="2:7" ht="15" thickBot="1" x14ac:dyDescent="0.35">
      <c r="B1337" s="170">
        <v>43203.645833333336</v>
      </c>
      <c r="C1337" s="238">
        <v>1469.1</v>
      </c>
      <c r="D1337" s="241">
        <f t="shared" si="43"/>
        <v>-0.21806472216308284</v>
      </c>
      <c r="E1337" s="241">
        <v>-8.302956662616566E-3</v>
      </c>
      <c r="F1337" s="242">
        <v>1333</v>
      </c>
      <c r="G1337" s="243">
        <f t="shared" ca="1" si="44"/>
        <v>-2.4479772503166106E-2</v>
      </c>
    </row>
    <row r="1338" spans="2:7" ht="15" thickBot="1" x14ac:dyDescent="0.35">
      <c r="B1338" s="170">
        <v>43734.645833333336</v>
      </c>
      <c r="C1338" s="238">
        <v>1878.8</v>
      </c>
      <c r="D1338" s="241">
        <f t="shared" si="43"/>
        <v>-1.8724048781761749E-2</v>
      </c>
      <c r="E1338" s="241">
        <v>-8.3133197857010906E-3</v>
      </c>
      <c r="F1338" s="242">
        <v>1334</v>
      </c>
      <c r="G1338" s="243">
        <f t="shared" ca="1" si="44"/>
        <v>1.5821537792336662E-2</v>
      </c>
    </row>
    <row r="1339" spans="2:7" ht="15" thickBot="1" x14ac:dyDescent="0.35">
      <c r="B1339" s="170">
        <v>43843.645833333336</v>
      </c>
      <c r="C1339" s="238">
        <v>1914.65</v>
      </c>
      <c r="D1339" s="241">
        <f t="shared" si="43"/>
        <v>-0.18884511099813589</v>
      </c>
      <c r="E1339" s="241">
        <v>-8.3387284733911216E-3</v>
      </c>
      <c r="F1339" s="242">
        <v>1335</v>
      </c>
      <c r="G1339" s="243">
        <f t="shared" ca="1" si="44"/>
        <v>-1.0075080627947439E-2</v>
      </c>
    </row>
    <row r="1340" spans="2:7" ht="15" thickBot="1" x14ac:dyDescent="0.35">
      <c r="B1340" s="170">
        <v>44158.645833333336</v>
      </c>
      <c r="C1340" s="238">
        <v>2360.4</v>
      </c>
      <c r="D1340" s="241">
        <f t="shared" si="43"/>
        <v>-0.35209025280667561</v>
      </c>
      <c r="E1340" s="241">
        <v>-8.3394601407414809E-3</v>
      </c>
      <c r="F1340" s="242">
        <v>1336</v>
      </c>
      <c r="G1340" s="243">
        <f t="shared" ca="1" si="44"/>
        <v>-2.0094098763814593E-2</v>
      </c>
    </row>
    <row r="1341" spans="2:7" ht="15" thickBot="1" x14ac:dyDescent="0.35">
      <c r="B1341" s="170">
        <v>44428.645833333336</v>
      </c>
      <c r="C1341" s="238">
        <v>3643.1</v>
      </c>
      <c r="D1341" s="241">
        <f t="shared" si="43"/>
        <v>-0.14709462939551429</v>
      </c>
      <c r="E1341" s="241">
        <v>-8.3429738006124774E-3</v>
      </c>
      <c r="F1341" s="242">
        <v>1337</v>
      </c>
      <c r="G1341" s="243">
        <f t="shared" ca="1" si="44"/>
        <v>1.9503227005833276E-2</v>
      </c>
    </row>
    <row r="1342" spans="2:7" ht="15" thickBot="1" x14ac:dyDescent="0.35">
      <c r="B1342" s="170">
        <v>44861.645833333336</v>
      </c>
      <c r="C1342" s="238">
        <v>4271.3999999999996</v>
      </c>
      <c r="D1342" s="241">
        <f t="shared" si="43"/>
        <v>8.4521673434694664E-3</v>
      </c>
      <c r="E1342" s="241">
        <v>-8.3461989390230008E-3</v>
      </c>
      <c r="F1342" s="242">
        <v>1338</v>
      </c>
      <c r="G1342" s="243">
        <f t="shared" ca="1" si="44"/>
        <v>-6.9892198061228913E-2</v>
      </c>
    </row>
    <row r="1343" spans="2:7" ht="15" thickBot="1" x14ac:dyDescent="0.35">
      <c r="B1343" s="170">
        <v>44859.645833333336</v>
      </c>
      <c r="C1343" s="238">
        <v>4235.6000000000004</v>
      </c>
      <c r="D1343" s="241">
        <f t="shared" si="43"/>
        <v>1.6565479177119919</v>
      </c>
      <c r="E1343" s="241">
        <v>-8.3813269653975914E-3</v>
      </c>
      <c r="F1343" s="242">
        <v>1339</v>
      </c>
      <c r="G1343" s="243">
        <f t="shared" ca="1" si="44"/>
        <v>-1.8814766655362593E-3</v>
      </c>
    </row>
    <row r="1344" spans="2:7" ht="15" thickBot="1" x14ac:dyDescent="0.35">
      <c r="B1344" s="170">
        <v>43262.645833333336</v>
      </c>
      <c r="C1344" s="238">
        <v>1594.4</v>
      </c>
      <c r="D1344" s="241">
        <f t="shared" si="43"/>
        <v>-0.29656754610429714</v>
      </c>
      <c r="E1344" s="241">
        <v>-8.4268789452408063E-3</v>
      </c>
      <c r="F1344" s="242">
        <v>1340</v>
      </c>
      <c r="G1344" s="243">
        <f t="shared" ca="1" si="44"/>
        <v>6.771408176876433E-4</v>
      </c>
    </row>
    <row r="1345" spans="2:7" ht="15" thickBot="1" x14ac:dyDescent="0.35">
      <c r="B1345" s="170">
        <v>44062.645833333336</v>
      </c>
      <c r="C1345" s="238">
        <v>2266.6</v>
      </c>
      <c r="D1345" s="241">
        <f t="shared" si="43"/>
        <v>-0.34703637018365147</v>
      </c>
      <c r="E1345" s="241">
        <v>-8.4430640010499935E-3</v>
      </c>
      <c r="F1345" s="242">
        <v>1341</v>
      </c>
      <c r="G1345" s="243">
        <f t="shared" ca="1" si="44"/>
        <v>2.3873236336231375E-2</v>
      </c>
    </row>
    <row r="1346" spans="2:7" ht="15" thickBot="1" x14ac:dyDescent="0.35">
      <c r="B1346" s="170">
        <v>45077.645833333336</v>
      </c>
      <c r="C1346" s="238">
        <v>3471.25</v>
      </c>
      <c r="D1346" s="241">
        <f t="shared" si="43"/>
        <v>1.2445845457484643</v>
      </c>
      <c r="E1346" s="241">
        <v>-8.46925076408926E-3</v>
      </c>
      <c r="F1346" s="242">
        <v>1342</v>
      </c>
      <c r="G1346" s="243">
        <f t="shared" ca="1" si="44"/>
        <v>1.8745800072502122E-2</v>
      </c>
    </row>
    <row r="1347" spans="2:7" ht="15" thickBot="1" x14ac:dyDescent="0.35">
      <c r="B1347" s="170">
        <v>43445.645833333336</v>
      </c>
      <c r="C1347" s="238">
        <v>1546.5</v>
      </c>
      <c r="D1347" s="241">
        <f t="shared" si="43"/>
        <v>-0.66894647272260221</v>
      </c>
      <c r="E1347" s="241">
        <v>-8.4949511139605707E-3</v>
      </c>
      <c r="F1347" s="242">
        <v>1343</v>
      </c>
      <c r="G1347" s="243">
        <f t="shared" ca="1" si="44"/>
        <v>8.193632386415196E-3</v>
      </c>
    </row>
    <row r="1348" spans="2:7" ht="15" thickBot="1" x14ac:dyDescent="0.35">
      <c r="B1348" s="170">
        <v>44561.645833333336</v>
      </c>
      <c r="C1348" s="238">
        <v>4671.45</v>
      </c>
      <c r="D1348" s="241">
        <f t="shared" si="43"/>
        <v>0.3144203714124929</v>
      </c>
      <c r="E1348" s="241">
        <v>-8.500477554918855E-3</v>
      </c>
      <c r="F1348" s="242">
        <v>1344</v>
      </c>
      <c r="G1348" s="243">
        <f t="shared" ca="1" si="44"/>
        <v>-1.0848387387396723E-2</v>
      </c>
    </row>
    <row r="1349" spans="2:7" ht="15" thickBot="1" x14ac:dyDescent="0.35">
      <c r="B1349" s="170">
        <v>45049.645833333336</v>
      </c>
      <c r="C1349" s="238">
        <v>3554</v>
      </c>
      <c r="D1349" s="241">
        <f t="shared" ref="D1349:D1412" si="45">(C1349-C1350)/C1350</f>
        <v>-0.23221499708354029</v>
      </c>
      <c r="E1349" s="241">
        <v>-8.5088575812526154E-3</v>
      </c>
      <c r="F1349" s="242">
        <v>1345</v>
      </c>
      <c r="G1349" s="243">
        <f t="shared" ca="1" si="44"/>
        <v>-3.8491113093662571E-3</v>
      </c>
    </row>
    <row r="1350" spans="2:7" ht="15" thickBot="1" x14ac:dyDescent="0.35">
      <c r="B1350" s="170">
        <v>44554.645833333336</v>
      </c>
      <c r="C1350" s="238">
        <v>4628.8999999999996</v>
      </c>
      <c r="D1350" s="241">
        <f t="shared" si="45"/>
        <v>2.3719905299581132</v>
      </c>
      <c r="E1350" s="241">
        <v>-8.5142385914557753E-3</v>
      </c>
      <c r="F1350" s="242">
        <v>1346</v>
      </c>
      <c r="G1350" s="243">
        <f t="shared" ref="G1350:G1413" ca="1" si="46">_xlfn.NORM.INV(RAND(),$M$7,$M$8)</f>
        <v>-7.5995090048705492E-3</v>
      </c>
    </row>
    <row r="1351" spans="2:7" ht="15" thickBot="1" x14ac:dyDescent="0.35">
      <c r="B1351" s="170">
        <v>43493.645833333336</v>
      </c>
      <c r="C1351" s="238">
        <v>1372.75</v>
      </c>
      <c r="D1351" s="241">
        <f t="shared" si="45"/>
        <v>-0.68107103444270201</v>
      </c>
      <c r="E1351" s="241">
        <v>-8.5226246794987224E-3</v>
      </c>
      <c r="F1351" s="242">
        <v>1347</v>
      </c>
      <c r="G1351" s="243">
        <f t="shared" ca="1" si="46"/>
        <v>-9.4920912400730546E-3</v>
      </c>
    </row>
    <row r="1352" spans="2:7" ht="15" thickBot="1" x14ac:dyDescent="0.35">
      <c r="B1352" s="170">
        <v>44797.645833333336</v>
      </c>
      <c r="C1352" s="238">
        <v>4304.25</v>
      </c>
      <c r="D1352" s="241">
        <f t="shared" si="45"/>
        <v>-0.14595672490252692</v>
      </c>
      <c r="E1352" s="241">
        <v>-8.5228908724445732E-3</v>
      </c>
      <c r="F1352" s="242">
        <v>1348</v>
      </c>
      <c r="G1352" s="243">
        <f t="shared" ca="1" si="46"/>
        <v>1.0211078153694434E-2</v>
      </c>
    </row>
    <row r="1353" spans="2:7" ht="15" thickBot="1" x14ac:dyDescent="0.35">
      <c r="B1353" s="170">
        <v>45489.645833333336</v>
      </c>
      <c r="C1353" s="238">
        <v>5039.8500000000004</v>
      </c>
      <c r="D1353" s="241">
        <f t="shared" si="45"/>
        <v>0.24382388509094505</v>
      </c>
      <c r="E1353" s="241">
        <v>-8.5768523345364778E-3</v>
      </c>
      <c r="F1353" s="242">
        <v>1349</v>
      </c>
      <c r="G1353" s="243">
        <f t="shared" ca="1" si="46"/>
        <v>-3.1940183707555574E-2</v>
      </c>
    </row>
    <row r="1354" spans="2:7" ht="15" thickBot="1" x14ac:dyDescent="0.35">
      <c r="B1354" s="170">
        <v>45821.645833333336</v>
      </c>
      <c r="C1354" s="239">
        <v>4051.9</v>
      </c>
      <c r="D1354" s="241">
        <f t="shared" si="45"/>
        <v>-0.22375164037280768</v>
      </c>
      <c r="E1354" s="241">
        <v>-8.5882065084413768E-3</v>
      </c>
      <c r="F1354" s="242">
        <v>1350</v>
      </c>
      <c r="G1354" s="243">
        <f t="shared" ca="1" si="46"/>
        <v>8.8991713934885447E-3</v>
      </c>
    </row>
    <row r="1355" spans="2:7" ht="15" thickBot="1" x14ac:dyDescent="0.35">
      <c r="B1355" s="170">
        <v>45552.645833333336</v>
      </c>
      <c r="C1355" s="238">
        <v>5219.8500000000004</v>
      </c>
      <c r="D1355" s="241">
        <f t="shared" si="45"/>
        <v>0.25564696543263332</v>
      </c>
      <c r="E1355" s="241">
        <v>-8.6131580946591686E-3</v>
      </c>
      <c r="F1355" s="242">
        <v>1351</v>
      </c>
      <c r="G1355" s="243">
        <f t="shared" ca="1" si="46"/>
        <v>4.5512323070883147E-2</v>
      </c>
    </row>
    <row r="1356" spans="2:7" ht="15" thickBot="1" x14ac:dyDescent="0.35">
      <c r="B1356" s="170">
        <v>44614.645833333336</v>
      </c>
      <c r="C1356" s="238">
        <v>4157.1000000000004</v>
      </c>
      <c r="D1356" s="241">
        <f t="shared" si="45"/>
        <v>3.2012214043667754E-2</v>
      </c>
      <c r="E1356" s="241">
        <v>-8.6682802942683133E-3</v>
      </c>
      <c r="F1356" s="242">
        <v>1352</v>
      </c>
      <c r="G1356" s="243">
        <f t="shared" ca="1" si="46"/>
        <v>1.6105697874554473E-3</v>
      </c>
    </row>
    <row r="1357" spans="2:7" ht="15" thickBot="1" x14ac:dyDescent="0.35">
      <c r="B1357" s="170">
        <v>44900.645833333336</v>
      </c>
      <c r="C1357" s="238">
        <v>4028.15</v>
      </c>
      <c r="D1357" s="241">
        <f t="shared" si="45"/>
        <v>0.15060413036647718</v>
      </c>
      <c r="E1357" s="241">
        <v>-8.6750012304966286E-3</v>
      </c>
      <c r="F1357" s="242">
        <v>1353</v>
      </c>
      <c r="G1357" s="243">
        <f t="shared" ca="1" si="46"/>
        <v>-2.7221729267483442E-2</v>
      </c>
    </row>
    <row r="1358" spans="2:7" ht="15" thickBot="1" x14ac:dyDescent="0.35">
      <c r="B1358" s="170">
        <v>45078.645833333336</v>
      </c>
      <c r="C1358" s="238">
        <v>3500.9</v>
      </c>
      <c r="D1358" s="241">
        <f t="shared" si="45"/>
        <v>1.2614902619424437</v>
      </c>
      <c r="E1358" s="241">
        <v>-8.692943708234176E-3</v>
      </c>
      <c r="F1358" s="242">
        <v>1354</v>
      </c>
      <c r="G1358" s="243">
        <f t="shared" ca="1" si="46"/>
        <v>-3.8886904431479317E-2</v>
      </c>
    </row>
    <row r="1359" spans="2:7" ht="15" thickBot="1" x14ac:dyDescent="0.35">
      <c r="B1359" s="170">
        <v>43297.645833333336</v>
      </c>
      <c r="C1359" s="238">
        <v>1548.05</v>
      </c>
      <c r="D1359" s="241">
        <f t="shared" si="45"/>
        <v>-0.54405419335836835</v>
      </c>
      <c r="E1359" s="241">
        <v>-8.7087375532290436E-3</v>
      </c>
      <c r="F1359" s="242">
        <v>1355</v>
      </c>
      <c r="G1359" s="243">
        <f t="shared" ca="1" si="46"/>
        <v>-5.3090476431025737E-3</v>
      </c>
    </row>
    <row r="1360" spans="2:7" ht="15" thickBot="1" x14ac:dyDescent="0.35">
      <c r="B1360" s="170">
        <v>45065.645833333336</v>
      </c>
      <c r="C1360" s="238">
        <v>3395.25</v>
      </c>
      <c r="D1360" s="241">
        <f t="shared" si="45"/>
        <v>-7.5443182746507687E-2</v>
      </c>
      <c r="E1360" s="241">
        <v>-8.7150740124375663E-3</v>
      </c>
      <c r="F1360" s="242">
        <v>1356</v>
      </c>
      <c r="G1360" s="243">
        <f t="shared" ca="1" si="46"/>
        <v>-1.2867545331942839E-2</v>
      </c>
    </row>
    <row r="1361" spans="2:7" ht="15" thickBot="1" x14ac:dyDescent="0.35">
      <c r="B1361" s="170">
        <v>45056.645833333336</v>
      </c>
      <c r="C1361" s="238">
        <v>3672.3</v>
      </c>
      <c r="D1361" s="241">
        <f t="shared" si="45"/>
        <v>-0.10897863615960394</v>
      </c>
      <c r="E1361" s="241">
        <v>-8.7322689052946722E-3</v>
      </c>
      <c r="F1361" s="242">
        <v>1357</v>
      </c>
      <c r="G1361" s="243">
        <f t="shared" ca="1" si="46"/>
        <v>2.7147639550238422E-2</v>
      </c>
    </row>
    <row r="1362" spans="2:7" ht="15" thickBot="1" x14ac:dyDescent="0.35">
      <c r="B1362" s="170">
        <v>45749.645833333336</v>
      </c>
      <c r="C1362" s="239">
        <v>4121.45</v>
      </c>
      <c r="D1362" s="241">
        <f t="shared" si="45"/>
        <v>-0.1889304339269901</v>
      </c>
      <c r="E1362" s="241">
        <v>-8.742604261869345E-3</v>
      </c>
      <c r="F1362" s="242">
        <v>1358</v>
      </c>
      <c r="G1362" s="243">
        <f t="shared" ca="1" si="46"/>
        <v>-1.0880017742065476E-2</v>
      </c>
    </row>
    <row r="1363" spans="2:7" ht="15" thickBot="1" x14ac:dyDescent="0.35">
      <c r="B1363" s="170">
        <v>44516.645833333336</v>
      </c>
      <c r="C1363" s="238">
        <v>5081.5</v>
      </c>
      <c r="D1363" s="241">
        <f t="shared" si="45"/>
        <v>2.3495171052498993E-2</v>
      </c>
      <c r="E1363" s="241">
        <v>-8.7585830212234001E-3</v>
      </c>
      <c r="F1363" s="242">
        <v>1359</v>
      </c>
      <c r="G1363" s="243">
        <f t="shared" ca="1" si="46"/>
        <v>-1.485184423905905E-2</v>
      </c>
    </row>
    <row r="1364" spans="2:7" ht="15" thickBot="1" x14ac:dyDescent="0.35">
      <c r="B1364" s="170">
        <v>45532.645833333336</v>
      </c>
      <c r="C1364" s="238">
        <v>4964.8500000000004</v>
      </c>
      <c r="D1364" s="241">
        <f t="shared" si="45"/>
        <v>4.7149515955539657E-2</v>
      </c>
      <c r="E1364" s="241">
        <v>-8.774556780067045E-3</v>
      </c>
      <c r="F1364" s="242">
        <v>1360</v>
      </c>
      <c r="G1364" s="243">
        <f t="shared" ca="1" si="46"/>
        <v>-7.7983831670269703E-3</v>
      </c>
    </row>
    <row r="1365" spans="2:7" ht="15" thickBot="1" x14ac:dyDescent="0.35">
      <c r="B1365" s="170">
        <v>44503.645833333336</v>
      </c>
      <c r="C1365" s="238">
        <v>4741.3</v>
      </c>
      <c r="D1365" s="241">
        <f t="shared" si="45"/>
        <v>-3.5098781000419961E-3</v>
      </c>
      <c r="E1365" s="241">
        <v>-8.8634320714090845E-3</v>
      </c>
      <c r="F1365" s="242">
        <v>1361</v>
      </c>
      <c r="G1365" s="243">
        <f t="shared" ca="1" si="46"/>
        <v>2.5522921567416776E-3</v>
      </c>
    </row>
    <row r="1366" spans="2:7" ht="15" thickBot="1" x14ac:dyDescent="0.35">
      <c r="B1366" s="170">
        <v>45404.645833333336</v>
      </c>
      <c r="C1366" s="238">
        <v>4758</v>
      </c>
      <c r="D1366" s="241">
        <f t="shared" si="45"/>
        <v>1.8750981932443047</v>
      </c>
      <c r="E1366" s="241">
        <v>-8.8635677161992225E-3</v>
      </c>
      <c r="F1366" s="242">
        <v>1362</v>
      </c>
      <c r="G1366" s="243">
        <f t="shared" ca="1" si="46"/>
        <v>-2.143785016699195E-3</v>
      </c>
    </row>
    <row r="1367" spans="2:7" ht="15" thickBot="1" x14ac:dyDescent="0.35">
      <c r="B1367" s="170">
        <v>43312.645833333336</v>
      </c>
      <c r="C1367" s="238">
        <v>1654.9</v>
      </c>
      <c r="D1367" s="241">
        <f t="shared" si="45"/>
        <v>-0.20489105628558379</v>
      </c>
      <c r="E1367" s="241">
        <v>-8.8638677606755426E-3</v>
      </c>
      <c r="F1367" s="242">
        <v>1363</v>
      </c>
      <c r="G1367" s="243">
        <f t="shared" ca="1" si="46"/>
        <v>-2.5360462865703693E-2</v>
      </c>
    </row>
    <row r="1368" spans="2:7" ht="15" thickBot="1" x14ac:dyDescent="0.35">
      <c r="B1368" s="170">
        <v>44125.645833333336</v>
      </c>
      <c r="C1368" s="238">
        <v>2081.35</v>
      </c>
      <c r="D1368" s="241">
        <f t="shared" si="45"/>
        <v>-0.41673555745491742</v>
      </c>
      <c r="E1368" s="241">
        <v>-9.022520592296468E-3</v>
      </c>
      <c r="F1368" s="242">
        <v>1364</v>
      </c>
      <c r="G1368" s="243">
        <f t="shared" ca="1" si="46"/>
        <v>1.3400395974619965E-2</v>
      </c>
    </row>
    <row r="1369" spans="2:7" ht="15" thickBot="1" x14ac:dyDescent="0.35">
      <c r="B1369" s="170">
        <v>45672.645833333336</v>
      </c>
      <c r="C1369" s="238">
        <v>3568.45</v>
      </c>
      <c r="D1369" s="241">
        <f t="shared" si="45"/>
        <v>-0.16554812459077725</v>
      </c>
      <c r="E1369" s="241">
        <v>-9.0253960760354919E-3</v>
      </c>
      <c r="F1369" s="242">
        <v>1365</v>
      </c>
      <c r="G1369" s="243">
        <f t="shared" ca="1" si="46"/>
        <v>-2.5615553761144459E-2</v>
      </c>
    </row>
    <row r="1370" spans="2:7" ht="15" thickBot="1" x14ac:dyDescent="0.35">
      <c r="B1370" s="170">
        <v>45833.645833333336</v>
      </c>
      <c r="C1370" s="239">
        <v>4276.3999999999996</v>
      </c>
      <c r="D1370" s="241">
        <f t="shared" si="45"/>
        <v>-0.1270693420972055</v>
      </c>
      <c r="E1370" s="241">
        <v>-9.0374009361820461E-3</v>
      </c>
      <c r="F1370" s="242">
        <v>1366</v>
      </c>
      <c r="G1370" s="243">
        <f t="shared" ca="1" si="46"/>
        <v>5.3870160649038275E-2</v>
      </c>
    </row>
    <row r="1371" spans="2:7" ht="15" thickBot="1" x14ac:dyDescent="0.35">
      <c r="B1371" s="170">
        <v>45484.645833333336</v>
      </c>
      <c r="C1371" s="238">
        <v>4898.8999999999996</v>
      </c>
      <c r="D1371" s="241">
        <f t="shared" si="45"/>
        <v>-9.0520162228313102E-3</v>
      </c>
      <c r="E1371" s="241">
        <v>-9.0520162228313102E-3</v>
      </c>
      <c r="F1371" s="242">
        <v>1367</v>
      </c>
      <c r="G1371" s="243">
        <f t="shared" ca="1" si="46"/>
        <v>-3.2295669871360587E-2</v>
      </c>
    </row>
    <row r="1372" spans="2:7" ht="15" thickBot="1" x14ac:dyDescent="0.35">
      <c r="B1372" s="170">
        <v>45485.645833333336</v>
      </c>
      <c r="C1372" s="238">
        <v>4943.6499999999996</v>
      </c>
      <c r="D1372" s="241">
        <f t="shared" si="45"/>
        <v>0.22578445593285465</v>
      </c>
      <c r="E1372" s="241">
        <v>-9.0602042554898867E-3</v>
      </c>
      <c r="F1372" s="242">
        <v>1368</v>
      </c>
      <c r="G1372" s="243">
        <f t="shared" ca="1" si="46"/>
        <v>-3.4345214974176252E-2</v>
      </c>
    </row>
    <row r="1373" spans="2:7" ht="15" thickBot="1" x14ac:dyDescent="0.35">
      <c r="B1373" s="170">
        <v>45273.645833333336</v>
      </c>
      <c r="C1373" s="238">
        <v>4033.05</v>
      </c>
      <c r="D1373" s="241">
        <f t="shared" si="45"/>
        <v>-5.1677355698075524E-3</v>
      </c>
      <c r="E1373" s="241">
        <v>-9.0907974103512246E-3</v>
      </c>
      <c r="F1373" s="242">
        <v>1369</v>
      </c>
      <c r="G1373" s="243">
        <f t="shared" ca="1" si="46"/>
        <v>-3.4606508603175561E-4</v>
      </c>
    </row>
    <row r="1374" spans="2:7" ht="15" thickBot="1" x14ac:dyDescent="0.35">
      <c r="B1374" s="170">
        <v>44642.645833333336</v>
      </c>
      <c r="C1374" s="238">
        <v>4054</v>
      </c>
      <c r="D1374" s="241">
        <f t="shared" si="45"/>
        <v>0.46692719641047914</v>
      </c>
      <c r="E1374" s="241">
        <v>-9.1290160949319688E-3</v>
      </c>
      <c r="F1374" s="242">
        <v>1370</v>
      </c>
      <c r="G1374" s="243">
        <f t="shared" ca="1" si="46"/>
        <v>-2.084871198442638E-2</v>
      </c>
    </row>
    <row r="1375" spans="2:7" ht="15" thickBot="1" x14ac:dyDescent="0.35">
      <c r="B1375" s="170">
        <v>44196.645833333336</v>
      </c>
      <c r="C1375" s="238">
        <v>2763.6</v>
      </c>
      <c r="D1375" s="241">
        <f t="shared" si="45"/>
        <v>-0.37198045676627656</v>
      </c>
      <c r="E1375" s="241">
        <v>-9.1427342153382815E-3</v>
      </c>
      <c r="F1375" s="242">
        <v>1371</v>
      </c>
      <c r="G1375" s="243">
        <f t="shared" ca="1" si="46"/>
        <v>4.9267601534114561E-4</v>
      </c>
    </row>
    <row r="1376" spans="2:7" ht="15" thickBot="1" x14ac:dyDescent="0.35">
      <c r="B1376" s="170">
        <v>44578.645833333336</v>
      </c>
      <c r="C1376" s="238">
        <v>4400.5</v>
      </c>
      <c r="D1376" s="241">
        <f t="shared" si="45"/>
        <v>-5.8273412086971448E-2</v>
      </c>
      <c r="E1376" s="241">
        <v>-9.1530346869616291E-3</v>
      </c>
      <c r="F1376" s="242">
        <v>1372</v>
      </c>
      <c r="G1376" s="243">
        <f t="shared" ca="1" si="46"/>
        <v>1.9548200972166665E-2</v>
      </c>
    </row>
    <row r="1377" spans="2:7" ht="15" thickBot="1" x14ac:dyDescent="0.35">
      <c r="B1377" s="170">
        <v>45390.645833333336</v>
      </c>
      <c r="C1377" s="238">
        <v>4672.8</v>
      </c>
      <c r="D1377" s="241">
        <f t="shared" si="45"/>
        <v>2.23019493985898</v>
      </c>
      <c r="E1377" s="241">
        <v>-9.1918195986131612E-3</v>
      </c>
      <c r="F1377" s="242">
        <v>1373</v>
      </c>
      <c r="G1377" s="243">
        <f t="shared" ca="1" si="46"/>
        <v>-4.0066094521605845E-3</v>
      </c>
    </row>
    <row r="1378" spans="2:7" ht="15" thickBot="1" x14ac:dyDescent="0.35">
      <c r="B1378" s="170">
        <v>43648.645833333336</v>
      </c>
      <c r="C1378" s="238">
        <v>1446.6</v>
      </c>
      <c r="D1378" s="241">
        <f t="shared" si="45"/>
        <v>-0.64234235347928748</v>
      </c>
      <c r="E1378" s="241">
        <v>-9.2459420587630986E-3</v>
      </c>
      <c r="F1378" s="242">
        <v>1374</v>
      </c>
      <c r="G1378" s="243">
        <f t="shared" ca="1" si="46"/>
        <v>-3.5650304363248043E-2</v>
      </c>
    </row>
    <row r="1379" spans="2:7" ht="15" thickBot="1" x14ac:dyDescent="0.35">
      <c r="B1379" s="170">
        <v>45288.645833333336</v>
      </c>
      <c r="C1379" s="238">
        <v>4044.65</v>
      </c>
      <c r="D1379" s="241">
        <f t="shared" si="45"/>
        <v>-7.6913640824337361E-3</v>
      </c>
      <c r="E1379" s="241">
        <v>-9.3076800607448593E-3</v>
      </c>
      <c r="F1379" s="242">
        <v>1375</v>
      </c>
      <c r="G1379" s="243">
        <f t="shared" ca="1" si="46"/>
        <v>2.7073070124311188E-2</v>
      </c>
    </row>
    <row r="1380" spans="2:7" ht="15" thickBot="1" x14ac:dyDescent="0.35">
      <c r="B1380" s="170">
        <v>44589.645833333336</v>
      </c>
      <c r="C1380" s="238">
        <v>4076</v>
      </c>
      <c r="D1380" s="241">
        <f t="shared" si="45"/>
        <v>9.7606896893425391E-3</v>
      </c>
      <c r="E1380" s="241">
        <v>-9.3210349143851064E-3</v>
      </c>
      <c r="F1380" s="242">
        <v>1376</v>
      </c>
      <c r="G1380" s="243">
        <f t="shared" ca="1" si="46"/>
        <v>-2.4424153667527503E-2</v>
      </c>
    </row>
    <row r="1381" spans="2:7" ht="15" thickBot="1" x14ac:dyDescent="0.35">
      <c r="B1381" s="170">
        <v>44921.645833333336</v>
      </c>
      <c r="C1381" s="238">
        <v>4036.6</v>
      </c>
      <c r="D1381" s="241">
        <f t="shared" si="45"/>
        <v>0.13355798932884019</v>
      </c>
      <c r="E1381" s="241">
        <v>-9.3260688165709513E-3</v>
      </c>
      <c r="F1381" s="242">
        <v>1377</v>
      </c>
      <c r="G1381" s="243">
        <f t="shared" ca="1" si="46"/>
        <v>1.3917187101911371E-2</v>
      </c>
    </row>
    <row r="1382" spans="2:7" ht="15" thickBot="1" x14ac:dyDescent="0.35">
      <c r="B1382" s="170">
        <v>44420.645833333336</v>
      </c>
      <c r="C1382" s="238">
        <v>3561</v>
      </c>
      <c r="D1382" s="241">
        <f t="shared" si="45"/>
        <v>5.8372466266421001E-2</v>
      </c>
      <c r="E1382" s="241">
        <v>-9.3335744390814369E-3</v>
      </c>
      <c r="F1382" s="242">
        <v>1378</v>
      </c>
      <c r="G1382" s="243">
        <f t="shared" ca="1" si="46"/>
        <v>-4.5723358139539696E-3</v>
      </c>
    </row>
    <row r="1383" spans="2:7" ht="15" thickBot="1" x14ac:dyDescent="0.35">
      <c r="B1383" s="170">
        <v>44383.645833333336</v>
      </c>
      <c r="C1383" s="238">
        <v>3364.6</v>
      </c>
      <c r="D1383" s="241">
        <f t="shared" si="45"/>
        <v>-8.4151071793126933E-2</v>
      </c>
      <c r="E1383" s="241">
        <v>-9.3628547874220289E-3</v>
      </c>
      <c r="F1383" s="242">
        <v>1379</v>
      </c>
      <c r="G1383" s="243">
        <f t="shared" ca="1" si="46"/>
        <v>4.6293200156652246E-2</v>
      </c>
    </row>
    <row r="1384" spans="2:7" ht="15" thickBot="1" x14ac:dyDescent="0.35">
      <c r="B1384" s="170">
        <v>44431.645833333336</v>
      </c>
      <c r="C1384" s="238">
        <v>3673.75</v>
      </c>
      <c r="D1384" s="241">
        <f t="shared" si="45"/>
        <v>-1.0411054843228124E-2</v>
      </c>
      <c r="E1384" s="241">
        <v>-9.3837214005474331E-3</v>
      </c>
      <c r="F1384" s="242">
        <v>1380</v>
      </c>
      <c r="G1384" s="243">
        <f t="shared" ca="1" si="46"/>
        <v>9.9746631110744065E-3</v>
      </c>
    </row>
    <row r="1385" spans="2:7" ht="15" thickBot="1" x14ac:dyDescent="0.35">
      <c r="B1385" s="170">
        <v>45238.645833333336</v>
      </c>
      <c r="C1385" s="238">
        <v>3712.4</v>
      </c>
      <c r="D1385" s="241">
        <f t="shared" si="45"/>
        <v>5.8372414579561813E-2</v>
      </c>
      <c r="E1385" s="241">
        <v>-9.3926779805741864E-3</v>
      </c>
      <c r="F1385" s="242">
        <v>1381</v>
      </c>
      <c r="G1385" s="243">
        <f t="shared" ca="1" si="46"/>
        <v>1.7179259428943369E-2</v>
      </c>
    </row>
    <row r="1386" spans="2:7" ht="15" thickBot="1" x14ac:dyDescent="0.35">
      <c r="B1386" s="170">
        <v>45155.645833333336</v>
      </c>
      <c r="C1386" s="238">
        <v>3507.65</v>
      </c>
      <c r="D1386" s="241">
        <f t="shared" si="45"/>
        <v>-0.13705639953256657</v>
      </c>
      <c r="E1386" s="241">
        <v>-9.4042559200213875E-3</v>
      </c>
      <c r="F1386" s="242">
        <v>1382</v>
      </c>
      <c r="G1386" s="243">
        <f t="shared" ca="1" si="46"/>
        <v>-1.5051133909179195E-2</v>
      </c>
    </row>
    <row r="1387" spans="2:7" ht="15" thickBot="1" x14ac:dyDescent="0.35">
      <c r="B1387" s="170">
        <v>45292.645833333336</v>
      </c>
      <c r="C1387" s="238">
        <v>4064.75</v>
      </c>
      <c r="D1387" s="241">
        <f t="shared" si="45"/>
        <v>-8.4752823030070965E-2</v>
      </c>
      <c r="E1387" s="241">
        <v>-9.4069479815273773E-3</v>
      </c>
      <c r="F1387" s="242">
        <v>1383</v>
      </c>
      <c r="G1387" s="243">
        <f t="shared" ca="1" si="46"/>
        <v>-2.2303830211244997E-2</v>
      </c>
    </row>
    <row r="1388" spans="2:7" ht="15" thickBot="1" x14ac:dyDescent="0.35">
      <c r="B1388" s="170">
        <v>44579.645833333336</v>
      </c>
      <c r="C1388" s="238">
        <v>4441.1499999999996</v>
      </c>
      <c r="D1388" s="241">
        <f t="shared" si="45"/>
        <v>2.0101328453300797</v>
      </c>
      <c r="E1388" s="241">
        <v>-9.4236516929116308E-3</v>
      </c>
      <c r="F1388" s="242">
        <v>1384</v>
      </c>
      <c r="G1388" s="243">
        <f t="shared" ca="1" si="46"/>
        <v>4.3023646938760214E-2</v>
      </c>
    </row>
    <row r="1389" spans="2:7" ht="15" thickBot="1" x14ac:dyDescent="0.35">
      <c r="B1389" s="170">
        <v>43210.645833333336</v>
      </c>
      <c r="C1389" s="238">
        <v>1475.4</v>
      </c>
      <c r="D1389" s="241">
        <f t="shared" si="45"/>
        <v>-0.253226704459179</v>
      </c>
      <c r="E1389" s="241">
        <v>-9.4662638469284379E-3</v>
      </c>
      <c r="F1389" s="242">
        <v>1385</v>
      </c>
      <c r="G1389" s="243">
        <f t="shared" ca="1" si="46"/>
        <v>-1.3163627930814134E-3</v>
      </c>
    </row>
    <row r="1390" spans="2:7" ht="15" thickBot="1" x14ac:dyDescent="0.35">
      <c r="B1390" s="170">
        <v>43768.645833333336</v>
      </c>
      <c r="C1390" s="238">
        <v>1975.7</v>
      </c>
      <c r="D1390" s="241">
        <f t="shared" si="45"/>
        <v>-0.49193164722975841</v>
      </c>
      <c r="E1390" s="241">
        <v>-9.5004136063971348E-3</v>
      </c>
      <c r="F1390" s="242">
        <v>1386</v>
      </c>
      <c r="G1390" s="243">
        <f t="shared" ca="1" si="46"/>
        <v>2.6932150510690971E-2</v>
      </c>
    </row>
    <row r="1391" spans="2:7" ht="15" thickBot="1" x14ac:dyDescent="0.35">
      <c r="B1391" s="170">
        <v>45357.645833333336</v>
      </c>
      <c r="C1391" s="238">
        <v>3888.65</v>
      </c>
      <c r="D1391" s="241">
        <f t="shared" si="45"/>
        <v>1.2010409889394948E-2</v>
      </c>
      <c r="E1391" s="241">
        <v>-9.5008851360816431E-3</v>
      </c>
      <c r="F1391" s="242">
        <v>1387</v>
      </c>
      <c r="G1391" s="243">
        <f t="shared" ca="1" si="46"/>
        <v>3.0973432591326075E-3</v>
      </c>
    </row>
    <row r="1392" spans="2:7" ht="15" thickBot="1" x14ac:dyDescent="0.35">
      <c r="B1392" s="170">
        <v>44932.645833333336</v>
      </c>
      <c r="C1392" s="238">
        <v>3842.5</v>
      </c>
      <c r="D1392" s="241">
        <f t="shared" si="45"/>
        <v>9.4121499451871524E-2</v>
      </c>
      <c r="E1392" s="241">
        <v>-9.5500766841515594E-3</v>
      </c>
      <c r="F1392" s="242">
        <v>1388</v>
      </c>
      <c r="G1392" s="243">
        <f t="shared" ca="1" si="46"/>
        <v>5.1208693680989379E-4</v>
      </c>
    </row>
    <row r="1393" spans="2:7" ht="15" thickBot="1" x14ac:dyDescent="0.35">
      <c r="B1393" s="170">
        <v>45044.645833333336</v>
      </c>
      <c r="C1393" s="238">
        <v>3511.95</v>
      </c>
      <c r="D1393" s="241">
        <f t="shared" si="45"/>
        <v>-4.4900123740498593E-2</v>
      </c>
      <c r="E1393" s="241">
        <v>-9.5744380834203655E-3</v>
      </c>
      <c r="F1393" s="242">
        <v>1389</v>
      </c>
      <c r="G1393" s="243">
        <f t="shared" ca="1" si="46"/>
        <v>2.4038479322191428E-3</v>
      </c>
    </row>
    <row r="1394" spans="2:7" ht="15" thickBot="1" x14ac:dyDescent="0.35">
      <c r="B1394" s="170">
        <v>45132.645833333336</v>
      </c>
      <c r="C1394" s="238">
        <v>3677.05</v>
      </c>
      <c r="D1394" s="241">
        <f t="shared" si="45"/>
        <v>1.7977250247279921</v>
      </c>
      <c r="E1394" s="241">
        <v>-9.5888381614210629E-3</v>
      </c>
      <c r="F1394" s="242">
        <v>1390</v>
      </c>
      <c r="G1394" s="243">
        <f t="shared" ca="1" si="46"/>
        <v>-3.0120803854862169E-2</v>
      </c>
    </row>
    <row r="1395" spans="2:7" ht="15" thickBot="1" x14ac:dyDescent="0.35">
      <c r="B1395" s="170">
        <v>43164.645833333336</v>
      </c>
      <c r="C1395" s="238">
        <v>1314.3</v>
      </c>
      <c r="D1395" s="241">
        <f t="shared" si="45"/>
        <v>-0.59997565095646088</v>
      </c>
      <c r="E1395" s="241">
        <v>-9.6824021399239991E-3</v>
      </c>
      <c r="F1395" s="242">
        <v>1391</v>
      </c>
      <c r="G1395" s="243">
        <f t="shared" ca="1" si="46"/>
        <v>-2.7221339370057771E-3</v>
      </c>
    </row>
    <row r="1396" spans="2:7" ht="15" thickBot="1" x14ac:dyDescent="0.35">
      <c r="B1396" s="170">
        <v>44364.645833333336</v>
      </c>
      <c r="C1396" s="238">
        <v>3285.55</v>
      </c>
      <c r="D1396" s="241">
        <f t="shared" si="45"/>
        <v>-0.16816254193303368</v>
      </c>
      <c r="E1396" s="241">
        <v>-9.6904482020675892E-3</v>
      </c>
      <c r="F1396" s="242">
        <v>1392</v>
      </c>
      <c r="G1396" s="243">
        <f t="shared" ca="1" si="46"/>
        <v>9.0220524964042259E-3</v>
      </c>
    </row>
    <row r="1397" spans="2:7" ht="15" thickBot="1" x14ac:dyDescent="0.35">
      <c r="B1397" s="170">
        <v>45260.645833333336</v>
      </c>
      <c r="C1397" s="238">
        <v>3949.75</v>
      </c>
      <c r="D1397" s="241">
        <f t="shared" si="45"/>
        <v>1.5402771971572822</v>
      </c>
      <c r="E1397" s="241">
        <v>-9.6906027479691324E-3</v>
      </c>
      <c r="F1397" s="242">
        <v>1393</v>
      </c>
      <c r="G1397" s="243">
        <f t="shared" ca="1" si="46"/>
        <v>-2.542768919355108E-3</v>
      </c>
    </row>
    <row r="1398" spans="2:7" ht="15" thickBot="1" x14ac:dyDescent="0.35">
      <c r="B1398" s="170">
        <v>43460.645833333336</v>
      </c>
      <c r="C1398" s="238">
        <v>1554.85</v>
      </c>
      <c r="D1398" s="241">
        <f t="shared" si="45"/>
        <v>1.6972987114919104E-2</v>
      </c>
      <c r="E1398" s="241">
        <v>-9.7442919466294176E-3</v>
      </c>
      <c r="F1398" s="242">
        <v>1394</v>
      </c>
      <c r="G1398" s="243">
        <f t="shared" ca="1" si="46"/>
        <v>4.8074246962851494E-2</v>
      </c>
    </row>
    <row r="1399" spans="2:7" ht="15" thickBot="1" x14ac:dyDescent="0.35">
      <c r="B1399" s="170">
        <v>43248.645833333336</v>
      </c>
      <c r="C1399" s="238">
        <v>1528.9</v>
      </c>
      <c r="D1399" s="241">
        <f t="shared" si="45"/>
        <v>-0.61237244089497367</v>
      </c>
      <c r="E1399" s="241">
        <v>-9.8118584242737374E-3</v>
      </c>
      <c r="F1399" s="242">
        <v>1395</v>
      </c>
      <c r="G1399" s="243">
        <f t="shared" ca="1" si="46"/>
        <v>6.4311493312879933E-3</v>
      </c>
    </row>
    <row r="1400" spans="2:7" ht="15" thickBot="1" x14ac:dyDescent="0.35">
      <c r="B1400" s="170">
        <v>44680.645833333336</v>
      </c>
      <c r="C1400" s="238">
        <v>3944.25</v>
      </c>
      <c r="D1400" s="241">
        <f t="shared" si="45"/>
        <v>1.5279602627784008</v>
      </c>
      <c r="E1400" s="241">
        <v>-9.815858511052232E-3</v>
      </c>
      <c r="F1400" s="242">
        <v>1396</v>
      </c>
      <c r="G1400" s="243">
        <f t="shared" ca="1" si="46"/>
        <v>1.7512284629064682E-2</v>
      </c>
    </row>
    <row r="1401" spans="2:7" ht="15" thickBot="1" x14ac:dyDescent="0.35">
      <c r="B1401" s="170">
        <v>43467.645833333336</v>
      </c>
      <c r="C1401" s="238">
        <v>1560.25</v>
      </c>
      <c r="D1401" s="241">
        <f t="shared" si="45"/>
        <v>-0.59713651269074852</v>
      </c>
      <c r="E1401" s="241">
        <v>-9.9308331746938826E-3</v>
      </c>
      <c r="F1401" s="242">
        <v>1397</v>
      </c>
      <c r="G1401" s="243">
        <f t="shared" ca="1" si="46"/>
        <v>-1.7183012212537048E-2</v>
      </c>
    </row>
    <row r="1402" spans="2:7" ht="15" thickBot="1" x14ac:dyDescent="0.35">
      <c r="B1402" s="170">
        <v>44937.645833333336</v>
      </c>
      <c r="C1402" s="238">
        <v>3872.9</v>
      </c>
      <c r="D1402" s="241">
        <f t="shared" si="45"/>
        <v>-3.7430098173232236E-2</v>
      </c>
      <c r="E1402" s="241">
        <v>-9.9442711795081767E-3</v>
      </c>
      <c r="F1402" s="242">
        <v>1398</v>
      </c>
      <c r="G1402" s="243">
        <f t="shared" ca="1" si="46"/>
        <v>2.9783927142401901E-2</v>
      </c>
    </row>
    <row r="1403" spans="2:7" ht="15" thickBot="1" x14ac:dyDescent="0.35">
      <c r="B1403" s="170">
        <v>45789.645833333336</v>
      </c>
      <c r="C1403" s="239">
        <v>4023.5</v>
      </c>
      <c r="D1403" s="241">
        <f t="shared" si="45"/>
        <v>-1.1789266854967458E-2</v>
      </c>
      <c r="E1403" s="241">
        <v>-9.9899116655593877E-3</v>
      </c>
      <c r="F1403" s="242">
        <v>1399</v>
      </c>
      <c r="G1403" s="243">
        <f t="shared" ca="1" si="46"/>
        <v>1.4535364806280661E-2</v>
      </c>
    </row>
    <row r="1404" spans="2:7" ht="15" thickBot="1" x14ac:dyDescent="0.35">
      <c r="B1404" s="170">
        <v>45797.645833333336</v>
      </c>
      <c r="C1404" s="239">
        <v>4071.5</v>
      </c>
      <c r="D1404" s="241">
        <f t="shared" si="45"/>
        <v>1.2386254295532646</v>
      </c>
      <c r="E1404" s="241">
        <v>-1.0017749896661517E-2</v>
      </c>
      <c r="F1404" s="242">
        <v>1400</v>
      </c>
      <c r="G1404" s="243">
        <f t="shared" ca="1" si="46"/>
        <v>2.8300427693492756E-2</v>
      </c>
    </row>
    <row r="1405" spans="2:7" ht="15" thickBot="1" x14ac:dyDescent="0.35">
      <c r="B1405" s="170">
        <v>43790.645833333336</v>
      </c>
      <c r="C1405" s="238">
        <v>1818.75</v>
      </c>
      <c r="D1405" s="241">
        <f t="shared" si="45"/>
        <v>-0.49160715034451913</v>
      </c>
      <c r="E1405" s="241">
        <v>-1.0069397196897537E-2</v>
      </c>
      <c r="F1405" s="242">
        <v>1401</v>
      </c>
      <c r="G1405" s="243">
        <f t="shared" ca="1" si="46"/>
        <v>2.0964332615889692E-2</v>
      </c>
    </row>
    <row r="1406" spans="2:7" ht="15" thickBot="1" x14ac:dyDescent="0.35">
      <c r="B1406" s="170">
        <v>44707.645833333336</v>
      </c>
      <c r="C1406" s="238">
        <v>3577.45</v>
      </c>
      <c r="D1406" s="241">
        <f t="shared" si="45"/>
        <v>-6.9632268802663058E-2</v>
      </c>
      <c r="E1406" s="241">
        <v>-1.0072360501957771E-2</v>
      </c>
      <c r="F1406" s="242">
        <v>1402</v>
      </c>
      <c r="G1406" s="243">
        <f t="shared" ca="1" si="46"/>
        <v>4.0553957027211745E-3</v>
      </c>
    </row>
    <row r="1407" spans="2:7" ht="15" thickBot="1" x14ac:dyDescent="0.35">
      <c r="B1407" s="170">
        <v>45735.645833333336</v>
      </c>
      <c r="C1407" s="238">
        <v>3845.2</v>
      </c>
      <c r="D1407" s="241">
        <f t="shared" si="45"/>
        <v>-0.19316798858533726</v>
      </c>
      <c r="E1407" s="241">
        <v>-1.0091648645865583E-2</v>
      </c>
      <c r="F1407" s="242">
        <v>1403</v>
      </c>
      <c r="G1407" s="243">
        <f t="shared" ca="1" si="46"/>
        <v>2.1998444585043825E-2</v>
      </c>
    </row>
    <row r="1408" spans="2:7" ht="15" thickBot="1" x14ac:dyDescent="0.35">
      <c r="B1408" s="170">
        <v>44543.645833333336</v>
      </c>
      <c r="C1408" s="238">
        <v>4765.8</v>
      </c>
      <c r="D1408" s="241">
        <f t="shared" si="45"/>
        <v>-4.4709702636880275E-2</v>
      </c>
      <c r="E1408" s="241">
        <v>-1.009471585244256E-2</v>
      </c>
      <c r="F1408" s="242">
        <v>1404</v>
      </c>
      <c r="G1408" s="243">
        <f t="shared" ca="1" si="46"/>
        <v>1.2745154281140729E-2</v>
      </c>
    </row>
    <row r="1409" spans="2:7" ht="15" thickBot="1" x14ac:dyDescent="0.35">
      <c r="B1409" s="170">
        <v>45488.645833333336</v>
      </c>
      <c r="C1409" s="238">
        <v>4988.8500000000004</v>
      </c>
      <c r="D1409" s="241">
        <f t="shared" si="45"/>
        <v>2.7189980990719</v>
      </c>
      <c r="E1409" s="241">
        <v>-1.0119348790142563E-2</v>
      </c>
      <c r="F1409" s="242">
        <v>1405</v>
      </c>
      <c r="G1409" s="243">
        <f t="shared" ca="1" si="46"/>
        <v>-3.4222498889656438E-4</v>
      </c>
    </row>
    <row r="1410" spans="2:7" ht="15" thickBot="1" x14ac:dyDescent="0.35">
      <c r="B1410" s="170">
        <v>43185.645833333336</v>
      </c>
      <c r="C1410" s="238">
        <v>1341.45</v>
      </c>
      <c r="D1410" s="241">
        <f t="shared" si="45"/>
        <v>-0.62335747978436651</v>
      </c>
      <c r="E1410" s="241">
        <v>-1.0146103896103896E-2</v>
      </c>
      <c r="F1410" s="242">
        <v>1406</v>
      </c>
      <c r="G1410" s="243">
        <f t="shared" ca="1" si="46"/>
        <v>8.4230267325190993E-3</v>
      </c>
    </row>
    <row r="1411" spans="2:7" ht="15" thickBot="1" x14ac:dyDescent="0.35">
      <c r="B1411" s="170">
        <v>45679.645833333336</v>
      </c>
      <c r="C1411" s="238">
        <v>3561.6</v>
      </c>
      <c r="D1411" s="241">
        <f t="shared" si="45"/>
        <v>0.82025400557074579</v>
      </c>
      <c r="E1411" s="241">
        <v>-1.0213014298220018E-2</v>
      </c>
      <c r="F1411" s="242">
        <v>1407</v>
      </c>
      <c r="G1411" s="243">
        <f t="shared" ca="1" si="46"/>
        <v>2.9293260933049032E-2</v>
      </c>
    </row>
    <row r="1412" spans="2:7" ht="15" thickBot="1" x14ac:dyDescent="0.35">
      <c r="B1412" s="170">
        <v>43773.645833333336</v>
      </c>
      <c r="C1412" s="238">
        <v>1956.65</v>
      </c>
      <c r="D1412" s="241">
        <f t="shared" si="45"/>
        <v>0.51308819549162898</v>
      </c>
      <c r="E1412" s="241">
        <v>-1.0218276551078645E-2</v>
      </c>
      <c r="F1412" s="242">
        <v>1408</v>
      </c>
      <c r="G1412" s="243">
        <f t="shared" ca="1" si="46"/>
        <v>-4.0986959910466858E-2</v>
      </c>
    </row>
    <row r="1413" spans="2:7" ht="15" thickBot="1" x14ac:dyDescent="0.35">
      <c r="B1413" s="170">
        <v>43167.645833333336</v>
      </c>
      <c r="C1413" s="238">
        <v>1293.1500000000001</v>
      </c>
      <c r="D1413" s="241">
        <f t="shared" ref="D1413:D1476" si="47">(C1413-C1414)/C1414</f>
        <v>-0.74203297525359824</v>
      </c>
      <c r="E1413" s="241">
        <v>-1.0256017756687356E-2</v>
      </c>
      <c r="F1413" s="242">
        <v>1409</v>
      </c>
      <c r="G1413" s="243">
        <f t="shared" ca="1" si="46"/>
        <v>-3.557497476999699E-4</v>
      </c>
    </row>
    <row r="1414" spans="2:7" ht="15" thickBot="1" x14ac:dyDescent="0.35">
      <c r="B1414" s="170">
        <v>45495.645833333336</v>
      </c>
      <c r="C1414" s="238">
        <v>5012.8500000000004</v>
      </c>
      <c r="D1414" s="241">
        <f t="shared" si="47"/>
        <v>0.34975362826139644</v>
      </c>
      <c r="E1414" s="241">
        <v>-1.0344997778984184E-2</v>
      </c>
      <c r="F1414" s="242">
        <v>1410</v>
      </c>
      <c r="G1414" s="243">
        <f t="shared" ref="G1414:G1477" ca="1" si="48">_xlfn.NORM.INV(RAND(),$M$7,$M$8)</f>
        <v>-4.3944629970702528E-3</v>
      </c>
    </row>
    <row r="1415" spans="2:7" ht="15" thickBot="1" x14ac:dyDescent="0.35">
      <c r="B1415" s="170">
        <v>45135.645833333336</v>
      </c>
      <c r="C1415" s="238">
        <v>3713.9</v>
      </c>
      <c r="D1415" s="241">
        <f t="shared" si="47"/>
        <v>1.4647597557738257</v>
      </c>
      <c r="E1415" s="241">
        <v>-1.036559369004479E-2</v>
      </c>
      <c r="F1415" s="242">
        <v>1411</v>
      </c>
      <c r="G1415" s="243">
        <f t="shared" ca="1" si="48"/>
        <v>3.2833875934893203E-2</v>
      </c>
    </row>
    <row r="1416" spans="2:7" ht="15" thickBot="1" x14ac:dyDescent="0.35">
      <c r="B1416" s="170">
        <v>43354.645833333336</v>
      </c>
      <c r="C1416" s="238">
        <v>1506.8</v>
      </c>
      <c r="D1416" s="241">
        <f t="shared" si="47"/>
        <v>0.16184748245816938</v>
      </c>
      <c r="E1416" s="241">
        <v>-1.0376986733219464E-2</v>
      </c>
      <c r="F1416" s="242">
        <v>1412</v>
      </c>
      <c r="G1416" s="243">
        <f t="shared" ca="1" si="48"/>
        <v>1.6716008816683291E-2</v>
      </c>
    </row>
    <row r="1417" spans="2:7" ht="15" thickBot="1" x14ac:dyDescent="0.35">
      <c r="B1417" s="170">
        <v>43627.645833333336</v>
      </c>
      <c r="C1417" s="238">
        <v>1296.9000000000001</v>
      </c>
      <c r="D1417" s="241">
        <f t="shared" si="47"/>
        <v>0.1126935781390761</v>
      </c>
      <c r="E1417" s="241">
        <v>-1.0377718428080815E-2</v>
      </c>
      <c r="F1417" s="242">
        <v>1413</v>
      </c>
      <c r="G1417" s="243">
        <f t="shared" ca="1" si="48"/>
        <v>-4.9757219120536475E-2</v>
      </c>
    </row>
    <row r="1418" spans="2:7" ht="15" thickBot="1" x14ac:dyDescent="0.35">
      <c r="B1418" s="170">
        <v>43139.645833333336</v>
      </c>
      <c r="C1418" s="238">
        <v>1165.55</v>
      </c>
      <c r="D1418" s="241">
        <f t="shared" si="47"/>
        <v>-0.67811822537661726</v>
      </c>
      <c r="E1418" s="241">
        <v>-1.0400747155714044E-2</v>
      </c>
      <c r="F1418" s="242">
        <v>1414</v>
      </c>
      <c r="G1418" s="243">
        <f t="shared" ca="1" si="48"/>
        <v>-4.6045909133844987E-2</v>
      </c>
    </row>
    <row r="1419" spans="2:7" ht="15" thickBot="1" x14ac:dyDescent="0.35">
      <c r="B1419" s="170">
        <v>45621.645833333336</v>
      </c>
      <c r="C1419" s="238">
        <v>3621.05</v>
      </c>
      <c r="D1419" s="241">
        <f t="shared" si="47"/>
        <v>-9.7917341371664815E-2</v>
      </c>
      <c r="E1419" s="241">
        <v>-1.0412254212043755E-2</v>
      </c>
      <c r="F1419" s="242">
        <v>1415</v>
      </c>
      <c r="G1419" s="243">
        <f t="shared" ca="1" si="48"/>
        <v>1.9127181218085668E-2</v>
      </c>
    </row>
    <row r="1420" spans="2:7" ht="15" thickBot="1" x14ac:dyDescent="0.35">
      <c r="B1420" s="170">
        <v>45370.645833333336</v>
      </c>
      <c r="C1420" s="238">
        <v>4014.1</v>
      </c>
      <c r="D1420" s="241">
        <f t="shared" si="47"/>
        <v>1.7558957811266351</v>
      </c>
      <c r="E1420" s="241">
        <v>-1.0415767870129549E-2</v>
      </c>
      <c r="F1420" s="242">
        <v>1416</v>
      </c>
      <c r="G1420" s="243">
        <f t="shared" ca="1" si="48"/>
        <v>-2.9089547519350986E-2</v>
      </c>
    </row>
    <row r="1421" spans="2:7" ht="15" thickBot="1" x14ac:dyDescent="0.35">
      <c r="B1421" s="170">
        <v>43525.645833333336</v>
      </c>
      <c r="C1421" s="238">
        <v>1456.55</v>
      </c>
      <c r="D1421" s="241">
        <f t="shared" si="47"/>
        <v>-0.20154040127179043</v>
      </c>
      <c r="E1421" s="241">
        <v>-1.0462311899181419E-2</v>
      </c>
      <c r="F1421" s="242">
        <v>1417</v>
      </c>
      <c r="G1421" s="243">
        <f t="shared" ca="1" si="48"/>
        <v>1.536831322712647E-2</v>
      </c>
    </row>
    <row r="1422" spans="2:7" ht="15" thickBot="1" x14ac:dyDescent="0.35">
      <c r="B1422" s="170">
        <v>43832.645833333336</v>
      </c>
      <c r="C1422" s="238">
        <v>1824.2</v>
      </c>
      <c r="D1422" s="241">
        <f t="shared" si="47"/>
        <v>-0.59265338022665104</v>
      </c>
      <c r="E1422" s="241">
        <v>-1.0496053809226715E-2</v>
      </c>
      <c r="F1422" s="242">
        <v>1418</v>
      </c>
      <c r="G1422" s="243">
        <f t="shared" ca="1" si="48"/>
        <v>-1.5945785697215411E-2</v>
      </c>
    </row>
    <row r="1423" spans="2:7" ht="15" thickBot="1" x14ac:dyDescent="0.35">
      <c r="B1423" s="170">
        <v>44818.645833333336</v>
      </c>
      <c r="C1423" s="238">
        <v>4478.25</v>
      </c>
      <c r="D1423" s="241">
        <f t="shared" si="47"/>
        <v>0.15319247556877441</v>
      </c>
      <c r="E1423" s="241">
        <v>-1.0517361379630425E-2</v>
      </c>
      <c r="F1423" s="242">
        <v>1419</v>
      </c>
      <c r="G1423" s="243">
        <f t="shared" ca="1" si="48"/>
        <v>8.5180629405646816E-3</v>
      </c>
    </row>
    <row r="1424" spans="2:7" ht="15" thickBot="1" x14ac:dyDescent="0.35">
      <c r="B1424" s="170">
        <v>44755.645833333336</v>
      </c>
      <c r="C1424" s="238">
        <v>3883.35</v>
      </c>
      <c r="D1424" s="241">
        <f t="shared" si="47"/>
        <v>1.5515621406747919</v>
      </c>
      <c r="E1424" s="241">
        <v>-1.0573652496273744E-2</v>
      </c>
      <c r="F1424" s="242">
        <v>1420</v>
      </c>
      <c r="G1424" s="243">
        <f t="shared" ca="1" si="48"/>
        <v>-6.3490072827073157E-4</v>
      </c>
    </row>
    <row r="1425" spans="2:7" ht="15" thickBot="1" x14ac:dyDescent="0.35">
      <c r="B1425" s="170">
        <v>43284.645833333336</v>
      </c>
      <c r="C1425" s="238">
        <v>1521.95</v>
      </c>
      <c r="D1425" s="241">
        <f t="shared" si="47"/>
        <v>-0.24618623080733035</v>
      </c>
      <c r="E1425" s="241">
        <v>-1.0628616004680432E-2</v>
      </c>
      <c r="F1425" s="242">
        <v>1421</v>
      </c>
      <c r="G1425" s="243">
        <f t="shared" ca="1" si="48"/>
        <v>-7.8217318742375454E-3</v>
      </c>
    </row>
    <row r="1426" spans="2:7" ht="15" thickBot="1" x14ac:dyDescent="0.35">
      <c r="B1426" s="170">
        <v>44032.645833333336</v>
      </c>
      <c r="C1426" s="238">
        <v>2019</v>
      </c>
      <c r="D1426" s="241">
        <f t="shared" si="47"/>
        <v>-0.43831634001474457</v>
      </c>
      <c r="E1426" s="241">
        <v>-1.0682085456683631E-2</v>
      </c>
      <c r="F1426" s="242">
        <v>1422</v>
      </c>
      <c r="G1426" s="243">
        <f t="shared" ca="1" si="48"/>
        <v>3.8753585495827435E-2</v>
      </c>
    </row>
    <row r="1427" spans="2:7" ht="15" thickBot="1" x14ac:dyDescent="0.35">
      <c r="B1427" s="170">
        <v>44421.645833333336</v>
      </c>
      <c r="C1427" s="238">
        <v>3594.55</v>
      </c>
      <c r="D1427" s="241">
        <f t="shared" si="47"/>
        <v>1.6721305382099318</v>
      </c>
      <c r="E1427" s="241">
        <v>-1.0719691757258792E-2</v>
      </c>
      <c r="F1427" s="242">
        <v>1423</v>
      </c>
      <c r="G1427" s="243">
        <f t="shared" ca="1" si="48"/>
        <v>-2.0806097840948864E-3</v>
      </c>
    </row>
    <row r="1428" spans="2:7" ht="15" thickBot="1" x14ac:dyDescent="0.35">
      <c r="B1428" s="170">
        <v>43173.645833333336</v>
      </c>
      <c r="C1428" s="238">
        <v>1345.2</v>
      </c>
      <c r="D1428" s="241">
        <f t="shared" si="47"/>
        <v>-0.42499305392293052</v>
      </c>
      <c r="E1428" s="241">
        <v>-1.0736873069568987E-2</v>
      </c>
      <c r="F1428" s="242">
        <v>1424</v>
      </c>
      <c r="G1428" s="243">
        <f t="shared" ca="1" si="48"/>
        <v>-1.6514276978928721E-2</v>
      </c>
    </row>
    <row r="1429" spans="2:7" ht="15" thickBot="1" x14ac:dyDescent="0.35">
      <c r="B1429" s="170">
        <v>43878.645833333336</v>
      </c>
      <c r="C1429" s="238">
        <v>2339.4499999999998</v>
      </c>
      <c r="D1429" s="241">
        <f t="shared" si="47"/>
        <v>-0.37118320610687028</v>
      </c>
      <c r="E1429" s="241">
        <v>-1.0761554399763319E-2</v>
      </c>
      <c r="F1429" s="242">
        <v>1425</v>
      </c>
      <c r="G1429" s="243">
        <f t="shared" ca="1" si="48"/>
        <v>7.1089473948411233E-3</v>
      </c>
    </row>
    <row r="1430" spans="2:7" ht="15" thickBot="1" x14ac:dyDescent="0.35">
      <c r="B1430" s="170">
        <v>45169.645833333336</v>
      </c>
      <c r="C1430" s="238">
        <v>3720.4</v>
      </c>
      <c r="D1430" s="241">
        <f t="shared" si="47"/>
        <v>-0.29849437630221831</v>
      </c>
      <c r="E1430" s="241">
        <v>-1.0808151978835721E-2</v>
      </c>
      <c r="F1430" s="242">
        <v>1426</v>
      </c>
      <c r="G1430" s="243">
        <f t="shared" ca="1" si="48"/>
        <v>5.5841833295107593E-3</v>
      </c>
    </row>
    <row r="1431" spans="2:7" ht="15" thickBot="1" x14ac:dyDescent="0.35">
      <c r="B1431" s="170">
        <v>45541.645833333336</v>
      </c>
      <c r="C1431" s="238">
        <v>5303.45</v>
      </c>
      <c r="D1431" s="241">
        <f t="shared" si="47"/>
        <v>0.23274409306974425</v>
      </c>
      <c r="E1431" s="241">
        <v>-1.0808743984780062E-2</v>
      </c>
      <c r="F1431" s="242">
        <v>1427</v>
      </c>
      <c r="G1431" s="243">
        <f t="shared" ca="1" si="48"/>
        <v>2.0779612474241611E-2</v>
      </c>
    </row>
    <row r="1432" spans="2:7" ht="15" thickBot="1" x14ac:dyDescent="0.35">
      <c r="B1432" s="170">
        <v>45443.645833333336</v>
      </c>
      <c r="C1432" s="238">
        <v>4302.1499999999996</v>
      </c>
      <c r="D1432" s="241">
        <f t="shared" si="47"/>
        <v>2.14484649122807</v>
      </c>
      <c r="E1432" s="241">
        <v>-1.0852196305195195E-2</v>
      </c>
      <c r="F1432" s="242">
        <v>1428</v>
      </c>
      <c r="G1432" s="243">
        <f t="shared" ca="1" si="48"/>
        <v>2.8949007252935349E-2</v>
      </c>
    </row>
    <row r="1433" spans="2:7" ht="15" thickBot="1" x14ac:dyDescent="0.35">
      <c r="B1433" s="170">
        <v>43482.645833333336</v>
      </c>
      <c r="C1433" s="238">
        <v>1368</v>
      </c>
      <c r="D1433" s="241">
        <f t="shared" si="47"/>
        <v>-8.5958640964821489E-2</v>
      </c>
      <c r="E1433" s="241">
        <v>-1.0881746863815447E-2</v>
      </c>
      <c r="F1433" s="242">
        <v>1429</v>
      </c>
      <c r="G1433" s="243">
        <f t="shared" ca="1" si="48"/>
        <v>1.9871183771808881E-2</v>
      </c>
    </row>
    <row r="1434" spans="2:7" ht="15" thickBot="1" x14ac:dyDescent="0.35">
      <c r="B1434" s="170">
        <v>43440.645833333336</v>
      </c>
      <c r="C1434" s="238">
        <v>1496.65</v>
      </c>
      <c r="D1434" s="241">
        <f t="shared" si="47"/>
        <v>6.7472629364145456E-2</v>
      </c>
      <c r="E1434" s="241">
        <v>-1.0904404718633314E-2</v>
      </c>
      <c r="F1434" s="242">
        <v>1430</v>
      </c>
      <c r="G1434" s="243">
        <f t="shared" ca="1" si="48"/>
        <v>-1.8033133755940223E-2</v>
      </c>
    </row>
    <row r="1435" spans="2:7" ht="15" thickBot="1" x14ac:dyDescent="0.35">
      <c r="B1435" s="170">
        <v>43665.645833333336</v>
      </c>
      <c r="C1435" s="238">
        <v>1402.05</v>
      </c>
      <c r="D1435" s="241">
        <f t="shared" si="47"/>
        <v>-0.34227007247906555</v>
      </c>
      <c r="E1435" s="241">
        <v>-1.0934358576417058E-2</v>
      </c>
      <c r="F1435" s="242">
        <v>1431</v>
      </c>
      <c r="G1435" s="243">
        <f t="shared" ca="1" si="48"/>
        <v>1.1718669719712584E-2</v>
      </c>
    </row>
    <row r="1436" spans="2:7" ht="15" thickBot="1" x14ac:dyDescent="0.35">
      <c r="B1436" s="170">
        <v>43864.645833333336</v>
      </c>
      <c r="C1436" s="238">
        <v>2131.65</v>
      </c>
      <c r="D1436" s="241">
        <f t="shared" si="47"/>
        <v>-0.49925416084285695</v>
      </c>
      <c r="E1436" s="241">
        <v>-1.0972950401336282E-2</v>
      </c>
      <c r="F1436" s="242">
        <v>1432</v>
      </c>
      <c r="G1436" s="243">
        <f t="shared" ca="1" si="48"/>
        <v>-1.0286185064693359E-3</v>
      </c>
    </row>
    <row r="1437" spans="2:7" ht="15" thickBot="1" x14ac:dyDescent="0.35">
      <c r="B1437" s="170">
        <v>44796.645833333336</v>
      </c>
      <c r="C1437" s="238">
        <v>4256.95</v>
      </c>
      <c r="D1437" s="241">
        <f t="shared" si="47"/>
        <v>-3.5109987873567901E-2</v>
      </c>
      <c r="E1437" s="241">
        <v>-1.0989138642039887E-2</v>
      </c>
      <c r="F1437" s="242">
        <v>1433</v>
      </c>
      <c r="G1437" s="243">
        <f t="shared" ca="1" si="48"/>
        <v>-1.8918974169821273E-2</v>
      </c>
    </row>
    <row r="1438" spans="2:7" ht="15" thickBot="1" x14ac:dyDescent="0.35">
      <c r="B1438" s="170">
        <v>45384.645833333336</v>
      </c>
      <c r="C1438" s="238">
        <v>4411.8500000000004</v>
      </c>
      <c r="D1438" s="241">
        <f t="shared" si="47"/>
        <v>1.9256299734748012</v>
      </c>
      <c r="E1438" s="241">
        <v>-1.0995539016790172E-2</v>
      </c>
      <c r="F1438" s="242">
        <v>1434</v>
      </c>
      <c r="G1438" s="243">
        <f t="shared" ca="1" si="48"/>
        <v>-9.0314032438779338E-3</v>
      </c>
    </row>
    <row r="1439" spans="2:7" ht="15" thickBot="1" x14ac:dyDescent="0.35">
      <c r="B1439" s="170">
        <v>43711.645833333336</v>
      </c>
      <c r="C1439" s="238">
        <v>1508</v>
      </c>
      <c r="D1439" s="241">
        <f t="shared" si="47"/>
        <v>-0.5643633002079963</v>
      </c>
      <c r="E1439" s="241">
        <v>-1.1050267239400538E-2</v>
      </c>
      <c r="F1439" s="242">
        <v>1435</v>
      </c>
      <c r="G1439" s="243">
        <f t="shared" ca="1" si="48"/>
        <v>-2.6273289904464297E-2</v>
      </c>
    </row>
    <row r="1440" spans="2:7" ht="15" thickBot="1" x14ac:dyDescent="0.35">
      <c r="B1440" s="170">
        <v>45042.645833333336</v>
      </c>
      <c r="C1440" s="238">
        <v>3461.6</v>
      </c>
      <c r="D1440" s="241">
        <f t="shared" si="47"/>
        <v>1.3299454802450021</v>
      </c>
      <c r="E1440" s="241">
        <v>-1.1197440585009218E-2</v>
      </c>
      <c r="F1440" s="242">
        <v>1436</v>
      </c>
      <c r="G1440" s="243">
        <f t="shared" ca="1" si="48"/>
        <v>-1.0173480455376017E-2</v>
      </c>
    </row>
    <row r="1441" spans="2:7" ht="15" thickBot="1" x14ac:dyDescent="0.35">
      <c r="B1441" s="170">
        <v>43438.645833333336</v>
      </c>
      <c r="C1441" s="238">
        <v>1485.7</v>
      </c>
      <c r="D1441" s="241">
        <f t="shared" si="47"/>
        <v>-0.27178707969806881</v>
      </c>
      <c r="E1441" s="241">
        <v>-1.1214269075904237E-2</v>
      </c>
      <c r="F1441" s="242">
        <v>1437</v>
      </c>
      <c r="G1441" s="243">
        <f t="shared" ca="1" si="48"/>
        <v>6.4188900071710216E-3</v>
      </c>
    </row>
    <row r="1442" spans="2:7" ht="15" thickBot="1" x14ac:dyDescent="0.35">
      <c r="B1442" s="170">
        <v>44042.645833333336</v>
      </c>
      <c r="C1442" s="238">
        <v>2040.2</v>
      </c>
      <c r="D1442" s="241">
        <f t="shared" si="47"/>
        <v>-0.56300001070973404</v>
      </c>
      <c r="E1442" s="241">
        <v>-1.1267537376723339E-2</v>
      </c>
      <c r="F1442" s="242">
        <v>1438</v>
      </c>
      <c r="G1442" s="243">
        <f t="shared" ca="1" si="48"/>
        <v>-4.281958134215327E-3</v>
      </c>
    </row>
    <row r="1443" spans="2:7" ht="15" thickBot="1" x14ac:dyDescent="0.35">
      <c r="B1443" s="170">
        <v>44557.645833333336</v>
      </c>
      <c r="C1443" s="238">
        <v>4668.6499999999996</v>
      </c>
      <c r="D1443" s="241">
        <f t="shared" si="47"/>
        <v>1.0022086415782137</v>
      </c>
      <c r="E1443" s="241">
        <v>-1.1287709526784524E-2</v>
      </c>
      <c r="F1443" s="242">
        <v>1439</v>
      </c>
      <c r="G1443" s="243">
        <f t="shared" ca="1" si="48"/>
        <v>8.2762411587539511E-3</v>
      </c>
    </row>
    <row r="1444" spans="2:7" ht="15" thickBot="1" x14ac:dyDescent="0.35">
      <c r="B1444" s="170">
        <v>43886.645833333336</v>
      </c>
      <c r="C1444" s="238">
        <v>2331.75</v>
      </c>
      <c r="D1444" s="241">
        <f t="shared" si="47"/>
        <v>1.7809205787991961E-2</v>
      </c>
      <c r="E1444" s="241">
        <v>-1.1300033921302617E-2</v>
      </c>
      <c r="F1444" s="242">
        <v>1440</v>
      </c>
      <c r="G1444" s="243">
        <f t="shared" ca="1" si="48"/>
        <v>-1.6118909672622226E-2</v>
      </c>
    </row>
    <row r="1445" spans="2:7" ht="15" thickBot="1" x14ac:dyDescent="0.35">
      <c r="B1445" s="170">
        <v>44011.645833333336</v>
      </c>
      <c r="C1445" s="238">
        <v>2290.9499999999998</v>
      </c>
      <c r="D1445" s="241">
        <f t="shared" si="47"/>
        <v>-0.42853401182369233</v>
      </c>
      <c r="E1445" s="241">
        <v>-1.1306993504952321E-2</v>
      </c>
      <c r="F1445" s="242">
        <v>1441</v>
      </c>
      <c r="G1445" s="243">
        <f t="shared" ca="1" si="48"/>
        <v>1.5039174617239425E-2</v>
      </c>
    </row>
    <row r="1446" spans="2:7" ht="15" thickBot="1" x14ac:dyDescent="0.35">
      <c r="B1446" s="170">
        <v>44670.645833333336</v>
      </c>
      <c r="C1446" s="238">
        <v>4008.9</v>
      </c>
      <c r="D1446" s="241">
        <f t="shared" si="47"/>
        <v>1.7048481619605822E-2</v>
      </c>
      <c r="E1446" s="241">
        <v>-1.1319917135247137E-2</v>
      </c>
      <c r="F1446" s="242">
        <v>1442</v>
      </c>
      <c r="G1446" s="243">
        <f t="shared" ca="1" si="48"/>
        <v>-1.0835263113859968E-2</v>
      </c>
    </row>
    <row r="1447" spans="2:7" ht="15" thickBot="1" x14ac:dyDescent="0.35">
      <c r="B1447" s="170">
        <v>44750.645833333336</v>
      </c>
      <c r="C1447" s="238">
        <v>3941.7</v>
      </c>
      <c r="D1447" s="241">
        <f t="shared" si="47"/>
        <v>1.0599425137183172</v>
      </c>
      <c r="E1447" s="241">
        <v>-1.1324730050039528E-2</v>
      </c>
      <c r="F1447" s="242">
        <v>1443</v>
      </c>
      <c r="G1447" s="243">
        <f t="shared" ca="1" si="48"/>
        <v>-1.6383653602873052E-2</v>
      </c>
    </row>
    <row r="1448" spans="2:7" ht="15" thickBot="1" x14ac:dyDescent="0.35">
      <c r="B1448" s="170">
        <v>43817.645833333336</v>
      </c>
      <c r="C1448" s="238">
        <v>1913.5</v>
      </c>
      <c r="D1448" s="241">
        <f t="shared" si="47"/>
        <v>-0.53930420127603229</v>
      </c>
      <c r="E1448" s="241">
        <v>-1.1417648274436821E-2</v>
      </c>
      <c r="F1448" s="242">
        <v>1444</v>
      </c>
      <c r="G1448" s="243">
        <f t="shared" ca="1" si="48"/>
        <v>1.8988128088124806E-2</v>
      </c>
    </row>
    <row r="1449" spans="2:7" ht="15" thickBot="1" x14ac:dyDescent="0.35">
      <c r="B1449" s="170">
        <v>45813.645833333336</v>
      </c>
      <c r="C1449" s="239">
        <v>4153.5</v>
      </c>
      <c r="D1449" s="241">
        <f t="shared" si="47"/>
        <v>-0.17315310652360005</v>
      </c>
      <c r="E1449" s="241">
        <v>-1.1448019801980283E-2</v>
      </c>
      <c r="F1449" s="242">
        <v>1445</v>
      </c>
      <c r="G1449" s="243">
        <f t="shared" ca="1" si="48"/>
        <v>7.7709514626055675E-3</v>
      </c>
    </row>
    <row r="1450" spans="2:7" ht="15" thickBot="1" x14ac:dyDescent="0.35">
      <c r="B1450" s="170">
        <v>44515.645833333336</v>
      </c>
      <c r="C1450" s="238">
        <v>5023.3</v>
      </c>
      <c r="D1450" s="241">
        <f t="shared" si="47"/>
        <v>8.7470909779726186E-2</v>
      </c>
      <c r="E1450" s="241">
        <v>-1.145331103020758E-2</v>
      </c>
      <c r="F1450" s="242">
        <v>1446</v>
      </c>
      <c r="G1450" s="243">
        <f t="shared" ca="1" si="48"/>
        <v>-1.6676036273738482E-2</v>
      </c>
    </row>
    <row r="1451" spans="2:7" ht="15" thickBot="1" x14ac:dyDescent="0.35">
      <c r="B1451" s="170">
        <v>45387.645833333336</v>
      </c>
      <c r="C1451" s="238">
        <v>4619.25</v>
      </c>
      <c r="D1451" s="241">
        <f t="shared" si="47"/>
        <v>0.32771406398206437</v>
      </c>
      <c r="E1451" s="241">
        <v>-1.1459938366718067E-2</v>
      </c>
      <c r="F1451" s="242">
        <v>1447</v>
      </c>
      <c r="G1451" s="243">
        <f t="shared" ca="1" si="48"/>
        <v>-2.1699292897060952E-2</v>
      </c>
    </row>
    <row r="1452" spans="2:7" ht="15" thickBot="1" x14ac:dyDescent="0.35">
      <c r="B1452" s="170">
        <v>44732.645833333336</v>
      </c>
      <c r="C1452" s="238">
        <v>3479.1</v>
      </c>
      <c r="D1452" s="241">
        <f t="shared" si="47"/>
        <v>0.85033905065815707</v>
      </c>
      <c r="E1452" s="241">
        <v>-1.1492946541461343E-2</v>
      </c>
      <c r="F1452" s="242">
        <v>1448</v>
      </c>
      <c r="G1452" s="243">
        <f t="shared" ca="1" si="48"/>
        <v>-1.8056420831945655E-3</v>
      </c>
    </row>
    <row r="1453" spans="2:7" ht="15" thickBot="1" x14ac:dyDescent="0.35">
      <c r="B1453" s="170">
        <v>43732.645833333336</v>
      </c>
      <c r="C1453" s="238">
        <v>1880.25</v>
      </c>
      <c r="D1453" s="241">
        <f t="shared" si="47"/>
        <v>-0.48226012969311471</v>
      </c>
      <c r="E1453" s="241">
        <v>-1.1539270318578512E-2</v>
      </c>
      <c r="F1453" s="242">
        <v>1449</v>
      </c>
      <c r="G1453" s="243">
        <f t="shared" ca="1" si="48"/>
        <v>3.6658899115175106E-3</v>
      </c>
    </row>
    <row r="1454" spans="2:7" ht="15" thickBot="1" x14ac:dyDescent="0.35">
      <c r="B1454" s="170">
        <v>45727.645833333336</v>
      </c>
      <c r="C1454" s="238">
        <v>3631.65</v>
      </c>
      <c r="D1454" s="241">
        <f t="shared" si="47"/>
        <v>-0.2642449781703623</v>
      </c>
      <c r="E1454" s="241">
        <v>-1.1580752272603486E-2</v>
      </c>
      <c r="F1454" s="242">
        <v>1450</v>
      </c>
      <c r="G1454" s="243">
        <f t="shared" ca="1" si="48"/>
        <v>8.08552027610864E-3</v>
      </c>
    </row>
    <row r="1455" spans="2:7" ht="15" thickBot="1" x14ac:dyDescent="0.35">
      <c r="B1455" s="170">
        <v>45504.645833333336</v>
      </c>
      <c r="C1455" s="238">
        <v>4935.95</v>
      </c>
      <c r="D1455" s="241">
        <f t="shared" si="47"/>
        <v>0.24090554843251127</v>
      </c>
      <c r="E1455" s="241">
        <v>-1.15843646121191E-2</v>
      </c>
      <c r="F1455" s="242">
        <v>1451</v>
      </c>
      <c r="G1455" s="243">
        <f t="shared" ca="1" si="48"/>
        <v>4.0448489451192762E-4</v>
      </c>
    </row>
    <row r="1456" spans="2:7" ht="15" thickBot="1" x14ac:dyDescent="0.35">
      <c r="B1456" s="170">
        <v>44678.645833333336</v>
      </c>
      <c r="C1456" s="238">
        <v>3977.7</v>
      </c>
      <c r="D1456" s="241">
        <f t="shared" si="47"/>
        <v>0.8865964712578257</v>
      </c>
      <c r="E1456" s="241">
        <v>-1.1641053036985592E-2</v>
      </c>
      <c r="F1456" s="242">
        <v>1452</v>
      </c>
      <c r="G1456" s="243">
        <f t="shared" ca="1" si="48"/>
        <v>-5.0744809282036677E-3</v>
      </c>
    </row>
    <row r="1457" spans="2:7" ht="15" thickBot="1" x14ac:dyDescent="0.35">
      <c r="B1457" s="170">
        <v>44102.645833333336</v>
      </c>
      <c r="C1457" s="238">
        <v>2108.4</v>
      </c>
      <c r="D1457" s="241">
        <f t="shared" si="47"/>
        <v>-0.56984596552075895</v>
      </c>
      <c r="E1457" s="241">
        <v>-1.16488925348646E-2</v>
      </c>
      <c r="F1457" s="242">
        <v>1453</v>
      </c>
      <c r="G1457" s="243">
        <f t="shared" ca="1" si="48"/>
        <v>1.1435552404434689E-2</v>
      </c>
    </row>
    <row r="1458" spans="2:7" ht="15" thickBot="1" x14ac:dyDescent="0.35">
      <c r="B1458" s="170">
        <v>45527.645833333336</v>
      </c>
      <c r="C1458" s="238">
        <v>4901.5</v>
      </c>
      <c r="D1458" s="241">
        <f t="shared" si="47"/>
        <v>3.1286219676549867</v>
      </c>
      <c r="E1458" s="241">
        <v>-1.1674799370891567E-2</v>
      </c>
      <c r="F1458" s="242">
        <v>1454</v>
      </c>
      <c r="G1458" s="243">
        <f t="shared" ca="1" si="48"/>
        <v>3.4887976963777066E-2</v>
      </c>
    </row>
    <row r="1459" spans="2:7" ht="15" thickBot="1" x14ac:dyDescent="0.35">
      <c r="B1459" s="170">
        <v>43143.645833333336</v>
      </c>
      <c r="C1459" s="238">
        <v>1187.2</v>
      </c>
      <c r="D1459" s="241">
        <f t="shared" si="47"/>
        <v>-0.3481758036621187</v>
      </c>
      <c r="E1459" s="241">
        <v>-1.1819543865490298E-2</v>
      </c>
      <c r="F1459" s="242">
        <v>1455</v>
      </c>
      <c r="G1459" s="243">
        <f t="shared" ca="1" si="48"/>
        <v>-1.2527848768298355E-2</v>
      </c>
    </row>
    <row r="1460" spans="2:7" ht="15" thickBot="1" x14ac:dyDescent="0.35">
      <c r="B1460" s="170">
        <v>43748.645833333336</v>
      </c>
      <c r="C1460" s="238">
        <v>1821.35</v>
      </c>
      <c r="D1460" s="241">
        <f t="shared" si="47"/>
        <v>-0.18696991340058922</v>
      </c>
      <c r="E1460" s="241">
        <v>-1.1854383680555629E-2</v>
      </c>
      <c r="F1460" s="242">
        <v>1456</v>
      </c>
      <c r="G1460" s="243">
        <f t="shared" ca="1" si="48"/>
        <v>-9.9973533949579783E-3</v>
      </c>
    </row>
    <row r="1461" spans="2:7" ht="15" thickBot="1" x14ac:dyDescent="0.35">
      <c r="B1461" s="170">
        <v>44132.645833333336</v>
      </c>
      <c r="C1461" s="238">
        <v>2240.1999999999998</v>
      </c>
      <c r="D1461" s="241">
        <f t="shared" si="47"/>
        <v>-0.51268748436497324</v>
      </c>
      <c r="E1461" s="241">
        <v>-1.1865378677605792E-2</v>
      </c>
      <c r="F1461" s="242">
        <v>1457</v>
      </c>
      <c r="G1461" s="243">
        <f t="shared" ca="1" si="48"/>
        <v>-4.4579866851028544E-3</v>
      </c>
    </row>
    <row r="1462" spans="2:7" ht="15" thickBot="1" x14ac:dyDescent="0.35">
      <c r="B1462" s="170">
        <v>45426.645833333336</v>
      </c>
      <c r="C1462" s="238">
        <v>4597.05</v>
      </c>
      <c r="D1462" s="241">
        <f t="shared" si="47"/>
        <v>0.89436271479787388</v>
      </c>
      <c r="E1462" s="241">
        <v>-1.1907704542767711E-2</v>
      </c>
      <c r="F1462" s="242">
        <v>1458</v>
      </c>
      <c r="G1462" s="243">
        <f t="shared" ca="1" si="48"/>
        <v>-3.8774880970074144E-2</v>
      </c>
    </row>
    <row r="1463" spans="2:7" ht="15" thickBot="1" x14ac:dyDescent="0.35">
      <c r="B1463" s="170">
        <v>44166.645833333336</v>
      </c>
      <c r="C1463" s="238">
        <v>2426.6999999999998</v>
      </c>
      <c r="D1463" s="241">
        <f t="shared" si="47"/>
        <v>-0.11592407737986822</v>
      </c>
      <c r="E1463" s="241">
        <v>-1.1929967426710172E-2</v>
      </c>
      <c r="F1463" s="242">
        <v>1459</v>
      </c>
      <c r="G1463" s="243">
        <f t="shared" ca="1" si="48"/>
        <v>3.0616142092018458E-2</v>
      </c>
    </row>
    <row r="1464" spans="2:7" ht="15" thickBot="1" x14ac:dyDescent="0.35">
      <c r="B1464" s="170">
        <v>44214.645833333336</v>
      </c>
      <c r="C1464" s="238">
        <v>2744.9</v>
      </c>
      <c r="D1464" s="241">
        <f t="shared" si="47"/>
        <v>-0.44662621212426667</v>
      </c>
      <c r="E1464" s="241">
        <v>-1.2057299164987042E-2</v>
      </c>
      <c r="F1464" s="242">
        <v>1460</v>
      </c>
      <c r="G1464" s="243">
        <f t="shared" ca="1" si="48"/>
        <v>-3.5418220377791605E-3</v>
      </c>
    </row>
    <row r="1465" spans="2:7" ht="15" thickBot="1" x14ac:dyDescent="0.35">
      <c r="B1465" s="170">
        <v>45518.645833333336</v>
      </c>
      <c r="C1465" s="238">
        <v>4960.3</v>
      </c>
      <c r="D1465" s="241">
        <f t="shared" si="47"/>
        <v>3.0193663398428008</v>
      </c>
      <c r="E1465" s="241">
        <v>-1.214824846155378E-2</v>
      </c>
      <c r="F1465" s="242">
        <v>1461</v>
      </c>
      <c r="G1465" s="243">
        <f t="shared" ca="1" si="48"/>
        <v>8.0470134100384186E-3</v>
      </c>
    </row>
    <row r="1466" spans="2:7" ht="15" thickBot="1" x14ac:dyDescent="0.35">
      <c r="B1466" s="170">
        <v>43109.645833333336</v>
      </c>
      <c r="C1466" s="238">
        <v>1234.0999999999999</v>
      </c>
      <c r="D1466" s="241">
        <f t="shared" si="47"/>
        <v>-0.35880916506468546</v>
      </c>
      <c r="E1466" s="241">
        <v>-1.2166813415512723E-2</v>
      </c>
      <c r="F1466" s="242">
        <v>1462</v>
      </c>
      <c r="G1466" s="243">
        <f t="shared" ca="1" si="48"/>
        <v>-1.5763822093349734E-2</v>
      </c>
    </row>
    <row r="1467" spans="2:7" ht="15" thickBot="1" x14ac:dyDescent="0.35">
      <c r="B1467" s="170">
        <v>43853.645833333336</v>
      </c>
      <c r="C1467" s="238">
        <v>1924.7</v>
      </c>
      <c r="D1467" s="241">
        <f t="shared" si="47"/>
        <v>-0.51272184105926732</v>
      </c>
      <c r="E1467" s="241">
        <v>-1.226521605255048E-2</v>
      </c>
      <c r="F1467" s="242">
        <v>1463</v>
      </c>
      <c r="G1467" s="243">
        <f t="shared" ca="1" si="48"/>
        <v>8.3495984892601582E-3</v>
      </c>
    </row>
    <row r="1468" spans="2:7" ht="15" thickBot="1" x14ac:dyDescent="0.35">
      <c r="B1468" s="170">
        <v>45866.645833333336</v>
      </c>
      <c r="C1468" s="239">
        <v>3949.9</v>
      </c>
      <c r="D1468" s="241">
        <f t="shared" si="47"/>
        <v>0.94950890874093097</v>
      </c>
      <c r="E1468" s="241">
        <v>-1.2278069517379323E-2</v>
      </c>
      <c r="F1468" s="242">
        <v>1464</v>
      </c>
      <c r="G1468" s="243">
        <f t="shared" ca="1" si="48"/>
        <v>2.4154735039544319E-2</v>
      </c>
    </row>
    <row r="1469" spans="2:7" ht="15" thickBot="1" x14ac:dyDescent="0.35">
      <c r="B1469" s="170">
        <v>44039.645833333336</v>
      </c>
      <c r="C1469" s="238">
        <v>2026.1</v>
      </c>
      <c r="D1469" s="241">
        <f t="shared" si="47"/>
        <v>0.32070921061208529</v>
      </c>
      <c r="E1469" s="241">
        <v>-1.2333040850151205E-2</v>
      </c>
      <c r="F1469" s="242">
        <v>1465</v>
      </c>
      <c r="G1469" s="243">
        <f t="shared" ca="1" si="48"/>
        <v>-1.6822124605981828E-2</v>
      </c>
    </row>
    <row r="1470" spans="2:7" ht="15" thickBot="1" x14ac:dyDescent="0.35">
      <c r="B1470" s="170">
        <v>43704.645833333336</v>
      </c>
      <c r="C1470" s="238">
        <v>1534.1</v>
      </c>
      <c r="D1470" s="241">
        <f t="shared" si="47"/>
        <v>-0.62189606516568696</v>
      </c>
      <c r="E1470" s="241">
        <v>-1.2360780274254843E-2</v>
      </c>
      <c r="F1470" s="242">
        <v>1466</v>
      </c>
      <c r="G1470" s="243">
        <f t="shared" ca="1" si="48"/>
        <v>-4.5022208954862784E-3</v>
      </c>
    </row>
    <row r="1471" spans="2:7" ht="15" thickBot="1" x14ac:dyDescent="0.35">
      <c r="B1471" s="170">
        <v>44907.645833333336</v>
      </c>
      <c r="C1471" s="238">
        <v>4057.35</v>
      </c>
      <c r="D1471" s="241">
        <f t="shared" si="47"/>
        <v>-0.13434889749415949</v>
      </c>
      <c r="E1471" s="241">
        <v>-1.2557952761654416E-2</v>
      </c>
      <c r="F1471" s="242">
        <v>1467</v>
      </c>
      <c r="G1471" s="243">
        <f t="shared" ca="1" si="48"/>
        <v>-2.8503404370483119E-2</v>
      </c>
    </row>
    <row r="1472" spans="2:7" ht="15" thickBot="1" x14ac:dyDescent="0.35">
      <c r="B1472" s="170">
        <v>45449.645833333336</v>
      </c>
      <c r="C1472" s="238">
        <v>4687.05</v>
      </c>
      <c r="D1472" s="241">
        <f t="shared" si="47"/>
        <v>1.3478685568301358</v>
      </c>
      <c r="E1472" s="241">
        <v>-1.2681025857075111E-2</v>
      </c>
      <c r="F1472" s="242">
        <v>1468</v>
      </c>
      <c r="G1472" s="243">
        <f t="shared" ca="1" si="48"/>
        <v>-1.210743393112949E-2</v>
      </c>
    </row>
    <row r="1473" spans="2:7" ht="15" thickBot="1" x14ac:dyDescent="0.35">
      <c r="B1473" s="170">
        <v>43906.645833333336</v>
      </c>
      <c r="C1473" s="238">
        <v>1996.3</v>
      </c>
      <c r="D1473" s="241">
        <f t="shared" si="47"/>
        <v>-0.49745745644950157</v>
      </c>
      <c r="E1473" s="241">
        <v>-1.2685773634362912E-2</v>
      </c>
      <c r="F1473" s="242">
        <v>1469</v>
      </c>
      <c r="G1473" s="243">
        <f t="shared" ca="1" si="48"/>
        <v>2.819792270329162E-2</v>
      </c>
    </row>
    <row r="1474" spans="2:7" ht="15" thickBot="1" x14ac:dyDescent="0.35">
      <c r="B1474" s="170">
        <v>45786.645833333336</v>
      </c>
      <c r="C1474" s="239">
        <v>3972.4</v>
      </c>
      <c r="D1474" s="241">
        <f t="shared" si="47"/>
        <v>1.1593326276525804E-3</v>
      </c>
      <c r="E1474" s="241">
        <v>-1.2700385236734163E-2</v>
      </c>
      <c r="F1474" s="242">
        <v>1470</v>
      </c>
      <c r="G1474" s="243">
        <f t="shared" ca="1" si="48"/>
        <v>-1.853805647569649E-3</v>
      </c>
    </row>
    <row r="1475" spans="2:7" ht="15" thickBot="1" x14ac:dyDescent="0.35">
      <c r="B1475" s="170">
        <v>45364.645833333336</v>
      </c>
      <c r="C1475" s="238">
        <v>3967.8</v>
      </c>
      <c r="D1475" s="241">
        <f t="shared" si="47"/>
        <v>1.9988662988436252</v>
      </c>
      <c r="E1475" s="241">
        <v>-1.2800895689494263E-2</v>
      </c>
      <c r="F1475" s="242">
        <v>1471</v>
      </c>
      <c r="G1475" s="243">
        <f t="shared" ca="1" si="48"/>
        <v>-1.4850979719277096E-3</v>
      </c>
    </row>
    <row r="1476" spans="2:7" ht="15" thickBot="1" x14ac:dyDescent="0.35">
      <c r="B1476" s="170">
        <v>43616.645833333336</v>
      </c>
      <c r="C1476" s="238">
        <v>1323.1</v>
      </c>
      <c r="D1476" s="241">
        <f t="shared" si="47"/>
        <v>-0.71240707733773856</v>
      </c>
      <c r="E1476" s="241">
        <v>-1.2832947847496863E-2</v>
      </c>
      <c r="F1476" s="242">
        <v>1472</v>
      </c>
      <c r="G1476" s="243">
        <f t="shared" ca="1" si="48"/>
        <v>-2.9780239974043818E-2</v>
      </c>
    </row>
    <row r="1477" spans="2:7" ht="15" thickBot="1" x14ac:dyDescent="0.35">
      <c r="B1477" s="170">
        <v>45418.645833333336</v>
      </c>
      <c r="C1477" s="238">
        <v>4600.6000000000004</v>
      </c>
      <c r="D1477" s="241">
        <f t="shared" ref="D1477:D1540" si="49">(C1477-C1478)/C1478</f>
        <v>0.56161640162251147</v>
      </c>
      <c r="E1477" s="241">
        <v>-1.2842107521805717E-2</v>
      </c>
      <c r="F1477" s="242">
        <v>1473</v>
      </c>
      <c r="G1477" s="243">
        <f t="shared" ca="1" si="48"/>
        <v>1.7667601973588489E-3</v>
      </c>
    </row>
    <row r="1478" spans="2:7" ht="15" thickBot="1" x14ac:dyDescent="0.35">
      <c r="B1478" s="170">
        <v>44232.645833333336</v>
      </c>
      <c r="C1478" s="238">
        <v>2946.05</v>
      </c>
      <c r="D1478" s="241">
        <f t="shared" si="49"/>
        <v>-0.32839019274828735</v>
      </c>
      <c r="E1478" s="241">
        <v>-1.2850154134834441E-2</v>
      </c>
      <c r="F1478" s="242">
        <v>1474</v>
      </c>
      <c r="G1478" s="243">
        <f t="shared" ref="G1478:G1541" ca="1" si="50">_xlfn.NORM.INV(RAND(),$M$7,$M$8)</f>
        <v>-6.4446823418756599E-2</v>
      </c>
    </row>
    <row r="1479" spans="2:7" ht="15" thickBot="1" x14ac:dyDescent="0.35">
      <c r="B1479" s="170">
        <v>44834.645833333336</v>
      </c>
      <c r="C1479" s="238">
        <v>4386.55</v>
      </c>
      <c r="D1479" s="241">
        <f t="shared" si="49"/>
        <v>-6.1850765204980182E-3</v>
      </c>
      <c r="E1479" s="241">
        <v>-1.2872011251758046E-2</v>
      </c>
      <c r="F1479" s="242">
        <v>1475</v>
      </c>
      <c r="G1479" s="243">
        <f t="shared" ca="1" si="50"/>
        <v>6.7829411187057594E-3</v>
      </c>
    </row>
    <row r="1480" spans="2:7" ht="15" thickBot="1" x14ac:dyDescent="0.35">
      <c r="B1480" s="170">
        <v>44840.645833333336</v>
      </c>
      <c r="C1480" s="238">
        <v>4413.8500000000004</v>
      </c>
      <c r="D1480" s="241">
        <f t="shared" si="49"/>
        <v>0.10910507205407517</v>
      </c>
      <c r="E1480" s="241">
        <v>-1.288172740386216E-2</v>
      </c>
      <c r="F1480" s="242">
        <v>1476</v>
      </c>
      <c r="G1480" s="243">
        <f t="shared" ca="1" si="50"/>
        <v>-3.0429027527795322E-2</v>
      </c>
    </row>
    <row r="1481" spans="2:7" ht="15" thickBot="1" x14ac:dyDescent="0.35">
      <c r="B1481" s="170">
        <v>45362.645833333336</v>
      </c>
      <c r="C1481" s="238">
        <v>3979.65</v>
      </c>
      <c r="D1481" s="241">
        <f t="shared" si="49"/>
        <v>0.88025324230469382</v>
      </c>
      <c r="E1481" s="241">
        <v>-1.291018676984888E-2</v>
      </c>
      <c r="F1481" s="242">
        <v>1477</v>
      </c>
      <c r="G1481" s="243">
        <f t="shared" ca="1" si="50"/>
        <v>-2.5908452216453315E-3</v>
      </c>
    </row>
    <row r="1482" spans="2:7" ht="15" thickBot="1" x14ac:dyDescent="0.35">
      <c r="B1482" s="170">
        <v>44127.645833333336</v>
      </c>
      <c r="C1482" s="238">
        <v>2116.5500000000002</v>
      </c>
      <c r="D1482" s="241">
        <f t="shared" si="49"/>
        <v>0.71020523594053031</v>
      </c>
      <c r="E1482" s="241">
        <v>-1.2918269791302235E-2</v>
      </c>
      <c r="F1482" s="242">
        <v>1478</v>
      </c>
      <c r="G1482" s="243">
        <f t="shared" ca="1" si="50"/>
        <v>4.4781370756652372E-3</v>
      </c>
    </row>
    <row r="1483" spans="2:7" ht="15" thickBot="1" x14ac:dyDescent="0.35">
      <c r="B1483" s="170">
        <v>43600.645833333336</v>
      </c>
      <c r="C1483" s="238">
        <v>1237.5999999999999</v>
      </c>
      <c r="D1483" s="241">
        <f t="shared" si="49"/>
        <v>-0.35440792905581642</v>
      </c>
      <c r="E1483" s="241">
        <v>-1.2920721008135306E-2</v>
      </c>
      <c r="F1483" s="242">
        <v>1479</v>
      </c>
      <c r="G1483" s="243">
        <f t="shared" ca="1" si="50"/>
        <v>-3.2273078969707802E-3</v>
      </c>
    </row>
    <row r="1484" spans="2:7" ht="15" thickBot="1" x14ac:dyDescent="0.35">
      <c r="B1484" s="170">
        <v>43765.809027777781</v>
      </c>
      <c r="C1484" s="238">
        <v>1917</v>
      </c>
      <c r="D1484" s="241">
        <f t="shared" si="49"/>
        <v>-0.59178023850085182</v>
      </c>
      <c r="E1484" s="241">
        <v>-1.2924154266000675E-2</v>
      </c>
      <c r="F1484" s="242">
        <v>1480</v>
      </c>
      <c r="G1484" s="243">
        <f t="shared" ca="1" si="50"/>
        <v>2.9298069147601028E-2</v>
      </c>
    </row>
    <row r="1485" spans="2:7" ht="15" thickBot="1" x14ac:dyDescent="0.35">
      <c r="B1485" s="170">
        <v>45401.645833333336</v>
      </c>
      <c r="C1485" s="238">
        <v>4696</v>
      </c>
      <c r="D1485" s="241">
        <f t="shared" si="49"/>
        <v>0.26670712792501178</v>
      </c>
      <c r="E1485" s="241">
        <v>-1.3030685161832704E-2</v>
      </c>
      <c r="F1485" s="242">
        <v>1481</v>
      </c>
      <c r="G1485" s="243">
        <f t="shared" ca="1" si="50"/>
        <v>1.3389556145938985E-3</v>
      </c>
    </row>
    <row r="1486" spans="2:7" ht="15" thickBot="1" x14ac:dyDescent="0.35">
      <c r="B1486" s="170">
        <v>45341.645833333336</v>
      </c>
      <c r="C1486" s="238">
        <v>3707.25</v>
      </c>
      <c r="D1486" s="241">
        <f t="shared" si="49"/>
        <v>1.6455791051166773</v>
      </c>
      <c r="E1486" s="241">
        <v>-1.3031787444757952E-2</v>
      </c>
      <c r="F1486" s="242">
        <v>1482</v>
      </c>
      <c r="G1486" s="243">
        <f t="shared" ca="1" si="50"/>
        <v>1.272462535750599E-2</v>
      </c>
    </row>
    <row r="1487" spans="2:7" ht="15" thickBot="1" x14ac:dyDescent="0.35">
      <c r="B1487" s="170">
        <v>43195.645833333336</v>
      </c>
      <c r="C1487" s="238">
        <v>1401.3</v>
      </c>
      <c r="D1487" s="241">
        <f t="shared" si="49"/>
        <v>-0.71014282907052506</v>
      </c>
      <c r="E1487" s="241">
        <v>-1.306476036201004E-2</v>
      </c>
      <c r="F1487" s="242">
        <v>1483</v>
      </c>
      <c r="G1487" s="243">
        <f t="shared" ca="1" si="50"/>
        <v>-2.60673419040083E-2</v>
      </c>
    </row>
    <row r="1488" spans="2:7" ht="15" thickBot="1" x14ac:dyDescent="0.35">
      <c r="B1488" s="170">
        <v>45483.645833333336</v>
      </c>
      <c r="C1488" s="238">
        <v>4834.45</v>
      </c>
      <c r="D1488" s="241">
        <f t="shared" si="49"/>
        <v>0.33202457706507954</v>
      </c>
      <c r="E1488" s="241">
        <v>-1.3156014615525898E-2</v>
      </c>
      <c r="F1488" s="242">
        <v>1484</v>
      </c>
      <c r="G1488" s="243">
        <f t="shared" ca="1" si="50"/>
        <v>-1.2915508427058717E-2</v>
      </c>
    </row>
    <row r="1489" spans="2:7" ht="15" thickBot="1" x14ac:dyDescent="0.35">
      <c r="B1489" s="170">
        <v>45089.645833333336</v>
      </c>
      <c r="C1489" s="238">
        <v>3629.4</v>
      </c>
      <c r="D1489" s="241">
        <f t="shared" si="49"/>
        <v>0.57351889185146643</v>
      </c>
      <c r="E1489" s="241">
        <v>-1.3186872943799451E-2</v>
      </c>
      <c r="F1489" s="242">
        <v>1485</v>
      </c>
      <c r="G1489" s="243">
        <f t="shared" ca="1" si="50"/>
        <v>-4.2726467291990134E-3</v>
      </c>
    </row>
    <row r="1490" spans="2:7" ht="15" thickBot="1" x14ac:dyDescent="0.35">
      <c r="B1490" s="170">
        <v>43969.645833333336</v>
      </c>
      <c r="C1490" s="238">
        <v>2306.5500000000002</v>
      </c>
      <c r="D1490" s="241">
        <f t="shared" si="49"/>
        <v>-0.34381667662370907</v>
      </c>
      <c r="E1490" s="241">
        <v>-1.3240641711229869E-2</v>
      </c>
      <c r="F1490" s="242">
        <v>1486</v>
      </c>
      <c r="G1490" s="243">
        <f t="shared" ca="1" si="50"/>
        <v>1.1592740465849101E-2</v>
      </c>
    </row>
    <row r="1491" spans="2:7" ht="15" thickBot="1" x14ac:dyDescent="0.35">
      <c r="B1491" s="170">
        <v>44951.645833333336</v>
      </c>
      <c r="C1491" s="238">
        <v>3515.1</v>
      </c>
      <c r="D1491" s="241">
        <f t="shared" si="49"/>
        <v>5.3292381451794116E-2</v>
      </c>
      <c r="E1491" s="241">
        <v>-1.3263716367004926E-2</v>
      </c>
      <c r="F1491" s="242">
        <v>1487</v>
      </c>
      <c r="G1491" s="243">
        <f t="shared" ca="1" si="50"/>
        <v>1.7353560544697815E-2</v>
      </c>
    </row>
    <row r="1492" spans="2:7" ht="15" thickBot="1" x14ac:dyDescent="0.35">
      <c r="B1492" s="170">
        <v>45000.645833333336</v>
      </c>
      <c r="C1492" s="238">
        <v>3337.25</v>
      </c>
      <c r="D1492" s="241">
        <f t="shared" si="49"/>
        <v>-0.15608800101150588</v>
      </c>
      <c r="E1492" s="241">
        <v>-1.3275579143444285E-2</v>
      </c>
      <c r="F1492" s="242">
        <v>1488</v>
      </c>
      <c r="G1492" s="243">
        <f t="shared" ca="1" si="50"/>
        <v>2.4497625480493383E-2</v>
      </c>
    </row>
    <row r="1493" spans="2:7" ht="15" thickBot="1" x14ac:dyDescent="0.35">
      <c r="B1493" s="170">
        <v>45281.645833333336</v>
      </c>
      <c r="C1493" s="238">
        <v>3954.5</v>
      </c>
      <c r="D1493" s="241">
        <f t="shared" si="49"/>
        <v>5.5208666880136648E-2</v>
      </c>
      <c r="E1493" s="241">
        <v>-1.333599471051281E-2</v>
      </c>
      <c r="F1493" s="242">
        <v>1489</v>
      </c>
      <c r="G1493" s="243">
        <f t="shared" ca="1" si="50"/>
        <v>2.1381775677181605E-4</v>
      </c>
    </row>
    <row r="1494" spans="2:7" ht="15" thickBot="1" x14ac:dyDescent="0.35">
      <c r="B1494" s="170">
        <v>45239.645833333336</v>
      </c>
      <c r="C1494" s="238">
        <v>3747.6</v>
      </c>
      <c r="D1494" s="241">
        <f t="shared" si="49"/>
        <v>0.63322583456811643</v>
      </c>
      <c r="E1494" s="241">
        <v>-1.3374052232519003E-2</v>
      </c>
      <c r="F1494" s="242">
        <v>1490</v>
      </c>
      <c r="G1494" s="243">
        <f t="shared" ca="1" si="50"/>
        <v>1.9118755624145594E-2</v>
      </c>
    </row>
    <row r="1495" spans="2:7" ht="15" thickBot="1" x14ac:dyDescent="0.35">
      <c r="B1495" s="170">
        <v>44141.645833333336</v>
      </c>
      <c r="C1495" s="238">
        <v>2294.6</v>
      </c>
      <c r="D1495" s="241">
        <f t="shared" si="49"/>
        <v>-0.37572097072586791</v>
      </c>
      <c r="E1495" s="241">
        <v>-1.3435948147988907E-2</v>
      </c>
      <c r="F1495" s="242">
        <v>1491</v>
      </c>
      <c r="G1495" s="243">
        <f t="shared" ca="1" si="50"/>
        <v>8.6854243408237555E-4</v>
      </c>
    </row>
    <row r="1496" spans="2:7" ht="15" thickBot="1" x14ac:dyDescent="0.35">
      <c r="B1496" s="170">
        <v>45198.645833333336</v>
      </c>
      <c r="C1496" s="238">
        <v>3675.6</v>
      </c>
      <c r="D1496" s="241">
        <f t="shared" si="49"/>
        <v>-0.14788454851049035</v>
      </c>
      <c r="E1496" s="241">
        <v>-1.3447137450680385E-2</v>
      </c>
      <c r="F1496" s="242">
        <v>1492</v>
      </c>
      <c r="G1496" s="243">
        <f t="shared" ca="1" si="50"/>
        <v>-4.9031798018894866E-2</v>
      </c>
    </row>
    <row r="1497" spans="2:7" ht="15" thickBot="1" x14ac:dyDescent="0.35">
      <c r="B1497" s="170">
        <v>45835.645833333336</v>
      </c>
      <c r="C1497" s="239">
        <v>4313.5</v>
      </c>
      <c r="D1497" s="241">
        <f t="shared" si="49"/>
        <v>1.7052367513327062</v>
      </c>
      <c r="E1497" s="241">
        <v>-1.3448299521990755E-2</v>
      </c>
      <c r="F1497" s="242">
        <v>1493</v>
      </c>
      <c r="G1497" s="243">
        <f t="shared" ca="1" si="50"/>
        <v>-2.7836112342322139E-2</v>
      </c>
    </row>
    <row r="1498" spans="2:7" ht="15" thickBot="1" x14ac:dyDescent="0.35">
      <c r="B1498" s="170">
        <v>43448.645833333336</v>
      </c>
      <c r="C1498" s="238">
        <v>1594.5</v>
      </c>
      <c r="D1498" s="241">
        <f t="shared" si="49"/>
        <v>-0.59385626408894665</v>
      </c>
      <c r="E1498" s="241">
        <v>-1.3457076566125291E-2</v>
      </c>
      <c r="F1498" s="242">
        <v>1494</v>
      </c>
      <c r="G1498" s="243">
        <f t="shared" ca="1" si="50"/>
        <v>-2.8097192123512486E-3</v>
      </c>
    </row>
    <row r="1499" spans="2:7" ht="15" thickBot="1" x14ac:dyDescent="0.35">
      <c r="B1499" s="170">
        <v>45358.645833333336</v>
      </c>
      <c r="C1499" s="238">
        <v>3925.95</v>
      </c>
      <c r="D1499" s="241">
        <f t="shared" si="49"/>
        <v>-1.9101039376374244E-2</v>
      </c>
      <c r="E1499" s="241">
        <v>-1.3493648938977114E-2</v>
      </c>
      <c r="F1499" s="242">
        <v>1495</v>
      </c>
      <c r="G1499" s="243">
        <f t="shared" ca="1" si="50"/>
        <v>-1.4999058745218126E-2</v>
      </c>
    </row>
    <row r="1500" spans="2:7" ht="15" thickBot="1" x14ac:dyDescent="0.35">
      <c r="B1500" s="170">
        <v>44904.645833333336</v>
      </c>
      <c r="C1500" s="238">
        <v>4002.4</v>
      </c>
      <c r="D1500" s="241">
        <f t="shared" si="49"/>
        <v>0.52428829858135773</v>
      </c>
      <c r="E1500" s="241">
        <v>-1.3543322612049692E-2</v>
      </c>
      <c r="F1500" s="242">
        <v>1496</v>
      </c>
      <c r="G1500" s="243">
        <f t="shared" ca="1" si="50"/>
        <v>7.2601274032375136E-3</v>
      </c>
    </row>
    <row r="1501" spans="2:7" ht="15" thickBot="1" x14ac:dyDescent="0.35">
      <c r="B1501" s="170">
        <v>44187.645833333336</v>
      </c>
      <c r="C1501" s="238">
        <v>2625.75</v>
      </c>
      <c r="D1501" s="241">
        <f t="shared" si="49"/>
        <v>-0.34178532036498543</v>
      </c>
      <c r="E1501" s="241">
        <v>-1.3561996355917844E-2</v>
      </c>
      <c r="F1501" s="242">
        <v>1497</v>
      </c>
      <c r="G1501" s="243">
        <f t="shared" ca="1" si="50"/>
        <v>3.0615362869861936E-2</v>
      </c>
    </row>
    <row r="1502" spans="2:7" ht="15" thickBot="1" x14ac:dyDescent="0.35">
      <c r="B1502" s="170">
        <v>44676.645833333336</v>
      </c>
      <c r="C1502" s="238">
        <v>3989.2</v>
      </c>
      <c r="D1502" s="241">
        <f t="shared" si="49"/>
        <v>0.20363274296231471</v>
      </c>
      <c r="E1502" s="241">
        <v>-1.3611918155405868E-2</v>
      </c>
      <c r="F1502" s="242">
        <v>1498</v>
      </c>
      <c r="G1502" s="243">
        <f t="shared" ca="1" si="50"/>
        <v>3.4212118220395484E-3</v>
      </c>
    </row>
    <row r="1503" spans="2:7" ht="15" thickBot="1" x14ac:dyDescent="0.35">
      <c r="B1503" s="170">
        <v>44379.645833333336</v>
      </c>
      <c r="C1503" s="238">
        <v>3314.3</v>
      </c>
      <c r="D1503" s="241">
        <f t="shared" si="49"/>
        <v>-5.3679010935670839E-2</v>
      </c>
      <c r="E1503" s="241">
        <v>-1.3791974766786159E-2</v>
      </c>
      <c r="F1503" s="242">
        <v>1499</v>
      </c>
      <c r="G1503" s="243">
        <f t="shared" ca="1" si="50"/>
        <v>6.6680337371206313E-3</v>
      </c>
    </row>
    <row r="1504" spans="2:7" ht="15" thickBot="1" x14ac:dyDescent="0.35">
      <c r="B1504" s="170">
        <v>44957.645833333336</v>
      </c>
      <c r="C1504" s="238">
        <v>3502.3</v>
      </c>
      <c r="D1504" s="241">
        <f t="shared" si="49"/>
        <v>-0.15968664899168639</v>
      </c>
      <c r="E1504" s="241">
        <v>-1.3811649091190597E-2</v>
      </c>
      <c r="F1504" s="242">
        <v>1500</v>
      </c>
      <c r="G1504" s="243">
        <f t="shared" ca="1" si="50"/>
        <v>-5.1959267660592187E-3</v>
      </c>
    </row>
    <row r="1505" spans="2:7" ht="15" thickBot="1" x14ac:dyDescent="0.35">
      <c r="B1505" s="170">
        <v>44853.645833333336</v>
      </c>
      <c r="C1505" s="238">
        <v>4167.8500000000004</v>
      </c>
      <c r="D1505" s="241">
        <f t="shared" si="49"/>
        <v>0.17041561359168783</v>
      </c>
      <c r="E1505" s="241">
        <v>-1.3818396923986899E-2</v>
      </c>
      <c r="F1505" s="242">
        <v>1501</v>
      </c>
      <c r="G1505" s="243">
        <f t="shared" ca="1" si="50"/>
        <v>-5.4051533967043814E-3</v>
      </c>
    </row>
    <row r="1506" spans="2:7" ht="15" thickBot="1" x14ac:dyDescent="0.35">
      <c r="B1506" s="170">
        <v>45658.645833333336</v>
      </c>
      <c r="C1506" s="238">
        <v>3561</v>
      </c>
      <c r="D1506" s="241">
        <f t="shared" si="49"/>
        <v>-0.13186572076354852</v>
      </c>
      <c r="E1506" s="241">
        <v>-1.3873888842734876E-2</v>
      </c>
      <c r="F1506" s="242">
        <v>1502</v>
      </c>
      <c r="G1506" s="243">
        <f t="shared" ca="1" si="50"/>
        <v>-1.2304463539739973E-2</v>
      </c>
    </row>
    <row r="1507" spans="2:7" ht="15" thickBot="1" x14ac:dyDescent="0.35">
      <c r="B1507" s="170">
        <v>44657.645833333336</v>
      </c>
      <c r="C1507" s="238">
        <v>4101.8999999999996</v>
      </c>
      <c r="D1507" s="241">
        <f t="shared" si="49"/>
        <v>1.6524620905945875</v>
      </c>
      <c r="E1507" s="241">
        <v>-1.3895232829290617E-2</v>
      </c>
      <c r="F1507" s="242">
        <v>1503</v>
      </c>
      <c r="G1507" s="243">
        <f t="shared" ca="1" si="50"/>
        <v>-2.8964334068257687E-3</v>
      </c>
    </row>
    <row r="1508" spans="2:7" ht="15" thickBot="1" x14ac:dyDescent="0.35">
      <c r="B1508" s="170">
        <v>43286.645833333336</v>
      </c>
      <c r="C1508" s="238">
        <v>1546.45</v>
      </c>
      <c r="D1508" s="241">
        <f t="shared" si="49"/>
        <v>-0.57930030740770966</v>
      </c>
      <c r="E1508" s="241">
        <v>-1.390084489080182E-2</v>
      </c>
      <c r="F1508" s="242">
        <v>1504</v>
      </c>
      <c r="G1508" s="243">
        <f t="shared" ca="1" si="50"/>
        <v>7.8698754186021791E-3</v>
      </c>
    </row>
    <row r="1509" spans="2:7" ht="15" thickBot="1" x14ac:dyDescent="0.35">
      <c r="B1509" s="170">
        <v>45314.645833333336</v>
      </c>
      <c r="C1509" s="238">
        <v>3675.9</v>
      </c>
      <c r="D1509" s="241">
        <f t="shared" si="49"/>
        <v>-4.1361324814186966E-2</v>
      </c>
      <c r="E1509" s="241">
        <v>-1.390919455435582E-2</v>
      </c>
      <c r="F1509" s="242">
        <v>1505</v>
      </c>
      <c r="G1509" s="243">
        <f t="shared" ca="1" si="50"/>
        <v>1.6865583981526069E-2</v>
      </c>
    </row>
    <row r="1510" spans="2:7" ht="15" thickBot="1" x14ac:dyDescent="0.35">
      <c r="B1510" s="170">
        <v>45356.645833333336</v>
      </c>
      <c r="C1510" s="238">
        <v>3834.5</v>
      </c>
      <c r="D1510" s="241">
        <f t="shared" si="49"/>
        <v>-0.12825526013663277</v>
      </c>
      <c r="E1510" s="241">
        <v>-1.3925141115811423E-2</v>
      </c>
      <c r="F1510" s="242">
        <v>1506</v>
      </c>
      <c r="G1510" s="243">
        <f t="shared" ca="1" si="50"/>
        <v>-8.9587240089638118E-3</v>
      </c>
    </row>
    <row r="1511" spans="2:7" ht="15" thickBot="1" x14ac:dyDescent="0.35">
      <c r="B1511" s="170">
        <v>44790.645833333336</v>
      </c>
      <c r="C1511" s="238">
        <v>4398.6499999999996</v>
      </c>
      <c r="D1511" s="241">
        <f t="shared" si="49"/>
        <v>1.8487743272562414</v>
      </c>
      <c r="E1511" s="241">
        <v>-1.3965635122563621E-2</v>
      </c>
      <c r="F1511" s="242">
        <v>1507</v>
      </c>
      <c r="G1511" s="243">
        <f t="shared" ca="1" si="50"/>
        <v>-4.4625072199721049E-3</v>
      </c>
    </row>
    <row r="1512" spans="2:7" ht="15" thickBot="1" x14ac:dyDescent="0.35">
      <c r="B1512" s="170">
        <v>43249.645833333336</v>
      </c>
      <c r="C1512" s="238">
        <v>1544.05</v>
      </c>
      <c r="D1512" s="241">
        <f t="shared" si="49"/>
        <v>-0.6218066475616626</v>
      </c>
      <c r="E1512" s="241">
        <v>-1.3985120853156289E-2</v>
      </c>
      <c r="F1512" s="242">
        <v>1508</v>
      </c>
      <c r="G1512" s="243">
        <f t="shared" ca="1" si="50"/>
        <v>3.1529686129326814E-2</v>
      </c>
    </row>
    <row r="1513" spans="2:7" ht="15" thickBot="1" x14ac:dyDescent="0.35">
      <c r="B1513" s="170">
        <v>45799.645833333336</v>
      </c>
      <c r="C1513" s="239">
        <v>4082.7</v>
      </c>
      <c r="D1513" s="241">
        <f t="shared" si="49"/>
        <v>0.78272165578673869</v>
      </c>
      <c r="E1513" s="241">
        <v>-1.4031105100463766E-2</v>
      </c>
      <c r="F1513" s="242">
        <v>1509</v>
      </c>
      <c r="G1513" s="243">
        <f t="shared" ca="1" si="50"/>
        <v>-2.4370837483910002E-2</v>
      </c>
    </row>
    <row r="1514" spans="2:7" ht="15" thickBot="1" x14ac:dyDescent="0.35">
      <c r="B1514" s="170">
        <v>44015.645833333336</v>
      </c>
      <c r="C1514" s="238">
        <v>2290.15</v>
      </c>
      <c r="D1514" s="241">
        <f t="shared" si="49"/>
        <v>0.1098645472388477</v>
      </c>
      <c r="E1514" s="241">
        <v>-1.4141196728368451E-2</v>
      </c>
      <c r="F1514" s="242">
        <v>1510</v>
      </c>
      <c r="G1514" s="243">
        <f t="shared" ca="1" si="50"/>
        <v>2.7430950951123716E-3</v>
      </c>
    </row>
    <row r="1515" spans="2:7" ht="15" thickBot="1" x14ac:dyDescent="0.35">
      <c r="B1515" s="170">
        <v>44043.645833333336</v>
      </c>
      <c r="C1515" s="238">
        <v>2063.4499999999998</v>
      </c>
      <c r="D1515" s="241">
        <f t="shared" si="49"/>
        <v>0.44696890010869178</v>
      </c>
      <c r="E1515" s="241">
        <v>-1.4189140768698025E-2</v>
      </c>
      <c r="F1515" s="242">
        <v>1511</v>
      </c>
      <c r="G1515" s="243">
        <f t="shared" ca="1" si="50"/>
        <v>-3.2885844123913765E-3</v>
      </c>
    </row>
    <row r="1516" spans="2:7" ht="15" thickBot="1" x14ac:dyDescent="0.35">
      <c r="B1516" s="170">
        <v>43647.645833333336</v>
      </c>
      <c r="C1516" s="238">
        <v>1426.05</v>
      </c>
      <c r="D1516" s="241">
        <f t="shared" si="49"/>
        <v>-0.62795945787297314</v>
      </c>
      <c r="E1516" s="241">
        <v>-1.4205723766072138E-2</v>
      </c>
      <c r="F1516" s="242">
        <v>1512</v>
      </c>
      <c r="G1516" s="243">
        <f t="shared" ca="1" si="50"/>
        <v>1.857211719004194E-2</v>
      </c>
    </row>
    <row r="1517" spans="2:7" ht="15" thickBot="1" x14ac:dyDescent="0.35">
      <c r="B1517" s="170">
        <v>44435.645833333336</v>
      </c>
      <c r="C1517" s="238">
        <v>3833.05</v>
      </c>
      <c r="D1517" s="241">
        <f t="shared" si="49"/>
        <v>-8.6760221099780724E-2</v>
      </c>
      <c r="E1517" s="241">
        <v>-1.4221970758805078E-2</v>
      </c>
      <c r="F1517" s="242">
        <v>1513</v>
      </c>
      <c r="G1517" s="243">
        <f t="shared" ca="1" si="50"/>
        <v>-7.2706409617486418E-3</v>
      </c>
    </row>
    <row r="1518" spans="2:7" ht="15" thickBot="1" x14ac:dyDescent="0.35">
      <c r="B1518" s="170">
        <v>45873.645833333336</v>
      </c>
      <c r="C1518" s="239">
        <v>4197.2</v>
      </c>
      <c r="D1518" s="241">
        <f t="shared" si="49"/>
        <v>1.3449354712553772</v>
      </c>
      <c r="E1518" s="241">
        <v>-1.4232702334539049E-2</v>
      </c>
      <c r="F1518" s="242">
        <v>1514</v>
      </c>
      <c r="G1518" s="243">
        <f t="shared" ca="1" si="50"/>
        <v>-9.3078182108077868E-3</v>
      </c>
    </row>
    <row r="1519" spans="2:7" ht="15" thickBot="1" x14ac:dyDescent="0.35">
      <c r="B1519" s="170">
        <v>43836.645833333336</v>
      </c>
      <c r="C1519" s="238">
        <v>1789.9</v>
      </c>
      <c r="D1519" s="241">
        <f t="shared" si="49"/>
        <v>-0.58129525012573546</v>
      </c>
      <c r="E1519" s="241">
        <v>-1.4236541374087792E-2</v>
      </c>
      <c r="F1519" s="242">
        <v>1515</v>
      </c>
      <c r="G1519" s="243">
        <f t="shared" ca="1" si="50"/>
        <v>1.9516439083209609E-2</v>
      </c>
    </row>
    <row r="1520" spans="2:7" ht="15" thickBot="1" x14ac:dyDescent="0.35">
      <c r="B1520" s="170">
        <v>44784.645833333336</v>
      </c>
      <c r="C1520" s="238">
        <v>4274.8500000000004</v>
      </c>
      <c r="D1520" s="241">
        <f t="shared" si="49"/>
        <v>0.25584982153086872</v>
      </c>
      <c r="E1520" s="241">
        <v>-1.4261996448912642E-2</v>
      </c>
      <c r="F1520" s="242">
        <v>1516</v>
      </c>
      <c r="G1520" s="243">
        <f t="shared" ca="1" si="50"/>
        <v>2.1137039577306262E-2</v>
      </c>
    </row>
    <row r="1521" spans="2:7" ht="15" thickBot="1" x14ac:dyDescent="0.35">
      <c r="B1521" s="170">
        <v>45716.645833333336</v>
      </c>
      <c r="C1521" s="238">
        <v>3403.95</v>
      </c>
      <c r="D1521" s="241">
        <f t="shared" si="49"/>
        <v>1.2966298957595384</v>
      </c>
      <c r="E1521" s="241">
        <v>-1.4262133673114793E-2</v>
      </c>
      <c r="F1521" s="242">
        <v>1517</v>
      </c>
      <c r="G1521" s="243">
        <f t="shared" ca="1" si="50"/>
        <v>1.8142704779475851E-2</v>
      </c>
    </row>
    <row r="1522" spans="2:7" ht="15" thickBot="1" x14ac:dyDescent="0.35">
      <c r="B1522" s="170">
        <v>43544.645833333336</v>
      </c>
      <c r="C1522" s="238">
        <v>1482.15</v>
      </c>
      <c r="D1522" s="241">
        <f t="shared" si="49"/>
        <v>4.387787442335471E-2</v>
      </c>
      <c r="E1522" s="241">
        <v>-1.4331316086985405E-2</v>
      </c>
      <c r="F1522" s="242">
        <v>1518</v>
      </c>
      <c r="G1522" s="243">
        <f t="shared" ca="1" si="50"/>
        <v>2.0450212213293283E-3</v>
      </c>
    </row>
    <row r="1523" spans="2:7" ht="15" thickBot="1" x14ac:dyDescent="0.35">
      <c r="B1523" s="170">
        <v>43196.645833333336</v>
      </c>
      <c r="C1523" s="238">
        <v>1419.85</v>
      </c>
      <c r="D1523" s="241">
        <f t="shared" si="49"/>
        <v>-0.51458119658119661</v>
      </c>
      <c r="E1523" s="241">
        <v>-1.4335300242971253E-2</v>
      </c>
      <c r="F1523" s="242">
        <v>1519</v>
      </c>
      <c r="G1523" s="243">
        <f t="shared" ca="1" si="50"/>
        <v>3.0404606325488775E-4</v>
      </c>
    </row>
    <row r="1524" spans="2:7" ht="15" thickBot="1" x14ac:dyDescent="0.35">
      <c r="B1524" s="170">
        <v>44236.645833333336</v>
      </c>
      <c r="C1524" s="238">
        <v>2925</v>
      </c>
      <c r="D1524" s="241">
        <f t="shared" si="49"/>
        <v>-0.36322372073278253</v>
      </c>
      <c r="E1524" s="241">
        <v>-1.4388246790443718E-2</v>
      </c>
      <c r="F1524" s="242">
        <v>1520</v>
      </c>
      <c r="G1524" s="243">
        <f t="shared" ca="1" si="50"/>
        <v>1.8437102686441387E-2</v>
      </c>
    </row>
    <row r="1525" spans="2:7" ht="15" thickBot="1" x14ac:dyDescent="0.35">
      <c r="B1525" s="170">
        <v>44536.645833333336</v>
      </c>
      <c r="C1525" s="238">
        <v>4593.45</v>
      </c>
      <c r="D1525" s="241">
        <f t="shared" si="49"/>
        <v>-0.12758299779685484</v>
      </c>
      <c r="E1525" s="241">
        <v>-1.4418589681696721E-2</v>
      </c>
      <c r="F1525" s="242">
        <v>1521</v>
      </c>
      <c r="G1525" s="243">
        <f t="shared" ca="1" si="50"/>
        <v>4.899694487664313E-3</v>
      </c>
    </row>
    <row r="1526" spans="2:7" ht="15" thickBot="1" x14ac:dyDescent="0.35">
      <c r="B1526" s="170">
        <v>45553.645833333336</v>
      </c>
      <c r="C1526" s="238">
        <v>5265.2</v>
      </c>
      <c r="D1526" s="241">
        <f t="shared" si="49"/>
        <v>0.34739104844281804</v>
      </c>
      <c r="E1526" s="241">
        <v>-1.4468881609733305E-2</v>
      </c>
      <c r="F1526" s="242">
        <v>1522</v>
      </c>
      <c r="G1526" s="243">
        <f t="shared" ca="1" si="50"/>
        <v>1.197509022236308E-2</v>
      </c>
    </row>
    <row r="1527" spans="2:7" ht="15" thickBot="1" x14ac:dyDescent="0.35">
      <c r="B1527" s="170">
        <v>44893.645833333336</v>
      </c>
      <c r="C1527" s="238">
        <v>3907.7</v>
      </c>
      <c r="D1527" s="241">
        <f t="shared" si="49"/>
        <v>-0.20695288638139403</v>
      </c>
      <c r="E1527" s="241">
        <v>-1.447630576782429E-2</v>
      </c>
      <c r="F1527" s="242">
        <v>1523</v>
      </c>
      <c r="G1527" s="243">
        <f t="shared" ca="1" si="50"/>
        <v>-1.4398013893844902E-2</v>
      </c>
    </row>
    <row r="1528" spans="2:7" ht="15" thickBot="1" x14ac:dyDescent="0.35">
      <c r="B1528" s="170">
        <v>45534.645833333336</v>
      </c>
      <c r="C1528" s="238">
        <v>4927.45</v>
      </c>
      <c r="D1528" s="241">
        <f t="shared" si="49"/>
        <v>1.4764166352556853</v>
      </c>
      <c r="E1528" s="241">
        <v>-1.4480434413032499E-2</v>
      </c>
      <c r="F1528" s="242">
        <v>1524</v>
      </c>
      <c r="G1528" s="243">
        <f t="shared" ca="1" si="50"/>
        <v>2.3833478889300912E-2</v>
      </c>
    </row>
    <row r="1529" spans="2:7" ht="15" thickBot="1" x14ac:dyDescent="0.35">
      <c r="B1529" s="170">
        <v>44029.645833333336</v>
      </c>
      <c r="C1529" s="238">
        <v>1989.75</v>
      </c>
      <c r="D1529" s="241">
        <f t="shared" si="49"/>
        <v>0.39167686658506734</v>
      </c>
      <c r="E1529" s="241">
        <v>-1.448736998514116E-2</v>
      </c>
      <c r="F1529" s="242">
        <v>1525</v>
      </c>
      <c r="G1529" s="243">
        <f t="shared" ca="1" si="50"/>
        <v>1.5520295211116168E-2</v>
      </c>
    </row>
    <row r="1530" spans="2:7" ht="15" thickBot="1" x14ac:dyDescent="0.35">
      <c r="B1530" s="170">
        <v>43685.645833333336</v>
      </c>
      <c r="C1530" s="238">
        <v>1429.75</v>
      </c>
      <c r="D1530" s="241">
        <f t="shared" si="49"/>
        <v>9.6518137894010203E-2</v>
      </c>
      <c r="E1530" s="241">
        <v>-1.45092362834298E-2</v>
      </c>
      <c r="F1530" s="242">
        <v>1526</v>
      </c>
      <c r="G1530" s="243">
        <f t="shared" ca="1" si="50"/>
        <v>7.0652815405771972E-3</v>
      </c>
    </row>
    <row r="1531" spans="2:7" ht="15" thickBot="1" x14ac:dyDescent="0.35">
      <c r="B1531" s="170">
        <v>43615.645833333336</v>
      </c>
      <c r="C1531" s="238">
        <v>1303.9000000000001</v>
      </c>
      <c r="D1531" s="241">
        <f t="shared" si="49"/>
        <v>-0.67618645541013733</v>
      </c>
      <c r="E1531" s="241">
        <v>-1.4511374801602162E-2</v>
      </c>
      <c r="F1531" s="242">
        <v>1527</v>
      </c>
      <c r="G1531" s="243">
        <f t="shared" ca="1" si="50"/>
        <v>2.7493650779643403E-2</v>
      </c>
    </row>
    <row r="1532" spans="2:7" ht="15" thickBot="1" x14ac:dyDescent="0.35">
      <c r="B1532" s="170">
        <v>45853.645833333336</v>
      </c>
      <c r="C1532" s="239">
        <v>4026.7</v>
      </c>
      <c r="D1532" s="241">
        <f t="shared" si="49"/>
        <v>-1.7062930234829014E-2</v>
      </c>
      <c r="E1532" s="241">
        <v>-1.4512971120900681E-2</v>
      </c>
      <c r="F1532" s="242">
        <v>1528</v>
      </c>
      <c r="G1532" s="243">
        <f t="shared" ca="1" si="50"/>
        <v>6.6614665136096576E-4</v>
      </c>
    </row>
    <row r="1533" spans="2:7" ht="15" thickBot="1" x14ac:dyDescent="0.35">
      <c r="B1533" s="170">
        <v>44613.645833333336</v>
      </c>
      <c r="C1533" s="238">
        <v>4096.6000000000004</v>
      </c>
      <c r="D1533" s="241">
        <f t="shared" si="49"/>
        <v>1.6264465459208208</v>
      </c>
      <c r="E1533" s="241">
        <v>-1.455341464001347E-2</v>
      </c>
      <c r="F1533" s="242">
        <v>1529</v>
      </c>
      <c r="G1533" s="243">
        <f t="shared" ca="1" si="50"/>
        <v>1.0512868020080831E-2</v>
      </c>
    </row>
    <row r="1534" spans="2:7" ht="15" thickBot="1" x14ac:dyDescent="0.35">
      <c r="B1534" s="170">
        <v>43446.645833333336</v>
      </c>
      <c r="C1534" s="238">
        <v>1559.75</v>
      </c>
      <c r="D1534" s="241">
        <f t="shared" si="49"/>
        <v>-8.045026710760678E-3</v>
      </c>
      <c r="E1534" s="241">
        <v>-1.4625055278286746E-2</v>
      </c>
      <c r="F1534" s="242">
        <v>1530</v>
      </c>
      <c r="G1534" s="243">
        <f t="shared" ca="1" si="50"/>
        <v>-5.9846500101486226E-3</v>
      </c>
    </row>
    <row r="1535" spans="2:7" ht="15" thickBot="1" x14ac:dyDescent="0.35">
      <c r="B1535" s="170">
        <v>43473.645833333336</v>
      </c>
      <c r="C1535" s="238">
        <v>1572.4</v>
      </c>
      <c r="D1535" s="241">
        <f t="shared" si="49"/>
        <v>6.8860036707226013E-2</v>
      </c>
      <c r="E1535" s="241">
        <v>-1.4632617891273639E-2</v>
      </c>
      <c r="F1535" s="242">
        <v>1531</v>
      </c>
      <c r="G1535" s="243">
        <f t="shared" ca="1" si="50"/>
        <v>-1.1470052481649057E-2</v>
      </c>
    </row>
    <row r="1536" spans="2:7" ht="15" thickBot="1" x14ac:dyDescent="0.35">
      <c r="B1536" s="170">
        <v>43553.645833333336</v>
      </c>
      <c r="C1536" s="238">
        <v>1471.1</v>
      </c>
      <c r="D1536" s="241">
        <f t="shared" si="49"/>
        <v>-0.68206868232802409</v>
      </c>
      <c r="E1536" s="241">
        <v>-1.4635453297163425E-2</v>
      </c>
      <c r="F1536" s="242">
        <v>1532</v>
      </c>
      <c r="G1536" s="243">
        <f t="shared" ca="1" si="50"/>
        <v>-4.3721371611947911E-2</v>
      </c>
    </row>
    <row r="1537" spans="2:7" ht="15" thickBot="1" x14ac:dyDescent="0.35">
      <c r="B1537" s="170">
        <v>45400.645833333336</v>
      </c>
      <c r="C1537" s="238">
        <v>4627.1000000000004</v>
      </c>
      <c r="D1537" s="241">
        <f t="shared" si="49"/>
        <v>1.1579106913839339</v>
      </c>
      <c r="E1537" s="241">
        <v>-1.4672061328790382E-2</v>
      </c>
      <c r="F1537" s="242">
        <v>1533</v>
      </c>
      <c r="G1537" s="243">
        <f t="shared" ca="1" si="50"/>
        <v>-6.2434679869964316E-3</v>
      </c>
    </row>
    <row r="1538" spans="2:7" ht="15" thickBot="1" x14ac:dyDescent="0.35">
      <c r="B1538" s="170">
        <v>44130.645833333336</v>
      </c>
      <c r="C1538" s="238">
        <v>2144.25</v>
      </c>
      <c r="D1538" s="241">
        <f t="shared" si="49"/>
        <v>-0.46862686789086316</v>
      </c>
      <c r="E1538" s="241">
        <v>-1.4681555004135568E-2</v>
      </c>
      <c r="F1538" s="242">
        <v>1534</v>
      </c>
      <c r="G1538" s="243">
        <f t="shared" ca="1" si="50"/>
        <v>9.6410753468777494E-3</v>
      </c>
    </row>
    <row r="1539" spans="2:7" ht="15" thickBot="1" x14ac:dyDescent="0.35">
      <c r="B1539" s="170">
        <v>44585.645833333336</v>
      </c>
      <c r="C1539" s="238">
        <v>4035.3</v>
      </c>
      <c r="D1539" s="241">
        <f t="shared" si="49"/>
        <v>-0.12035139730566323</v>
      </c>
      <c r="E1539" s="241">
        <v>-1.4687030729223807E-2</v>
      </c>
      <c r="F1539" s="242">
        <v>1535</v>
      </c>
      <c r="G1539" s="243">
        <f t="shared" ca="1" si="50"/>
        <v>-2.3903910465231169E-4</v>
      </c>
    </row>
    <row r="1540" spans="2:7" ht="15" thickBot="1" x14ac:dyDescent="0.35">
      <c r="B1540" s="170">
        <v>44551.645833333336</v>
      </c>
      <c r="C1540" s="238">
        <v>4587.3999999999996</v>
      </c>
      <c r="D1540" s="241">
        <f t="shared" si="49"/>
        <v>0.2956926987713599</v>
      </c>
      <c r="E1540" s="241">
        <v>-1.4701934125884795E-2</v>
      </c>
      <c r="F1540" s="242">
        <v>1536</v>
      </c>
      <c r="G1540" s="243">
        <f t="shared" ca="1" si="50"/>
        <v>-1.2541820066650309E-2</v>
      </c>
    </row>
    <row r="1541" spans="2:7" ht="15" thickBot="1" x14ac:dyDescent="0.35">
      <c r="B1541" s="170">
        <v>45722.645833333336</v>
      </c>
      <c r="C1541" s="238">
        <v>3540.5</v>
      </c>
      <c r="D1541" s="241">
        <f t="shared" ref="D1541:D1604" si="51">(C1541-C1542)/C1542</f>
        <v>2.0998555356126603</v>
      </c>
      <c r="E1541" s="241">
        <v>-1.4776268922528915E-2</v>
      </c>
      <c r="F1541" s="242">
        <v>1537</v>
      </c>
      <c r="G1541" s="243">
        <f t="shared" ca="1" si="50"/>
        <v>8.2132721026030604E-3</v>
      </c>
    </row>
    <row r="1542" spans="2:7" ht="15" thickBot="1" x14ac:dyDescent="0.35">
      <c r="B1542" s="170">
        <v>43124.645833333336</v>
      </c>
      <c r="C1542" s="238">
        <v>1142.1500000000001</v>
      </c>
      <c r="D1542" s="241">
        <f t="shared" si="51"/>
        <v>-0.66986544881707688</v>
      </c>
      <c r="E1542" s="241">
        <v>-1.4793409816268321E-2</v>
      </c>
      <c r="F1542" s="242">
        <v>1538</v>
      </c>
      <c r="G1542" s="243">
        <f t="shared" ref="G1542:G1605" ca="1" si="52">_xlfn.NORM.INV(RAND(),$M$7,$M$8)</f>
        <v>2.1534630153108691E-2</v>
      </c>
    </row>
    <row r="1543" spans="2:7" ht="15" thickBot="1" x14ac:dyDescent="0.35">
      <c r="B1543" s="170">
        <v>45650.645833333336</v>
      </c>
      <c r="C1543" s="238">
        <v>3459.65</v>
      </c>
      <c r="D1543" s="241">
        <f t="shared" si="51"/>
        <v>-0.18478504188413827</v>
      </c>
      <c r="E1543" s="241">
        <v>-1.4807853857873079E-2</v>
      </c>
      <c r="F1543" s="242">
        <v>1539</v>
      </c>
      <c r="G1543" s="243">
        <f t="shared" ca="1" si="52"/>
        <v>-1.5151553122483133E-2</v>
      </c>
    </row>
    <row r="1544" spans="2:7" ht="15" thickBot="1" x14ac:dyDescent="0.35">
      <c r="B1544" s="170">
        <v>44771.645833333336</v>
      </c>
      <c r="C1544" s="238">
        <v>4243.8500000000004</v>
      </c>
      <c r="D1544" s="241">
        <f t="shared" si="51"/>
        <v>1.8137107898998469E-2</v>
      </c>
      <c r="E1544" s="241">
        <v>-1.4810859749515229E-2</v>
      </c>
      <c r="F1544" s="242">
        <v>1540</v>
      </c>
      <c r="G1544" s="243">
        <f t="shared" ca="1" si="52"/>
        <v>-1.1869833187497632E-2</v>
      </c>
    </row>
    <row r="1545" spans="2:7" ht="15" thickBot="1" x14ac:dyDescent="0.35">
      <c r="B1545" s="170">
        <v>44634.645833333336</v>
      </c>
      <c r="C1545" s="238">
        <v>4168.25</v>
      </c>
      <c r="D1545" s="241">
        <f t="shared" si="51"/>
        <v>-3.8842898978485904E-2</v>
      </c>
      <c r="E1545" s="241">
        <v>-1.4842651351319455E-2</v>
      </c>
      <c r="F1545" s="242">
        <v>1541</v>
      </c>
      <c r="G1545" s="243">
        <f t="shared" ca="1" si="52"/>
        <v>3.9634866811324495E-3</v>
      </c>
    </row>
    <row r="1546" spans="2:7" ht="15" thickBot="1" x14ac:dyDescent="0.35">
      <c r="B1546" s="170">
        <v>44785.645833333336</v>
      </c>
      <c r="C1546" s="238">
        <v>4336.7</v>
      </c>
      <c r="D1546" s="241">
        <f t="shared" si="51"/>
        <v>0.18448617275520651</v>
      </c>
      <c r="E1546" s="241">
        <v>-1.4856545739533527E-2</v>
      </c>
      <c r="F1546" s="242">
        <v>1542</v>
      </c>
      <c r="G1546" s="243">
        <f t="shared" ca="1" si="52"/>
        <v>-1.8105458810550302E-2</v>
      </c>
    </row>
    <row r="1547" spans="2:7" ht="15" thickBot="1" x14ac:dyDescent="0.35">
      <c r="B1547" s="170">
        <v>45623.645833333336</v>
      </c>
      <c r="C1547" s="238">
        <v>3661.25</v>
      </c>
      <c r="D1547" s="241">
        <f t="shared" si="51"/>
        <v>0.54980104977988475</v>
      </c>
      <c r="E1547" s="241">
        <v>-1.4879390832896149E-2</v>
      </c>
      <c r="F1547" s="242">
        <v>1543</v>
      </c>
      <c r="G1547" s="243">
        <f t="shared" ca="1" si="52"/>
        <v>2.4364597293486751E-2</v>
      </c>
    </row>
    <row r="1548" spans="2:7" ht="15" thickBot="1" x14ac:dyDescent="0.35">
      <c r="B1548" s="170">
        <v>44145.645833333336</v>
      </c>
      <c r="C1548" s="238">
        <v>2362.4</v>
      </c>
      <c r="D1548" s="241">
        <f t="shared" si="51"/>
        <v>-0.34767361590501172</v>
      </c>
      <c r="E1548" s="241">
        <v>-1.4927862563589247E-2</v>
      </c>
      <c r="F1548" s="242">
        <v>1544</v>
      </c>
      <c r="G1548" s="243">
        <f t="shared" ca="1" si="52"/>
        <v>3.1695521449377137E-2</v>
      </c>
    </row>
    <row r="1549" spans="2:7" ht="15" thickBot="1" x14ac:dyDescent="0.35">
      <c r="B1549" s="170">
        <v>45705.645833333336</v>
      </c>
      <c r="C1549" s="238">
        <v>3621.5</v>
      </c>
      <c r="D1549" s="241">
        <f t="shared" si="51"/>
        <v>-8.6656074247812145E-2</v>
      </c>
      <c r="E1549" s="241">
        <v>-1.4986672469129061E-2</v>
      </c>
      <c r="F1549" s="242">
        <v>1545</v>
      </c>
      <c r="G1549" s="243">
        <f t="shared" ca="1" si="52"/>
        <v>-1.2377048311552548E-2</v>
      </c>
    </row>
    <row r="1550" spans="2:7" ht="15" thickBot="1" x14ac:dyDescent="0.35">
      <c r="B1550" s="170">
        <v>44894.645833333336</v>
      </c>
      <c r="C1550" s="238">
        <v>3965.1</v>
      </c>
      <c r="D1550" s="241">
        <f t="shared" si="51"/>
        <v>-0.20740799968017271</v>
      </c>
      <c r="E1550" s="241">
        <v>-1.5004347286051444E-2</v>
      </c>
      <c r="F1550" s="242">
        <v>1546</v>
      </c>
      <c r="G1550" s="243">
        <f t="shared" ca="1" si="52"/>
        <v>2.5525219109260222E-4</v>
      </c>
    </row>
    <row r="1551" spans="2:7" ht="15" thickBot="1" x14ac:dyDescent="0.35">
      <c r="B1551" s="170">
        <v>45523.645833333336</v>
      </c>
      <c r="C1551" s="238">
        <v>5002.7</v>
      </c>
      <c r="D1551" s="241">
        <f t="shared" si="51"/>
        <v>3.2798357430062448</v>
      </c>
      <c r="E1551" s="241">
        <v>-1.5061426996377383E-2</v>
      </c>
      <c r="F1551" s="242">
        <v>1547</v>
      </c>
      <c r="G1551" s="243">
        <f t="shared" ca="1" si="52"/>
        <v>-3.0740863461463769E-3</v>
      </c>
    </row>
    <row r="1552" spans="2:7" ht="15" thickBot="1" x14ac:dyDescent="0.35">
      <c r="B1552" s="170">
        <v>43150.645833333336</v>
      </c>
      <c r="C1552" s="238">
        <v>1168.9000000000001</v>
      </c>
      <c r="D1552" s="241">
        <f t="shared" si="51"/>
        <v>5.7158361219137234E-2</v>
      </c>
      <c r="E1552" s="241">
        <v>-1.5082574991573866E-2</v>
      </c>
      <c r="F1552" s="242">
        <v>1548</v>
      </c>
      <c r="G1552" s="243">
        <f t="shared" ca="1" si="52"/>
        <v>3.162049357307762E-2</v>
      </c>
    </row>
    <row r="1553" spans="2:7" ht="15" thickBot="1" x14ac:dyDescent="0.35">
      <c r="B1553" s="170">
        <v>43137.645833333336</v>
      </c>
      <c r="C1553" s="238">
        <v>1105.7</v>
      </c>
      <c r="D1553" s="241">
        <f t="shared" si="51"/>
        <v>-0.6755860693014113</v>
      </c>
      <c r="E1553" s="241">
        <v>-1.5098205139625034E-2</v>
      </c>
      <c r="F1553" s="242">
        <v>1549</v>
      </c>
      <c r="G1553" s="243">
        <f t="shared" ca="1" si="52"/>
        <v>1.1121042866851619E-2</v>
      </c>
    </row>
    <row r="1554" spans="2:7" ht="15" thickBot="1" x14ac:dyDescent="0.35">
      <c r="B1554" s="170">
        <v>45646.645833333336</v>
      </c>
      <c r="C1554" s="238">
        <v>3408.3</v>
      </c>
      <c r="D1554" s="241">
        <f t="shared" si="51"/>
        <v>-0.10064121170541195</v>
      </c>
      <c r="E1554" s="241">
        <v>-1.5098755978095967E-2</v>
      </c>
      <c r="F1554" s="242">
        <v>1550</v>
      </c>
      <c r="G1554" s="243">
        <f t="shared" ca="1" si="52"/>
        <v>4.7900421182610793E-2</v>
      </c>
    </row>
    <row r="1555" spans="2:7" ht="15" thickBot="1" x14ac:dyDescent="0.35">
      <c r="B1555" s="170">
        <v>44433.645833333336</v>
      </c>
      <c r="C1555" s="238">
        <v>3789.7</v>
      </c>
      <c r="D1555" s="241">
        <f t="shared" si="51"/>
        <v>-1.0807106331383741E-3</v>
      </c>
      <c r="E1555" s="241">
        <v>-1.5099537397993752E-2</v>
      </c>
      <c r="F1555" s="242">
        <v>1551</v>
      </c>
      <c r="G1555" s="243">
        <f t="shared" ca="1" si="52"/>
        <v>4.0951543596178331E-3</v>
      </c>
    </row>
    <row r="1556" spans="2:7" ht="15" thickBot="1" x14ac:dyDescent="0.35">
      <c r="B1556" s="170">
        <v>45209.645833333336</v>
      </c>
      <c r="C1556" s="238">
        <v>3793.8</v>
      </c>
      <c r="D1556" s="241">
        <f t="shared" si="51"/>
        <v>1.7053160765857314</v>
      </c>
      <c r="E1556" s="241">
        <v>-1.5121818252618735E-2</v>
      </c>
      <c r="F1556" s="242">
        <v>1552</v>
      </c>
      <c r="G1556" s="243">
        <f t="shared" ca="1" si="52"/>
        <v>-1.3534288471848007E-2</v>
      </c>
    </row>
    <row r="1557" spans="2:7" ht="15" thickBot="1" x14ac:dyDescent="0.35">
      <c r="B1557" s="170">
        <v>43669.645833333336</v>
      </c>
      <c r="C1557" s="238">
        <v>1402.35</v>
      </c>
      <c r="D1557" s="241">
        <f t="shared" si="51"/>
        <v>-0.63018196202531651</v>
      </c>
      <c r="E1557" s="241">
        <v>-1.5134489781585912E-2</v>
      </c>
      <c r="F1557" s="242">
        <v>1553</v>
      </c>
      <c r="G1557" s="243">
        <f t="shared" ca="1" si="52"/>
        <v>-2.3718516505670383E-2</v>
      </c>
    </row>
    <row r="1558" spans="2:7" ht="15" thickBot="1" x14ac:dyDescent="0.35">
      <c r="B1558" s="170">
        <v>44748.645833333336</v>
      </c>
      <c r="C1558" s="238">
        <v>3792</v>
      </c>
      <c r="D1558" s="241">
        <f t="shared" si="51"/>
        <v>1.4511166413496654</v>
      </c>
      <c r="E1558" s="241">
        <v>-1.5307911034939383E-2</v>
      </c>
      <c r="F1558" s="242">
        <v>1554</v>
      </c>
      <c r="G1558" s="243">
        <f t="shared" ca="1" si="52"/>
        <v>-1.5430696412046517E-2</v>
      </c>
    </row>
    <row r="1559" spans="2:7" ht="15" thickBot="1" x14ac:dyDescent="0.35">
      <c r="B1559" s="170">
        <v>43706.645833333336</v>
      </c>
      <c r="C1559" s="238">
        <v>1547.05</v>
      </c>
      <c r="D1559" s="241">
        <f t="shared" si="51"/>
        <v>-0.48808775354885675</v>
      </c>
      <c r="E1559" s="241">
        <v>-1.5339082837412173E-2</v>
      </c>
      <c r="F1559" s="242">
        <v>1555</v>
      </c>
      <c r="G1559" s="243">
        <f t="shared" ca="1" si="52"/>
        <v>-2.6714862148971771E-2</v>
      </c>
    </row>
    <row r="1560" spans="2:7" ht="15" thickBot="1" x14ac:dyDescent="0.35">
      <c r="B1560" s="170">
        <v>44344.645833333336</v>
      </c>
      <c r="C1560" s="238">
        <v>3022.1</v>
      </c>
      <c r="D1560" s="241">
        <f t="shared" si="51"/>
        <v>1.5512641931535183</v>
      </c>
      <c r="E1560" s="241">
        <v>-1.5410177884928709E-2</v>
      </c>
      <c r="F1560" s="242">
        <v>1556</v>
      </c>
      <c r="G1560" s="243">
        <f t="shared" ca="1" si="52"/>
        <v>2.3477449769931494E-2</v>
      </c>
    </row>
    <row r="1561" spans="2:7" ht="15" thickBot="1" x14ac:dyDescent="0.35">
      <c r="B1561" s="170">
        <v>43103.645833333336</v>
      </c>
      <c r="C1561" s="238">
        <v>1184.55</v>
      </c>
      <c r="D1561" s="241">
        <f t="shared" si="51"/>
        <v>-0.37124127498075854</v>
      </c>
      <c r="E1561" s="241">
        <v>-1.5418502202643136E-2</v>
      </c>
      <c r="F1561" s="242">
        <v>1557</v>
      </c>
      <c r="G1561" s="243">
        <f t="shared" ca="1" si="52"/>
        <v>-1.1358127138312015E-2</v>
      </c>
    </row>
    <row r="1562" spans="2:7" ht="15" thickBot="1" x14ac:dyDescent="0.35">
      <c r="B1562" s="170">
        <v>43816.645833333336</v>
      </c>
      <c r="C1562" s="238">
        <v>1883.95</v>
      </c>
      <c r="D1562" s="241">
        <f t="shared" si="51"/>
        <v>-0.18999505557108148</v>
      </c>
      <c r="E1562" s="241">
        <v>-1.5442905670237761E-2</v>
      </c>
      <c r="F1562" s="242">
        <v>1558</v>
      </c>
      <c r="G1562" s="243">
        <f t="shared" ca="1" si="52"/>
        <v>-3.9681763659836992E-2</v>
      </c>
    </row>
    <row r="1563" spans="2:7" ht="15" thickBot="1" x14ac:dyDescent="0.35">
      <c r="B1563" s="170">
        <v>44144.645833333336</v>
      </c>
      <c r="C1563" s="238">
        <v>2325.85</v>
      </c>
      <c r="D1563" s="241">
        <f t="shared" si="51"/>
        <v>-4.0688801814807211E-2</v>
      </c>
      <c r="E1563" s="241">
        <v>-1.5471554351507018E-2</v>
      </c>
      <c r="F1563" s="242">
        <v>1559</v>
      </c>
      <c r="G1563" s="243">
        <f t="shared" ca="1" si="52"/>
        <v>-1.7953428817215483E-2</v>
      </c>
    </row>
    <row r="1564" spans="2:7" ht="15" thickBot="1" x14ac:dyDescent="0.35">
      <c r="B1564" s="170">
        <v>43880.645833333336</v>
      </c>
      <c r="C1564" s="238">
        <v>2424.5</v>
      </c>
      <c r="D1564" s="241">
        <f t="shared" si="51"/>
        <v>-0.44152029945292254</v>
      </c>
      <c r="E1564" s="241">
        <v>-1.5491442145656139E-2</v>
      </c>
      <c r="F1564" s="242">
        <v>1560</v>
      </c>
      <c r="G1564" s="243">
        <f t="shared" ca="1" si="52"/>
        <v>-6.884607037115637E-3</v>
      </c>
    </row>
    <row r="1565" spans="2:7" ht="15" thickBot="1" x14ac:dyDescent="0.35">
      <c r="B1565" s="170">
        <v>44798.645833333336</v>
      </c>
      <c r="C1565" s="238">
        <v>4341.25</v>
      </c>
      <c r="D1565" s="241">
        <f t="shared" si="51"/>
        <v>1.9740700143865177</v>
      </c>
      <c r="E1565" s="241">
        <v>-1.5511435147914152E-2</v>
      </c>
      <c r="F1565" s="242">
        <v>1561</v>
      </c>
      <c r="G1565" s="243">
        <f t="shared" ca="1" si="52"/>
        <v>3.9025689474465699E-3</v>
      </c>
    </row>
    <row r="1566" spans="2:7" ht="15" thickBot="1" x14ac:dyDescent="0.35">
      <c r="B1566" s="170">
        <v>43676.645833333336</v>
      </c>
      <c r="C1566" s="238">
        <v>1459.7</v>
      </c>
      <c r="D1566" s="241">
        <f t="shared" si="51"/>
        <v>-0.50035085317222605</v>
      </c>
      <c r="E1566" s="241">
        <v>-1.551224118162811E-2</v>
      </c>
      <c r="F1566" s="242">
        <v>1562</v>
      </c>
      <c r="G1566" s="243">
        <f t="shared" ca="1" si="52"/>
        <v>-4.5608150196243631E-3</v>
      </c>
    </row>
    <row r="1567" spans="2:7" ht="15" thickBot="1" x14ac:dyDescent="0.35">
      <c r="B1567" s="170">
        <v>44203.645833333336</v>
      </c>
      <c r="C1567" s="238">
        <v>2921.45</v>
      </c>
      <c r="D1567" s="241">
        <f t="shared" si="51"/>
        <v>-0.22460652387398147</v>
      </c>
      <c r="E1567" s="241">
        <v>-1.5518112889637803E-2</v>
      </c>
      <c r="F1567" s="242">
        <v>1563</v>
      </c>
      <c r="G1567" s="243">
        <f t="shared" ca="1" si="52"/>
        <v>1.8485714503795891E-2</v>
      </c>
    </row>
    <row r="1568" spans="2:7" ht="15" thickBot="1" x14ac:dyDescent="0.35">
      <c r="B1568" s="170">
        <v>45117.645833333336</v>
      </c>
      <c r="C1568" s="238">
        <v>3767.7</v>
      </c>
      <c r="D1568" s="241">
        <f t="shared" si="51"/>
        <v>-6.9967786924700459E-2</v>
      </c>
      <c r="E1568" s="241">
        <v>-1.5520890491494889E-2</v>
      </c>
      <c r="F1568" s="242">
        <v>1564</v>
      </c>
      <c r="G1568" s="243">
        <f t="shared" ca="1" si="52"/>
        <v>1.2052488204944428E-2</v>
      </c>
    </row>
    <row r="1569" spans="2:7" ht="15" thickBot="1" x14ac:dyDescent="0.35">
      <c r="B1569" s="170">
        <v>44608.645833333336</v>
      </c>
      <c r="C1569" s="238">
        <v>4051.15</v>
      </c>
      <c r="D1569" s="241">
        <f t="shared" si="51"/>
        <v>0.4014667981249892</v>
      </c>
      <c r="E1569" s="241">
        <v>-1.5612091169752528E-2</v>
      </c>
      <c r="F1569" s="242">
        <v>1565</v>
      </c>
      <c r="G1569" s="243">
        <f t="shared" ca="1" si="52"/>
        <v>-4.2169154714910145E-2</v>
      </c>
    </row>
    <row r="1570" spans="2:7" ht="15" thickBot="1" x14ac:dyDescent="0.35">
      <c r="B1570" s="170">
        <v>44293.645833333336</v>
      </c>
      <c r="C1570" s="238">
        <v>2890.65</v>
      </c>
      <c r="D1570" s="241">
        <f t="shared" si="51"/>
        <v>0.27377883534932917</v>
      </c>
      <c r="E1570" s="241">
        <v>-1.5613825983313437E-2</v>
      </c>
      <c r="F1570" s="242">
        <v>1566</v>
      </c>
      <c r="G1570" s="243">
        <f t="shared" ca="1" si="52"/>
        <v>-2.196454306179841E-2</v>
      </c>
    </row>
    <row r="1571" spans="2:7" ht="15" thickBot="1" x14ac:dyDescent="0.35">
      <c r="B1571" s="170">
        <v>43980.645833333336</v>
      </c>
      <c r="C1571" s="238">
        <v>2269.35</v>
      </c>
      <c r="D1571" s="241">
        <f t="shared" si="51"/>
        <v>0.75925423466025799</v>
      </c>
      <c r="E1571" s="241">
        <v>-1.5679895901106092E-2</v>
      </c>
      <c r="F1571" s="242">
        <v>1567</v>
      </c>
      <c r="G1571" s="243">
        <f t="shared" ca="1" si="52"/>
        <v>4.8086522944169726E-3</v>
      </c>
    </row>
    <row r="1572" spans="2:7" ht="15" thickBot="1" x14ac:dyDescent="0.35">
      <c r="B1572" s="170">
        <v>43612.645833333336</v>
      </c>
      <c r="C1572" s="238">
        <v>1289.95</v>
      </c>
      <c r="D1572" s="241">
        <f t="shared" si="51"/>
        <v>-0.69681051097635505</v>
      </c>
      <c r="E1572" s="241">
        <v>-1.5681037771842772E-2</v>
      </c>
      <c r="F1572" s="242">
        <v>1568</v>
      </c>
      <c r="G1572" s="243">
        <f t="shared" ca="1" si="52"/>
        <v>-2.4568192671115568E-2</v>
      </c>
    </row>
    <row r="1573" spans="2:7" ht="15" thickBot="1" x14ac:dyDescent="0.35">
      <c r="B1573" s="170">
        <v>44574.645833333336</v>
      </c>
      <c r="C1573" s="238">
        <v>4254.6000000000004</v>
      </c>
      <c r="D1573" s="241">
        <f t="shared" si="51"/>
        <v>0.49132461705632874</v>
      </c>
      <c r="E1573" s="241">
        <v>-1.5754042612256103E-2</v>
      </c>
      <c r="F1573" s="242">
        <v>1569</v>
      </c>
      <c r="G1573" s="243">
        <f t="shared" ca="1" si="52"/>
        <v>4.8643997837756747E-2</v>
      </c>
    </row>
    <row r="1574" spans="2:7" ht="15" thickBot="1" x14ac:dyDescent="0.35">
      <c r="B1574" s="170">
        <v>44316.645833333336</v>
      </c>
      <c r="C1574" s="238">
        <v>2852.9</v>
      </c>
      <c r="D1574" s="241">
        <f t="shared" si="51"/>
        <v>-0.23988543262505826</v>
      </c>
      <c r="E1574" s="241">
        <v>-1.5783209425077192E-2</v>
      </c>
      <c r="F1574" s="242">
        <v>1570</v>
      </c>
      <c r="G1574" s="243">
        <f t="shared" ca="1" si="52"/>
        <v>-1.4339181802622927E-3</v>
      </c>
    </row>
    <row r="1575" spans="2:7" ht="15" thickBot="1" x14ac:dyDescent="0.35">
      <c r="B1575" s="170">
        <v>45181.645833333336</v>
      </c>
      <c r="C1575" s="238">
        <v>3753.25</v>
      </c>
      <c r="D1575" s="241">
        <f t="shared" si="51"/>
        <v>2.2127113203509521</v>
      </c>
      <c r="E1575" s="241">
        <v>-1.5850748616828756E-2</v>
      </c>
      <c r="F1575" s="242">
        <v>1571</v>
      </c>
      <c r="G1575" s="243">
        <f t="shared" ca="1" si="52"/>
        <v>-2.6404691176480481E-2</v>
      </c>
    </row>
    <row r="1576" spans="2:7" ht="15" thickBot="1" x14ac:dyDescent="0.35">
      <c r="B1576" s="170">
        <v>43397.645833333336</v>
      </c>
      <c r="C1576" s="238">
        <v>1168.25</v>
      </c>
      <c r="D1576" s="241">
        <f t="shared" si="51"/>
        <v>-0.66732162943345719</v>
      </c>
      <c r="E1576" s="241">
        <v>-1.5879032937410421E-2</v>
      </c>
      <c r="F1576" s="242">
        <v>1572</v>
      </c>
      <c r="G1576" s="243">
        <f t="shared" ca="1" si="52"/>
        <v>1.5064607566404897E-3</v>
      </c>
    </row>
    <row r="1577" spans="2:7" ht="15" thickBot="1" x14ac:dyDescent="0.35">
      <c r="B1577" s="170">
        <v>45652.645833333336</v>
      </c>
      <c r="C1577" s="238">
        <v>3511.65</v>
      </c>
      <c r="D1577" s="241">
        <f t="shared" si="51"/>
        <v>-0.29735380921414634</v>
      </c>
      <c r="E1577" s="241">
        <v>-1.5889696918743906E-2</v>
      </c>
      <c r="F1577" s="242">
        <v>1573</v>
      </c>
      <c r="G1577" s="243">
        <f t="shared" ca="1" si="52"/>
        <v>-3.2101907579838392E-3</v>
      </c>
    </row>
    <row r="1578" spans="2:7" ht="15" thickBot="1" x14ac:dyDescent="0.35">
      <c r="B1578" s="170">
        <v>44511.645833333336</v>
      </c>
      <c r="C1578" s="238">
        <v>4997.75</v>
      </c>
      <c r="D1578" s="241">
        <f t="shared" si="51"/>
        <v>1.1129455037415972</v>
      </c>
      <c r="E1578" s="241">
        <v>-1.5910053066328023E-2</v>
      </c>
      <c r="F1578" s="242">
        <v>1574</v>
      </c>
      <c r="G1578" s="243">
        <f t="shared" ca="1" si="52"/>
        <v>6.3086439495243444E-4</v>
      </c>
    </row>
    <row r="1579" spans="2:7" ht="15" thickBot="1" x14ac:dyDescent="0.35">
      <c r="B1579" s="170">
        <v>43997.645833333336</v>
      </c>
      <c r="C1579" s="238">
        <v>2365.3000000000002</v>
      </c>
      <c r="D1579" s="241">
        <f t="shared" si="51"/>
        <v>-0.35255796129526729</v>
      </c>
      <c r="E1579" s="241">
        <v>-1.5913960599945914E-2</v>
      </c>
      <c r="F1579" s="242">
        <v>1575</v>
      </c>
      <c r="G1579" s="243">
        <f t="shared" ca="1" si="52"/>
        <v>2.7972027904071318E-2</v>
      </c>
    </row>
    <row r="1580" spans="2:7" ht="15" thickBot="1" x14ac:dyDescent="0.35">
      <c r="B1580" s="170">
        <v>45237.645833333336</v>
      </c>
      <c r="C1580" s="238">
        <v>3653.3</v>
      </c>
      <c r="D1580" s="241">
        <f t="shared" si="51"/>
        <v>-0.12694467678336716</v>
      </c>
      <c r="E1580" s="241">
        <v>-1.5919620730524702E-2</v>
      </c>
      <c r="F1580" s="242">
        <v>1576</v>
      </c>
      <c r="G1580" s="243">
        <f t="shared" ca="1" si="52"/>
        <v>-1.5280272773195384E-2</v>
      </c>
    </row>
    <row r="1581" spans="2:7" ht="15" thickBot="1" x14ac:dyDescent="0.35">
      <c r="B1581" s="170">
        <v>45880.645833333336</v>
      </c>
      <c r="C1581" s="239">
        <v>4184.5</v>
      </c>
      <c r="D1581" s="241">
        <f t="shared" si="51"/>
        <v>-5.6610154206871752E-2</v>
      </c>
      <c r="E1581" s="241">
        <v>-1.5990593768371548E-2</v>
      </c>
      <c r="F1581" s="242">
        <v>1577</v>
      </c>
      <c r="G1581" s="243">
        <f t="shared" ca="1" si="52"/>
        <v>1.2807842114176597E-2</v>
      </c>
    </row>
    <row r="1582" spans="2:7" ht="15" thickBot="1" x14ac:dyDescent="0.35">
      <c r="B1582" s="170">
        <v>45769.645833333336</v>
      </c>
      <c r="C1582" s="239">
        <v>4435.6000000000004</v>
      </c>
      <c r="D1582" s="241">
        <f t="shared" si="51"/>
        <v>2.2836837429671308</v>
      </c>
      <c r="E1582" s="241">
        <v>-1.6082163217319933E-2</v>
      </c>
      <c r="F1582" s="242">
        <v>1578</v>
      </c>
      <c r="G1582" s="243">
        <f t="shared" ca="1" si="52"/>
        <v>-7.1101258253568082E-3</v>
      </c>
    </row>
    <row r="1583" spans="2:7" ht="15" thickBot="1" x14ac:dyDescent="0.35">
      <c r="B1583" s="170">
        <v>43656.645833333336</v>
      </c>
      <c r="C1583" s="238">
        <v>1350.8</v>
      </c>
      <c r="D1583" s="241">
        <f t="shared" si="51"/>
        <v>-0.61783511571323491</v>
      </c>
      <c r="E1583" s="241">
        <v>-1.6168973051711614E-2</v>
      </c>
      <c r="F1583" s="242">
        <v>1579</v>
      </c>
      <c r="G1583" s="243">
        <f t="shared" ca="1" si="52"/>
        <v>-1.1461893442353006E-2</v>
      </c>
    </row>
    <row r="1584" spans="2:7" ht="15" thickBot="1" x14ac:dyDescent="0.35">
      <c r="B1584" s="170">
        <v>45163.645833333336</v>
      </c>
      <c r="C1584" s="238">
        <v>3534.6</v>
      </c>
      <c r="D1584" s="241">
        <f t="shared" si="51"/>
        <v>0.24297997292212467</v>
      </c>
      <c r="E1584" s="241">
        <v>-1.6226446603022679E-2</v>
      </c>
      <c r="F1584" s="242">
        <v>1580</v>
      </c>
      <c r="G1584" s="243">
        <f t="shared" ca="1" si="52"/>
        <v>1.0478199092824918E-2</v>
      </c>
    </row>
    <row r="1585" spans="2:7" ht="15" thickBot="1" x14ac:dyDescent="0.35">
      <c r="B1585" s="170">
        <v>44292.645833333336</v>
      </c>
      <c r="C1585" s="238">
        <v>2843.65</v>
      </c>
      <c r="D1585" s="241">
        <f t="shared" si="51"/>
        <v>-0.14122852052064147</v>
      </c>
      <c r="E1585" s="241">
        <v>-1.6259318838323562E-2</v>
      </c>
      <c r="F1585" s="242">
        <v>1581</v>
      </c>
      <c r="G1585" s="243">
        <f t="shared" ca="1" si="52"/>
        <v>-1.0891202316066146E-2</v>
      </c>
    </row>
    <row r="1586" spans="2:7" ht="15" thickBot="1" x14ac:dyDescent="0.35">
      <c r="B1586" s="170">
        <v>45002.645833333336</v>
      </c>
      <c r="C1586" s="238">
        <v>3311.3</v>
      </c>
      <c r="D1586" s="241">
        <f t="shared" si="51"/>
        <v>0.42544123977615161</v>
      </c>
      <c r="E1586" s="241">
        <v>-1.6279967915391619E-2</v>
      </c>
      <c r="F1586" s="242">
        <v>1582</v>
      </c>
      <c r="G1586" s="243">
        <f t="shared" ca="1" si="52"/>
        <v>1.1499504878183025E-2</v>
      </c>
    </row>
    <row r="1587" spans="2:7" ht="15" thickBot="1" x14ac:dyDescent="0.35">
      <c r="B1587" s="170">
        <v>44018.645833333336</v>
      </c>
      <c r="C1587" s="238">
        <v>2323</v>
      </c>
      <c r="D1587" s="241">
        <f t="shared" si="51"/>
        <v>7.4594500824008226E-3</v>
      </c>
      <c r="E1587" s="241">
        <v>-1.6386501249100148E-2</v>
      </c>
      <c r="F1587" s="242">
        <v>1583</v>
      </c>
      <c r="G1587" s="243">
        <f t="shared" ca="1" si="52"/>
        <v>-1.3620114464279258E-2</v>
      </c>
    </row>
    <row r="1588" spans="2:7" ht="15" thickBot="1" x14ac:dyDescent="0.35">
      <c r="B1588" s="170">
        <v>43949.645833333336</v>
      </c>
      <c r="C1588" s="238">
        <v>2305.8000000000002</v>
      </c>
      <c r="D1588" s="241">
        <f t="shared" si="51"/>
        <v>0.10871760350050506</v>
      </c>
      <c r="E1588" s="241">
        <v>-1.644379038966013E-2</v>
      </c>
      <c r="F1588" s="242">
        <v>1584</v>
      </c>
      <c r="G1588" s="243">
        <f t="shared" ca="1" si="52"/>
        <v>2.9929622033941132E-3</v>
      </c>
    </row>
    <row r="1589" spans="2:7" ht="15" thickBot="1" x14ac:dyDescent="0.35">
      <c r="B1589" s="170">
        <v>43917.645833333336</v>
      </c>
      <c r="C1589" s="238">
        <v>2079.6999999999998</v>
      </c>
      <c r="D1589" s="241">
        <f t="shared" si="51"/>
        <v>-0.11288843389425644</v>
      </c>
      <c r="E1589" s="241">
        <v>-1.6481047977111141E-2</v>
      </c>
      <c r="F1589" s="242">
        <v>1585</v>
      </c>
      <c r="G1589" s="243">
        <f t="shared" ca="1" si="52"/>
        <v>2.9684538450520121E-3</v>
      </c>
    </row>
    <row r="1590" spans="2:7" ht="15" thickBot="1" x14ac:dyDescent="0.35">
      <c r="B1590" s="170">
        <v>43950.645833333336</v>
      </c>
      <c r="C1590" s="238">
        <v>2344.35</v>
      </c>
      <c r="D1590" s="241">
        <f t="shared" si="51"/>
        <v>0.78189488085737069</v>
      </c>
      <c r="E1590" s="241">
        <v>-1.648731986659123E-2</v>
      </c>
      <c r="F1590" s="242">
        <v>1586</v>
      </c>
      <c r="G1590" s="243">
        <f t="shared" ca="1" si="52"/>
        <v>-2.2019762370714954E-2</v>
      </c>
    </row>
    <row r="1591" spans="2:7" ht="15" thickBot="1" x14ac:dyDescent="0.35">
      <c r="B1591" s="170">
        <v>43171.645833333336</v>
      </c>
      <c r="C1591" s="238">
        <v>1315.65</v>
      </c>
      <c r="D1591" s="241">
        <f t="shared" si="51"/>
        <v>-0.16176611130578819</v>
      </c>
      <c r="E1591" s="241">
        <v>-1.6630540399132969E-2</v>
      </c>
      <c r="F1591" s="242">
        <v>1587</v>
      </c>
      <c r="G1591" s="243">
        <f t="shared" ca="1" si="52"/>
        <v>-6.0693074689508889E-3</v>
      </c>
    </row>
    <row r="1592" spans="2:7" ht="15" thickBot="1" x14ac:dyDescent="0.35">
      <c r="B1592" s="170">
        <v>43721.645833333336</v>
      </c>
      <c r="C1592" s="238">
        <v>1569.55</v>
      </c>
      <c r="D1592" s="241">
        <f t="shared" si="51"/>
        <v>-0.59634549358982603</v>
      </c>
      <c r="E1592" s="241">
        <v>-1.672670321064999E-2</v>
      </c>
      <c r="F1592" s="242">
        <v>1588</v>
      </c>
      <c r="G1592" s="243">
        <f t="shared" ca="1" si="52"/>
        <v>-8.0687290497266379E-3</v>
      </c>
    </row>
    <row r="1593" spans="2:7" ht="15" thickBot="1" x14ac:dyDescent="0.35">
      <c r="B1593" s="170">
        <v>44438.645833333336</v>
      </c>
      <c r="C1593" s="238">
        <v>3888.35</v>
      </c>
      <c r="D1593" s="241">
        <f t="shared" si="51"/>
        <v>3.4259419345400305E-2</v>
      </c>
      <c r="E1593" s="241">
        <v>-1.6802366744209637E-2</v>
      </c>
      <c r="F1593" s="242">
        <v>1589</v>
      </c>
      <c r="G1593" s="243">
        <f t="shared" ca="1" si="52"/>
        <v>-3.2172222999396114E-3</v>
      </c>
    </row>
    <row r="1594" spans="2:7" ht="15" thickBot="1" x14ac:dyDescent="0.35">
      <c r="B1594" s="170">
        <v>45609.645833333336</v>
      </c>
      <c r="C1594" s="238">
        <v>3759.55</v>
      </c>
      <c r="D1594" s="241">
        <f t="shared" si="51"/>
        <v>1.5378358309707034</v>
      </c>
      <c r="E1594" s="241">
        <v>-1.6815513160819522E-2</v>
      </c>
      <c r="F1594" s="242">
        <v>1590</v>
      </c>
      <c r="G1594" s="243">
        <f t="shared" ca="1" si="52"/>
        <v>-2.3886269326971101E-2</v>
      </c>
    </row>
    <row r="1595" spans="2:7" ht="15" thickBot="1" x14ac:dyDescent="0.35">
      <c r="B1595" s="170">
        <v>43206.645833333336</v>
      </c>
      <c r="C1595" s="238">
        <v>1481.4</v>
      </c>
      <c r="D1595" s="241">
        <f t="shared" si="51"/>
        <v>-0.43823590754820729</v>
      </c>
      <c r="E1595" s="241">
        <v>-1.6856915317228473E-2</v>
      </c>
      <c r="F1595" s="242">
        <v>1591</v>
      </c>
      <c r="G1595" s="243">
        <f t="shared" ca="1" si="52"/>
        <v>-1.6117178395516098E-2</v>
      </c>
    </row>
    <row r="1596" spans="2:7" ht="15" thickBot="1" x14ac:dyDescent="0.35">
      <c r="B1596" s="170">
        <v>44183.645833333336</v>
      </c>
      <c r="C1596" s="238">
        <v>2637.05</v>
      </c>
      <c r="D1596" s="241">
        <f t="shared" si="51"/>
        <v>0.43419263610159359</v>
      </c>
      <c r="E1596" s="241">
        <v>-1.6906501640322064E-2</v>
      </c>
      <c r="F1596" s="242">
        <v>1592</v>
      </c>
      <c r="G1596" s="243">
        <f t="shared" ca="1" si="52"/>
        <v>7.423781856350173E-3</v>
      </c>
    </row>
    <row r="1597" spans="2:7" ht="15" thickBot="1" x14ac:dyDescent="0.35">
      <c r="B1597" s="170">
        <v>43753.645833333336</v>
      </c>
      <c r="C1597" s="238">
        <v>1838.7</v>
      </c>
      <c r="D1597" s="241">
        <f t="shared" si="51"/>
        <v>-5.3241336697389355E-2</v>
      </c>
      <c r="E1597" s="241">
        <v>-1.7000801924619061E-2</v>
      </c>
      <c r="F1597" s="242">
        <v>1593</v>
      </c>
      <c r="G1597" s="243">
        <f t="shared" ca="1" si="52"/>
        <v>-3.1845907217618839E-2</v>
      </c>
    </row>
    <row r="1598" spans="2:7" ht="15" thickBot="1" x14ac:dyDescent="0.35">
      <c r="B1598" s="170">
        <v>43767.645833333336</v>
      </c>
      <c r="C1598" s="238">
        <v>1942.1</v>
      </c>
      <c r="D1598" s="241">
        <f t="shared" si="51"/>
        <v>-0.50612857288170077</v>
      </c>
      <c r="E1598" s="241">
        <v>-1.7006630561320107E-2</v>
      </c>
      <c r="F1598" s="242">
        <v>1594</v>
      </c>
      <c r="G1598" s="243">
        <f t="shared" ca="1" si="52"/>
        <v>3.585578391019141E-3</v>
      </c>
    </row>
    <row r="1599" spans="2:7" ht="15" thickBot="1" x14ac:dyDescent="0.35">
      <c r="B1599" s="170">
        <v>44768.645833333336</v>
      </c>
      <c r="C1599" s="238">
        <v>3932.4</v>
      </c>
      <c r="D1599" s="241">
        <f t="shared" si="51"/>
        <v>1.7594821234342657</v>
      </c>
      <c r="E1599" s="241">
        <v>-1.7133430810182513E-2</v>
      </c>
      <c r="F1599" s="242">
        <v>1595</v>
      </c>
      <c r="G1599" s="243">
        <f t="shared" ca="1" si="52"/>
        <v>4.0010800419056254E-2</v>
      </c>
    </row>
    <row r="1600" spans="2:7" ht="15" thickBot="1" x14ac:dyDescent="0.35">
      <c r="B1600" s="170">
        <v>43672.645833333336</v>
      </c>
      <c r="C1600" s="238">
        <v>1425.05</v>
      </c>
      <c r="D1600" s="241">
        <f t="shared" si="51"/>
        <v>-0.34305273833671396</v>
      </c>
      <c r="E1600" s="241">
        <v>-1.7139113042278872E-2</v>
      </c>
      <c r="F1600" s="242">
        <v>1596</v>
      </c>
      <c r="G1600" s="243">
        <f t="shared" ca="1" si="52"/>
        <v>3.9288989596381651E-3</v>
      </c>
    </row>
    <row r="1601" spans="2:7" ht="15" thickBot="1" x14ac:dyDescent="0.35">
      <c r="B1601" s="170">
        <v>44055.645833333336</v>
      </c>
      <c r="C1601" s="238">
        <v>2169.1999999999998</v>
      </c>
      <c r="D1601" s="241">
        <f t="shared" si="51"/>
        <v>1.7472267173245154E-2</v>
      </c>
      <c r="E1601" s="241">
        <v>-1.7171854469666119E-2</v>
      </c>
      <c r="F1601" s="242">
        <v>1597</v>
      </c>
      <c r="G1601" s="243">
        <f t="shared" ca="1" si="52"/>
        <v>-1.2529120981918355E-2</v>
      </c>
    </row>
    <row r="1602" spans="2:7" ht="15" thickBot="1" x14ac:dyDescent="0.35">
      <c r="B1602" s="170">
        <v>44054.645833333336</v>
      </c>
      <c r="C1602" s="238">
        <v>2131.9499999999998</v>
      </c>
      <c r="D1602" s="241">
        <f t="shared" si="51"/>
        <v>0.13163831311871321</v>
      </c>
      <c r="E1602" s="241">
        <v>-1.7172229393324731E-2</v>
      </c>
      <c r="F1602" s="242">
        <v>1598</v>
      </c>
      <c r="G1602" s="243">
        <f t="shared" ca="1" si="52"/>
        <v>-8.1704695454897433E-3</v>
      </c>
    </row>
    <row r="1603" spans="2:7" ht="15" thickBot="1" x14ac:dyDescent="0.35">
      <c r="B1603" s="170">
        <v>43763.791666666664</v>
      </c>
      <c r="C1603" s="238">
        <v>1883.95</v>
      </c>
      <c r="D1603" s="241">
        <f t="shared" si="51"/>
        <v>-0.54012986061952306</v>
      </c>
      <c r="E1603" s="241">
        <v>-1.7240479916536232E-2</v>
      </c>
      <c r="F1603" s="242">
        <v>1599</v>
      </c>
      <c r="G1603" s="243">
        <f t="shared" ca="1" si="52"/>
        <v>-8.7684146111051235E-3</v>
      </c>
    </row>
    <row r="1604" spans="2:7" ht="15" thickBot="1" x14ac:dyDescent="0.35">
      <c r="B1604" s="170">
        <v>44629.645833333336</v>
      </c>
      <c r="C1604" s="238">
        <v>4096.7</v>
      </c>
      <c r="D1604" s="241">
        <f t="shared" si="51"/>
        <v>-0.22666565989296739</v>
      </c>
      <c r="E1604" s="241">
        <v>-1.7247996929424875E-2</v>
      </c>
      <c r="F1604" s="242">
        <v>1600</v>
      </c>
      <c r="G1604" s="243">
        <f t="shared" ca="1" si="52"/>
        <v>1.0965897940387031E-3</v>
      </c>
    </row>
    <row r="1605" spans="2:7" ht="15" thickBot="1" x14ac:dyDescent="0.35">
      <c r="B1605" s="170">
        <v>45558.645833333336</v>
      </c>
      <c r="C1605" s="238">
        <v>5297.45</v>
      </c>
      <c r="D1605" s="241">
        <f t="shared" ref="D1605:D1668" si="53">(C1605-C1606)/C1606</f>
        <v>2.8168816197132354</v>
      </c>
      <c r="E1605" s="241">
        <v>-1.7435012844411058E-2</v>
      </c>
      <c r="F1605" s="242">
        <v>1601</v>
      </c>
      <c r="G1605" s="243">
        <f t="shared" ca="1" si="52"/>
        <v>2.149452693691653E-2</v>
      </c>
    </row>
    <row r="1606" spans="2:7" ht="15" thickBot="1" x14ac:dyDescent="0.35">
      <c r="B1606" s="170">
        <v>43420.645833333336</v>
      </c>
      <c r="C1606" s="238">
        <v>1387.9</v>
      </c>
      <c r="D1606" s="241">
        <f t="shared" si="53"/>
        <v>-0.7089196954761855</v>
      </c>
      <c r="E1606" s="241">
        <v>-1.7450709709390722E-2</v>
      </c>
      <c r="F1606" s="242">
        <v>1602</v>
      </c>
      <c r="G1606" s="243">
        <f t="shared" ref="G1606:G1669" ca="1" si="54">_xlfn.NORM.INV(RAND(),$M$7,$M$8)</f>
        <v>-4.4920381526883588E-2</v>
      </c>
    </row>
    <row r="1607" spans="2:7" ht="15" thickBot="1" x14ac:dyDescent="0.35">
      <c r="B1607" s="170">
        <v>45477.645833333336</v>
      </c>
      <c r="C1607" s="238">
        <v>4768.1000000000004</v>
      </c>
      <c r="D1607" s="241">
        <f t="shared" si="53"/>
        <v>2.3933514436343881E-2</v>
      </c>
      <c r="E1607" s="241">
        <v>-1.7514578310770433E-2</v>
      </c>
      <c r="F1607" s="242">
        <v>1603</v>
      </c>
      <c r="G1607" s="243">
        <f t="shared" ca="1" si="54"/>
        <v>2.8537803478773164E-2</v>
      </c>
    </row>
    <row r="1608" spans="2:7" ht="15" thickBot="1" x14ac:dyDescent="0.35">
      <c r="B1608" s="170">
        <v>45456.645833333336</v>
      </c>
      <c r="C1608" s="238">
        <v>4656.6499999999996</v>
      </c>
      <c r="D1608" s="241">
        <f t="shared" si="53"/>
        <v>0.20951948051948044</v>
      </c>
      <c r="E1608" s="241">
        <v>-1.7574025042458294E-2</v>
      </c>
      <c r="F1608" s="242">
        <v>1604</v>
      </c>
      <c r="G1608" s="243">
        <f t="shared" ca="1" si="54"/>
        <v>-3.9402525566972477E-2</v>
      </c>
    </row>
    <row r="1609" spans="2:7" ht="15" thickBot="1" x14ac:dyDescent="0.35">
      <c r="B1609" s="170">
        <v>45350.645833333336</v>
      </c>
      <c r="C1609" s="238">
        <v>3850</v>
      </c>
      <c r="D1609" s="241">
        <f t="shared" si="53"/>
        <v>1.4573945235207761</v>
      </c>
      <c r="E1609" s="241">
        <v>-1.7581464186378855E-2</v>
      </c>
      <c r="F1609" s="242">
        <v>1605</v>
      </c>
      <c r="G1609" s="243">
        <f t="shared" ca="1" si="54"/>
        <v>3.0898512495987192E-2</v>
      </c>
    </row>
    <row r="1610" spans="2:7" ht="15" thickBot="1" x14ac:dyDescent="0.35">
      <c r="B1610" s="170">
        <v>43308.645833333336</v>
      </c>
      <c r="C1610" s="238">
        <v>1566.7</v>
      </c>
      <c r="D1610" s="241">
        <f t="shared" si="53"/>
        <v>-0.63756448515973818</v>
      </c>
      <c r="E1610" s="241">
        <v>-1.765056274884777E-2</v>
      </c>
      <c r="F1610" s="242">
        <v>1606</v>
      </c>
      <c r="G1610" s="243">
        <f t="shared" ca="1" si="54"/>
        <v>-3.2282747978499053E-2</v>
      </c>
    </row>
    <row r="1611" spans="2:7" ht="15" thickBot="1" x14ac:dyDescent="0.35">
      <c r="B1611" s="170">
        <v>44575.645833333336</v>
      </c>
      <c r="C1611" s="238">
        <v>4322.7</v>
      </c>
      <c r="D1611" s="241">
        <f t="shared" si="53"/>
        <v>0.12485362616773783</v>
      </c>
      <c r="E1611" s="241">
        <v>-1.7679809112600881E-2</v>
      </c>
      <c r="F1611" s="242">
        <v>1607</v>
      </c>
      <c r="G1611" s="243">
        <f t="shared" ca="1" si="54"/>
        <v>-8.6995356089891451E-3</v>
      </c>
    </row>
    <row r="1612" spans="2:7" ht="15" thickBot="1" x14ac:dyDescent="0.35">
      <c r="B1612" s="170">
        <v>45254.645833333336</v>
      </c>
      <c r="C1612" s="238">
        <v>3842.9</v>
      </c>
      <c r="D1612" s="241">
        <f t="shared" si="53"/>
        <v>0.10342550320153912</v>
      </c>
      <c r="E1612" s="241">
        <v>-1.770126401083803E-2</v>
      </c>
      <c r="F1612" s="242">
        <v>1608</v>
      </c>
      <c r="G1612" s="243">
        <f t="shared" ca="1" si="54"/>
        <v>-2.3905733257532071E-2</v>
      </c>
    </row>
    <row r="1613" spans="2:7" ht="15" thickBot="1" x14ac:dyDescent="0.35">
      <c r="B1613" s="170">
        <v>44971.645833333336</v>
      </c>
      <c r="C1613" s="238">
        <v>3482.7</v>
      </c>
      <c r="D1613" s="241">
        <f t="shared" si="53"/>
        <v>1.2329294095018271</v>
      </c>
      <c r="E1613" s="241">
        <v>-1.7740297833935045E-2</v>
      </c>
      <c r="F1613" s="242">
        <v>1609</v>
      </c>
      <c r="G1613" s="243">
        <f t="shared" ca="1" si="54"/>
        <v>-1.8759360950479937E-2</v>
      </c>
    </row>
    <row r="1614" spans="2:7" ht="15" thickBot="1" x14ac:dyDescent="0.35">
      <c r="B1614" s="170">
        <v>43336.645833333336</v>
      </c>
      <c r="C1614" s="238">
        <v>1559.7</v>
      </c>
      <c r="D1614" s="241">
        <f t="shared" si="53"/>
        <v>-0.55467679305619</v>
      </c>
      <c r="E1614" s="241">
        <v>-1.788300484856109E-2</v>
      </c>
      <c r="F1614" s="242">
        <v>1610</v>
      </c>
      <c r="G1614" s="243">
        <f t="shared" ca="1" si="54"/>
        <v>-1.6459933704246272E-2</v>
      </c>
    </row>
    <row r="1615" spans="2:7" ht="15" thickBot="1" x14ac:dyDescent="0.35">
      <c r="B1615" s="170">
        <v>44410.645833333336</v>
      </c>
      <c r="C1615" s="238">
        <v>3502.4</v>
      </c>
      <c r="D1615" s="241">
        <f t="shared" si="53"/>
        <v>-0.11713846386529199</v>
      </c>
      <c r="E1615" s="241">
        <v>-1.7903960743077436E-2</v>
      </c>
      <c r="F1615" s="242">
        <v>1611</v>
      </c>
      <c r="G1615" s="243">
        <f t="shared" ca="1" si="54"/>
        <v>4.5471085751757782E-2</v>
      </c>
    </row>
    <row r="1616" spans="2:7" ht="15" thickBot="1" x14ac:dyDescent="0.35">
      <c r="B1616" s="170">
        <v>45264.645833333336</v>
      </c>
      <c r="C1616" s="238">
        <v>3967.1</v>
      </c>
      <c r="D1616" s="241">
        <f t="shared" si="53"/>
        <v>-9.2674336161745599E-2</v>
      </c>
      <c r="E1616" s="241">
        <v>-1.793516604572298E-2</v>
      </c>
      <c r="F1616" s="242">
        <v>1612</v>
      </c>
      <c r="G1616" s="243">
        <f t="shared" ca="1" si="54"/>
        <v>3.8225925172084619E-3</v>
      </c>
    </row>
    <row r="1617" spans="2:7" ht="15" thickBot="1" x14ac:dyDescent="0.35">
      <c r="B1617" s="170">
        <v>45838.645833333336</v>
      </c>
      <c r="C1617" s="239">
        <v>4372.3</v>
      </c>
      <c r="D1617" s="241">
        <f t="shared" si="53"/>
        <v>1.9925738338865884</v>
      </c>
      <c r="E1617" s="241">
        <v>-1.7990297367711676E-2</v>
      </c>
      <c r="F1617" s="242">
        <v>1613</v>
      </c>
      <c r="G1617" s="243">
        <f t="shared" ca="1" si="54"/>
        <v>-2.0393151045679632E-2</v>
      </c>
    </row>
    <row r="1618" spans="2:7" ht="15" thickBot="1" x14ac:dyDescent="0.35">
      <c r="B1618" s="170">
        <v>43517.645833333336</v>
      </c>
      <c r="C1618" s="238">
        <v>1461.05</v>
      </c>
      <c r="D1618" s="241">
        <f t="shared" si="53"/>
        <v>-0.71155421746211933</v>
      </c>
      <c r="E1618" s="241">
        <v>-1.8045567578466384E-2</v>
      </c>
      <c r="F1618" s="242">
        <v>1614</v>
      </c>
      <c r="G1618" s="243">
        <f t="shared" ca="1" si="54"/>
        <v>-1.1417796183734088E-3</v>
      </c>
    </row>
    <row r="1619" spans="2:7" ht="15" thickBot="1" x14ac:dyDescent="0.35">
      <c r="B1619" s="170">
        <v>45496.645833333336</v>
      </c>
      <c r="C1619" s="238">
        <v>5065.25</v>
      </c>
      <c r="D1619" s="241">
        <f t="shared" si="53"/>
        <v>0.75870629492031527</v>
      </c>
      <c r="E1619" s="241">
        <v>-1.8067442739582593E-2</v>
      </c>
      <c r="F1619" s="242">
        <v>1615</v>
      </c>
      <c r="G1619" s="243">
        <f t="shared" ca="1" si="54"/>
        <v>-9.3774427456679681E-3</v>
      </c>
    </row>
    <row r="1620" spans="2:7" ht="15" thickBot="1" x14ac:dyDescent="0.35">
      <c r="B1620" s="170">
        <v>44277.645833333336</v>
      </c>
      <c r="C1620" s="238">
        <v>2880.1</v>
      </c>
      <c r="D1620" s="241">
        <f t="shared" si="53"/>
        <v>7.3625854741958784E-3</v>
      </c>
      <c r="E1620" s="241">
        <v>-1.8253711247081344E-2</v>
      </c>
      <c r="F1620" s="242">
        <v>1616</v>
      </c>
      <c r="G1620" s="243">
        <f t="shared" ca="1" si="54"/>
        <v>-1.110611679577022E-2</v>
      </c>
    </row>
    <row r="1621" spans="2:7" ht="15" thickBot="1" x14ac:dyDescent="0.35">
      <c r="B1621" s="170">
        <v>44286.645833333336</v>
      </c>
      <c r="C1621" s="238">
        <v>2859.05</v>
      </c>
      <c r="D1621" s="241">
        <f t="shared" si="53"/>
        <v>-0.26356798804832188</v>
      </c>
      <c r="E1621" s="241">
        <v>-1.8419336011260907E-2</v>
      </c>
      <c r="F1621" s="242">
        <v>1617</v>
      </c>
      <c r="G1621" s="243">
        <f t="shared" ca="1" si="54"/>
        <v>1.1758058603795613E-2</v>
      </c>
    </row>
    <row r="1622" spans="2:7" ht="15" thickBot="1" x14ac:dyDescent="0.35">
      <c r="B1622" s="170">
        <v>44886.645833333336</v>
      </c>
      <c r="C1622" s="238">
        <v>3882.3</v>
      </c>
      <c r="D1622" s="241">
        <f t="shared" si="53"/>
        <v>5.0611610898971407E-3</v>
      </c>
      <c r="E1622" s="241">
        <v>-1.843143203883486E-2</v>
      </c>
      <c r="F1622" s="242">
        <v>1618</v>
      </c>
      <c r="G1622" s="243">
        <f t="shared" ca="1" si="54"/>
        <v>3.9590300134409208E-3</v>
      </c>
    </row>
    <row r="1623" spans="2:7" ht="15" thickBot="1" x14ac:dyDescent="0.35">
      <c r="B1623" s="170">
        <v>45211.645833333336</v>
      </c>
      <c r="C1623" s="238">
        <v>3862.75</v>
      </c>
      <c r="D1623" s="241">
        <f t="shared" si="53"/>
        <v>0.16664149803684689</v>
      </c>
      <c r="E1623" s="241">
        <v>-1.8572862278796173E-2</v>
      </c>
      <c r="F1623" s="242">
        <v>1619</v>
      </c>
      <c r="G1623" s="243">
        <f t="shared" ca="1" si="54"/>
        <v>4.6090768897462976E-3</v>
      </c>
    </row>
    <row r="1624" spans="2:7" ht="15" thickBot="1" x14ac:dyDescent="0.35">
      <c r="B1624" s="170">
        <v>44368.645833333336</v>
      </c>
      <c r="C1624" s="238">
        <v>3311</v>
      </c>
      <c r="D1624" s="241">
        <f t="shared" si="53"/>
        <v>5.7540284587252695E-2</v>
      </c>
      <c r="E1624" s="241">
        <v>-1.8614025727666187E-2</v>
      </c>
      <c r="F1624" s="242">
        <v>1620</v>
      </c>
      <c r="G1624" s="243">
        <f t="shared" ca="1" si="54"/>
        <v>-1.9715837243342919E-2</v>
      </c>
    </row>
    <row r="1625" spans="2:7" ht="15" thickBot="1" x14ac:dyDescent="0.35">
      <c r="B1625" s="170">
        <v>44243.645833333336</v>
      </c>
      <c r="C1625" s="238">
        <v>3130.85</v>
      </c>
      <c r="D1625" s="241">
        <f t="shared" si="53"/>
        <v>-9.8906317455749057E-2</v>
      </c>
      <c r="E1625" s="241">
        <v>-1.8619230467831704E-2</v>
      </c>
      <c r="F1625" s="242">
        <v>1621</v>
      </c>
      <c r="G1625" s="243">
        <f t="shared" ca="1" si="54"/>
        <v>2.6620540144539034E-3</v>
      </c>
    </row>
    <row r="1626" spans="2:7" ht="15" thickBot="1" x14ac:dyDescent="0.35">
      <c r="B1626" s="170">
        <v>45721.645833333336</v>
      </c>
      <c r="C1626" s="238">
        <v>3474.5</v>
      </c>
      <c r="D1626" s="241">
        <f t="shared" si="53"/>
        <v>0.22141563988539886</v>
      </c>
      <c r="E1626" s="241">
        <v>-1.8641434825589605E-2</v>
      </c>
      <c r="F1626" s="242">
        <v>1622</v>
      </c>
      <c r="G1626" s="243">
        <f t="shared" ca="1" si="54"/>
        <v>-6.8167426140916991E-3</v>
      </c>
    </row>
    <row r="1627" spans="2:7" ht="15" thickBot="1" x14ac:dyDescent="0.35">
      <c r="B1627" s="170">
        <v>44330.645833333336</v>
      </c>
      <c r="C1627" s="238">
        <v>2844.65</v>
      </c>
      <c r="D1627" s="241">
        <f t="shared" si="53"/>
        <v>-0.39394294479834668</v>
      </c>
      <c r="E1627" s="241">
        <v>-1.8646289716079529E-2</v>
      </c>
      <c r="F1627" s="242">
        <v>1623</v>
      </c>
      <c r="G1627" s="243">
        <f t="shared" ca="1" si="54"/>
        <v>1.6500028899780757E-2</v>
      </c>
    </row>
    <row r="1628" spans="2:7" ht="15" thickBot="1" x14ac:dyDescent="0.35">
      <c r="B1628" s="170">
        <v>44531.645833333336</v>
      </c>
      <c r="C1628" s="238">
        <v>4693.7</v>
      </c>
      <c r="D1628" s="241">
        <f t="shared" si="53"/>
        <v>1.5226808556379663</v>
      </c>
      <c r="E1628" s="241">
        <v>-1.8660031988626268E-2</v>
      </c>
      <c r="F1628" s="242">
        <v>1624</v>
      </c>
      <c r="G1628" s="243">
        <f t="shared" ca="1" si="54"/>
        <v>-2.878220936586558E-2</v>
      </c>
    </row>
    <row r="1629" spans="2:7" ht="15" thickBot="1" x14ac:dyDescent="0.35">
      <c r="B1629" s="170">
        <v>43738.645833333336</v>
      </c>
      <c r="C1629" s="238">
        <v>1860.6</v>
      </c>
      <c r="D1629" s="241">
        <f t="shared" si="53"/>
        <v>0.25529618135204418</v>
      </c>
      <c r="E1629" s="241">
        <v>-1.8670886075949415E-2</v>
      </c>
      <c r="F1629" s="242">
        <v>1625</v>
      </c>
      <c r="G1629" s="243">
        <f t="shared" ca="1" si="54"/>
        <v>1.4922937889571008E-2</v>
      </c>
    </row>
    <row r="1630" spans="2:7" ht="15" thickBot="1" x14ac:dyDescent="0.35">
      <c r="B1630" s="170">
        <v>43535.645833333336</v>
      </c>
      <c r="C1630" s="238">
        <v>1482.2</v>
      </c>
      <c r="D1630" s="241">
        <f t="shared" si="53"/>
        <v>-0.69232685341830225</v>
      </c>
      <c r="E1630" s="241">
        <v>-1.8800476631801843E-2</v>
      </c>
      <c r="F1630" s="242">
        <v>1626</v>
      </c>
      <c r="G1630" s="243">
        <f t="shared" ca="1" si="54"/>
        <v>-3.7872819844460448E-2</v>
      </c>
    </row>
    <row r="1631" spans="2:7" ht="15" thickBot="1" x14ac:dyDescent="0.35">
      <c r="B1631" s="170">
        <v>45509.645833333336</v>
      </c>
      <c r="C1631" s="238">
        <v>4817.45</v>
      </c>
      <c r="D1631" s="241">
        <f t="shared" si="53"/>
        <v>0.13285126396237504</v>
      </c>
      <c r="E1631" s="241">
        <v>-1.8829304059145773E-2</v>
      </c>
      <c r="F1631" s="242">
        <v>1627</v>
      </c>
      <c r="G1631" s="243">
        <f t="shared" ca="1" si="54"/>
        <v>-9.0001278154739506E-3</v>
      </c>
    </row>
    <row r="1632" spans="2:7" ht="15" thickBot="1" x14ac:dyDescent="0.35">
      <c r="B1632" s="170">
        <v>45881.645833333336</v>
      </c>
      <c r="C1632" s="239">
        <v>4252.5</v>
      </c>
      <c r="D1632" s="241">
        <f t="shared" si="53"/>
        <v>0.23786513746779808</v>
      </c>
      <c r="E1632" s="241">
        <v>-1.8940617358003127E-2</v>
      </c>
      <c r="F1632" s="242">
        <v>1628</v>
      </c>
      <c r="G1632" s="243">
        <f t="shared" ca="1" si="54"/>
        <v>2.4660848106382992E-2</v>
      </c>
    </row>
    <row r="1633" spans="2:7" ht="15" thickBot="1" x14ac:dyDescent="0.35">
      <c r="B1633" s="170">
        <v>45071.645833333336</v>
      </c>
      <c r="C1633" s="238">
        <v>3435.35</v>
      </c>
      <c r="D1633" s="241">
        <f t="shared" si="53"/>
        <v>-0.13323156885502352</v>
      </c>
      <c r="E1633" s="241">
        <v>-1.8961947597629782E-2</v>
      </c>
      <c r="F1633" s="242">
        <v>1629</v>
      </c>
      <c r="G1633" s="243">
        <f t="shared" ca="1" si="54"/>
        <v>4.5710935504177042E-2</v>
      </c>
    </row>
    <row r="1634" spans="2:7" ht="15" thickBot="1" x14ac:dyDescent="0.35">
      <c r="B1634" s="170">
        <v>44764.645833333336</v>
      </c>
      <c r="C1634" s="238">
        <v>3963.4</v>
      </c>
      <c r="D1634" s="241">
        <f t="shared" si="53"/>
        <v>-2.7267149343477706E-2</v>
      </c>
      <c r="E1634" s="241">
        <v>-1.8972537468595708E-2</v>
      </c>
      <c r="F1634" s="242">
        <v>1630</v>
      </c>
      <c r="G1634" s="243">
        <f t="shared" ca="1" si="54"/>
        <v>1.2183713617037238E-2</v>
      </c>
    </row>
    <row r="1635" spans="2:7" ht="15" thickBot="1" x14ac:dyDescent="0.35">
      <c r="B1635" s="170">
        <v>45812.645833333336</v>
      </c>
      <c r="C1635" s="239">
        <v>4074.5</v>
      </c>
      <c r="D1635" s="241">
        <f t="shared" si="53"/>
        <v>0.19542894026522706</v>
      </c>
      <c r="E1635" s="241">
        <v>-1.9020103527145782E-2</v>
      </c>
      <c r="F1635" s="242">
        <v>1631</v>
      </c>
      <c r="G1635" s="243">
        <f t="shared" ca="1" si="54"/>
        <v>2.3100504146763721E-4</v>
      </c>
    </row>
    <row r="1636" spans="2:7" ht="15" thickBot="1" x14ac:dyDescent="0.35">
      <c r="B1636" s="170">
        <v>45720.645833333336</v>
      </c>
      <c r="C1636" s="238">
        <v>3408.4</v>
      </c>
      <c r="D1636" s="241">
        <f t="shared" si="53"/>
        <v>1.9400500301906327</v>
      </c>
      <c r="E1636" s="241">
        <v>-1.9024320046049766E-2</v>
      </c>
      <c r="F1636" s="242">
        <v>1632</v>
      </c>
      <c r="G1636" s="243">
        <f t="shared" ca="1" si="54"/>
        <v>-1.5635407201704966E-2</v>
      </c>
    </row>
    <row r="1637" spans="2:7" ht="15" thickBot="1" x14ac:dyDescent="0.35">
      <c r="B1637" s="170">
        <v>43125.645833333336</v>
      </c>
      <c r="C1637" s="238">
        <v>1159.3</v>
      </c>
      <c r="D1637" s="241">
        <f t="shared" si="53"/>
        <v>-0.68402403957535529</v>
      </c>
      <c r="E1637" s="241">
        <v>-1.9121753109400234E-2</v>
      </c>
      <c r="F1637" s="242">
        <v>1633</v>
      </c>
      <c r="G1637" s="243">
        <f t="shared" ca="1" si="54"/>
        <v>-1.0765399687109326E-2</v>
      </c>
    </row>
    <row r="1638" spans="2:7" ht="15" thickBot="1" x14ac:dyDescent="0.35">
      <c r="B1638" s="170">
        <v>45222.645833333336</v>
      </c>
      <c r="C1638" s="238">
        <v>3668.95</v>
      </c>
      <c r="D1638" s="241">
        <f t="shared" si="53"/>
        <v>1.8114559386973179</v>
      </c>
      <c r="E1638" s="241">
        <v>-1.914157008996013E-2</v>
      </c>
      <c r="F1638" s="242">
        <v>1634</v>
      </c>
      <c r="G1638" s="243">
        <f t="shared" ca="1" si="54"/>
        <v>4.0054949334609485E-2</v>
      </c>
    </row>
    <row r="1639" spans="2:7" ht="15" thickBot="1" x14ac:dyDescent="0.35">
      <c r="B1639" s="170">
        <v>43629.645833333336</v>
      </c>
      <c r="C1639" s="238">
        <v>1305</v>
      </c>
      <c r="D1639" s="241">
        <f t="shared" si="53"/>
        <v>-0.64386589708952469</v>
      </c>
      <c r="E1639" s="241">
        <v>-1.9239440853750119E-2</v>
      </c>
      <c r="F1639" s="242">
        <v>1635</v>
      </c>
      <c r="G1639" s="243">
        <f t="shared" ca="1" si="54"/>
        <v>-1.749249641582777E-3</v>
      </c>
    </row>
    <row r="1640" spans="2:7" ht="15" thickBot="1" x14ac:dyDescent="0.35">
      <c r="B1640" s="170">
        <v>45167.645833333336</v>
      </c>
      <c r="C1640" s="238">
        <v>3664.35</v>
      </c>
      <c r="D1640" s="241">
        <f t="shared" si="53"/>
        <v>-0.11307031344547987</v>
      </c>
      <c r="E1640" s="241">
        <v>-1.9257018975992364E-2</v>
      </c>
      <c r="F1640" s="242">
        <v>1636</v>
      </c>
      <c r="G1640" s="243">
        <f t="shared" ca="1" si="54"/>
        <v>-3.7924454941469137E-3</v>
      </c>
    </row>
    <row r="1641" spans="2:7" ht="15" thickBot="1" x14ac:dyDescent="0.35">
      <c r="B1641" s="170">
        <v>45758.645833333336</v>
      </c>
      <c r="C1641" s="239">
        <v>4131.5</v>
      </c>
      <c r="D1641" s="241">
        <f t="shared" si="53"/>
        <v>3.201069104624879E-2</v>
      </c>
      <c r="E1641" s="241">
        <v>-1.9275049255821641E-2</v>
      </c>
      <c r="F1641" s="242">
        <v>1637</v>
      </c>
      <c r="G1641" s="243">
        <f t="shared" ca="1" si="54"/>
        <v>7.4094795964331798E-5</v>
      </c>
    </row>
    <row r="1642" spans="2:7" ht="15" thickBot="1" x14ac:dyDescent="0.35">
      <c r="B1642" s="170">
        <v>44651.645833333336</v>
      </c>
      <c r="C1642" s="238">
        <v>4003.35</v>
      </c>
      <c r="D1642" s="241">
        <f t="shared" si="53"/>
        <v>0.20162984752071078</v>
      </c>
      <c r="E1642" s="241">
        <v>-1.9315565136446014E-2</v>
      </c>
      <c r="F1642" s="242">
        <v>1638</v>
      </c>
      <c r="G1642" s="243">
        <f t="shared" ca="1" si="54"/>
        <v>4.7713435129089661E-3</v>
      </c>
    </row>
    <row r="1643" spans="2:7" ht="15" thickBot="1" x14ac:dyDescent="0.35">
      <c r="B1643" s="170">
        <v>44396.645833333336</v>
      </c>
      <c r="C1643" s="238">
        <v>3331.6</v>
      </c>
      <c r="D1643" s="241">
        <f t="shared" si="53"/>
        <v>-0.29203765485879424</v>
      </c>
      <c r="E1643" s="241">
        <v>-1.933888676301777E-2</v>
      </c>
      <c r="F1643" s="242">
        <v>1639</v>
      </c>
      <c r="G1643" s="243">
        <f t="shared" ca="1" si="54"/>
        <v>-3.430004453681296E-3</v>
      </c>
    </row>
    <row r="1644" spans="2:7" ht="15" thickBot="1" x14ac:dyDescent="0.35">
      <c r="B1644" s="170">
        <v>45433.645833333336</v>
      </c>
      <c r="C1644" s="238">
        <v>4705.8999999999996</v>
      </c>
      <c r="D1644" s="241">
        <f t="shared" si="53"/>
        <v>0.21689099207426646</v>
      </c>
      <c r="E1644" s="241">
        <v>-1.9359006418271346E-2</v>
      </c>
      <c r="F1644" s="242">
        <v>1640</v>
      </c>
      <c r="G1644" s="243">
        <f t="shared" ca="1" si="54"/>
        <v>-1.1861412433211704E-2</v>
      </c>
    </row>
    <row r="1645" spans="2:7" ht="15" thickBot="1" x14ac:dyDescent="0.35">
      <c r="B1645" s="170">
        <v>44685.645833333336</v>
      </c>
      <c r="C1645" s="238">
        <v>3867.15</v>
      </c>
      <c r="D1645" s="241">
        <f t="shared" si="53"/>
        <v>7.6331097442177628E-2</v>
      </c>
      <c r="E1645" s="241">
        <v>-1.9435569755058595E-2</v>
      </c>
      <c r="F1645" s="242">
        <v>1641</v>
      </c>
      <c r="G1645" s="243">
        <f t="shared" ca="1" si="54"/>
        <v>2.5248615252199132E-2</v>
      </c>
    </row>
    <row r="1646" spans="2:7" ht="15" thickBot="1" x14ac:dyDescent="0.35">
      <c r="B1646" s="170">
        <v>45166.645833333336</v>
      </c>
      <c r="C1646" s="238">
        <v>3592.9</v>
      </c>
      <c r="D1646" s="241">
        <f t="shared" si="53"/>
        <v>-8.6264337122657062E-2</v>
      </c>
      <c r="E1646" s="241">
        <v>-1.9498683258968117E-2</v>
      </c>
      <c r="F1646" s="242">
        <v>1642</v>
      </c>
      <c r="G1646" s="243">
        <f t="shared" ca="1" si="54"/>
        <v>2.4654824529990425E-3</v>
      </c>
    </row>
    <row r="1647" spans="2:7" ht="15" thickBot="1" x14ac:dyDescent="0.35">
      <c r="B1647" s="170">
        <v>45366.645833333336</v>
      </c>
      <c r="C1647" s="238">
        <v>3932.1</v>
      </c>
      <c r="D1647" s="241">
        <f t="shared" si="53"/>
        <v>0.77754170245468113</v>
      </c>
      <c r="E1647" s="241">
        <v>-1.9560908104873462E-2</v>
      </c>
      <c r="F1647" s="242">
        <v>1643</v>
      </c>
      <c r="G1647" s="243">
        <f t="shared" ca="1" si="54"/>
        <v>-3.233254365563661E-3</v>
      </c>
    </row>
    <row r="1648" spans="2:7" ht="15" thickBot="1" x14ac:dyDescent="0.35">
      <c r="B1648" s="170">
        <v>43938.645833333336</v>
      </c>
      <c r="C1648" s="238">
        <v>2212.1</v>
      </c>
      <c r="D1648" s="241">
        <f t="shared" si="53"/>
        <v>0.17856096326487111</v>
      </c>
      <c r="E1648" s="241">
        <v>-1.956786703601112E-2</v>
      </c>
      <c r="F1648" s="242">
        <v>1644</v>
      </c>
      <c r="G1648" s="243">
        <f t="shared" ca="1" si="54"/>
        <v>-1.8536911725070274E-2</v>
      </c>
    </row>
    <row r="1649" spans="2:7" ht="15" thickBot="1" x14ac:dyDescent="0.35">
      <c r="B1649" s="170">
        <v>43840.645833333336</v>
      </c>
      <c r="C1649" s="238">
        <v>1876.95</v>
      </c>
      <c r="D1649" s="241">
        <f t="shared" si="53"/>
        <v>0.34269261034408749</v>
      </c>
      <c r="E1649" s="241">
        <v>-1.9690282819314259E-2</v>
      </c>
      <c r="F1649" s="242">
        <v>1645</v>
      </c>
      <c r="G1649" s="243">
        <f t="shared" ca="1" si="54"/>
        <v>-3.1585256914071426E-3</v>
      </c>
    </row>
    <row r="1650" spans="2:7" ht="15" thickBot="1" x14ac:dyDescent="0.35">
      <c r="B1650" s="170">
        <v>43644.645833333336</v>
      </c>
      <c r="C1650" s="238">
        <v>1397.9</v>
      </c>
      <c r="D1650" s="241">
        <f t="shared" si="53"/>
        <v>-0.3784072213081951</v>
      </c>
      <c r="E1650" s="241">
        <v>-1.973984081904552E-2</v>
      </c>
      <c r="F1650" s="242">
        <v>1646</v>
      </c>
      <c r="G1650" s="243">
        <f t="shared" ca="1" si="54"/>
        <v>-2.2916285499453352E-2</v>
      </c>
    </row>
    <row r="1651" spans="2:7" ht="15" thickBot="1" x14ac:dyDescent="0.35">
      <c r="B1651" s="170">
        <v>43866.645833333336</v>
      </c>
      <c r="C1651" s="238">
        <v>2248.9</v>
      </c>
      <c r="D1651" s="241">
        <f t="shared" si="53"/>
        <v>-0.20024893314366995</v>
      </c>
      <c r="E1651" s="241">
        <v>-1.9809532111491193E-2</v>
      </c>
      <c r="F1651" s="242">
        <v>1647</v>
      </c>
      <c r="G1651" s="243">
        <f t="shared" ca="1" si="54"/>
        <v>-2.7168073354679697E-3</v>
      </c>
    </row>
    <row r="1652" spans="2:7" ht="15" thickBot="1" x14ac:dyDescent="0.35">
      <c r="B1652" s="170">
        <v>44228.645833333336</v>
      </c>
      <c r="C1652" s="238">
        <v>2812</v>
      </c>
      <c r="D1652" s="241">
        <f t="shared" si="53"/>
        <v>0.92484085152987872</v>
      </c>
      <c r="E1652" s="241">
        <v>-1.9901711338050229E-2</v>
      </c>
      <c r="F1652" s="242">
        <v>1648</v>
      </c>
      <c r="G1652" s="243">
        <f t="shared" ca="1" si="54"/>
        <v>3.1497500971114187E-2</v>
      </c>
    </row>
    <row r="1653" spans="2:7" ht="15" thickBot="1" x14ac:dyDescent="0.35">
      <c r="B1653" s="170">
        <v>43690.645833333336</v>
      </c>
      <c r="C1653" s="238">
        <v>1460.9</v>
      </c>
      <c r="D1653" s="241">
        <f t="shared" si="53"/>
        <v>-0.38696208640187996</v>
      </c>
      <c r="E1653" s="241">
        <v>-1.9924862471487871E-2</v>
      </c>
      <c r="F1653" s="242">
        <v>1649</v>
      </c>
      <c r="G1653" s="243">
        <f t="shared" ca="1" si="54"/>
        <v>2.7402039544261261E-4</v>
      </c>
    </row>
    <row r="1654" spans="2:7" ht="15" thickBot="1" x14ac:dyDescent="0.35">
      <c r="B1654" s="170">
        <v>44148.645833333336</v>
      </c>
      <c r="C1654" s="238">
        <v>2383.0500000000002</v>
      </c>
      <c r="D1654" s="241">
        <f t="shared" si="53"/>
        <v>-0.30181354740419536</v>
      </c>
      <c r="E1654" s="241">
        <v>-2.0187899595008493E-2</v>
      </c>
      <c r="F1654" s="242">
        <v>1650</v>
      </c>
      <c r="G1654" s="243">
        <f t="shared" ca="1" si="54"/>
        <v>1.603165143867156E-4</v>
      </c>
    </row>
    <row r="1655" spans="2:7" ht="15" thickBot="1" x14ac:dyDescent="0.35">
      <c r="B1655" s="170">
        <v>44400.645833333336</v>
      </c>
      <c r="C1655" s="238">
        <v>3413.2</v>
      </c>
      <c r="D1655" s="241">
        <f t="shared" si="53"/>
        <v>1.3006201132380695</v>
      </c>
      <c r="E1655" s="241">
        <v>-2.0194916105696879E-2</v>
      </c>
      <c r="F1655" s="242">
        <v>1651</v>
      </c>
      <c r="G1655" s="243">
        <f t="shared" ca="1" si="54"/>
        <v>-2.4366380520900961E-2</v>
      </c>
    </row>
    <row r="1656" spans="2:7" ht="15" thickBot="1" x14ac:dyDescent="0.35">
      <c r="B1656" s="170">
        <v>43678.645833333336</v>
      </c>
      <c r="C1656" s="238">
        <v>1483.6</v>
      </c>
      <c r="D1656" s="241">
        <f t="shared" si="53"/>
        <v>-0.69098104561549678</v>
      </c>
      <c r="E1656" s="241">
        <v>-2.0208691057984503E-2</v>
      </c>
      <c r="F1656" s="242">
        <v>1652</v>
      </c>
      <c r="G1656" s="243">
        <f t="shared" ca="1" si="54"/>
        <v>-4.381789493782056E-2</v>
      </c>
    </row>
    <row r="1657" spans="2:7" ht="15" thickBot="1" x14ac:dyDescent="0.35">
      <c r="B1657" s="170">
        <v>45469.645833333336</v>
      </c>
      <c r="C1657" s="238">
        <v>4801</v>
      </c>
      <c r="D1657" s="241">
        <f t="shared" si="53"/>
        <v>0.57904257593448349</v>
      </c>
      <c r="E1657" s="241">
        <v>-2.0224077059651915E-2</v>
      </c>
      <c r="F1657" s="242">
        <v>1653</v>
      </c>
      <c r="G1657" s="243">
        <f t="shared" ca="1" si="54"/>
        <v>-2.2800521744300667E-2</v>
      </c>
    </row>
    <row r="1658" spans="2:7" ht="15" thickBot="1" x14ac:dyDescent="0.35">
      <c r="B1658" s="170">
        <v>44340.645833333336</v>
      </c>
      <c r="C1658" s="238">
        <v>3040.45</v>
      </c>
      <c r="D1658" s="241">
        <f t="shared" si="53"/>
        <v>-0.10800621956228366</v>
      </c>
      <c r="E1658" s="241">
        <v>-2.0426244824975463E-2</v>
      </c>
      <c r="F1658" s="242">
        <v>1654</v>
      </c>
      <c r="G1658" s="243">
        <f t="shared" ca="1" si="54"/>
        <v>2.7336885939309337E-2</v>
      </c>
    </row>
    <row r="1659" spans="2:7" ht="15" thickBot="1" x14ac:dyDescent="0.35">
      <c r="B1659" s="170">
        <v>44739.645833333336</v>
      </c>
      <c r="C1659" s="238">
        <v>3408.6</v>
      </c>
      <c r="D1659" s="241">
        <f t="shared" si="53"/>
        <v>1.2761176588427765</v>
      </c>
      <c r="E1659" s="241">
        <v>-2.0503168148967632E-2</v>
      </c>
      <c r="F1659" s="242">
        <v>1655</v>
      </c>
      <c r="G1659" s="243">
        <f t="shared" ca="1" si="54"/>
        <v>3.1152068739667242E-2</v>
      </c>
    </row>
    <row r="1660" spans="2:7" ht="15" thickBot="1" x14ac:dyDescent="0.35">
      <c r="B1660" s="170">
        <v>43245.645833333336</v>
      </c>
      <c r="C1660" s="238">
        <v>1497.55</v>
      </c>
      <c r="D1660" s="241">
        <f t="shared" si="53"/>
        <v>0.11928696887028656</v>
      </c>
      <c r="E1660" s="241">
        <v>-2.0504938190856258E-2</v>
      </c>
      <c r="F1660" s="242">
        <v>1656</v>
      </c>
      <c r="G1660" s="243">
        <f t="shared" ca="1" si="54"/>
        <v>-4.7718108593789256E-2</v>
      </c>
    </row>
    <row r="1661" spans="2:7" ht="15" thickBot="1" x14ac:dyDescent="0.35">
      <c r="B1661" s="170">
        <v>43404.645833333336</v>
      </c>
      <c r="C1661" s="238">
        <v>1337.95</v>
      </c>
      <c r="D1661" s="241">
        <f t="shared" si="53"/>
        <v>-0.66995572110462887</v>
      </c>
      <c r="E1661" s="241">
        <v>-2.0606104970353464E-2</v>
      </c>
      <c r="F1661" s="242">
        <v>1657</v>
      </c>
      <c r="G1661" s="243">
        <f t="shared" ca="1" si="54"/>
        <v>-1.7599763268595796E-2</v>
      </c>
    </row>
    <row r="1662" spans="2:7" ht="15" thickBot="1" x14ac:dyDescent="0.35">
      <c r="B1662" s="170">
        <v>45755.645833333336</v>
      </c>
      <c r="C1662" s="239">
        <v>4053.85</v>
      </c>
      <c r="D1662" s="241">
        <f t="shared" si="53"/>
        <v>2.4946982758620688</v>
      </c>
      <c r="E1662" s="241">
        <v>-2.0643587079941118E-2</v>
      </c>
      <c r="F1662" s="242">
        <v>1658</v>
      </c>
      <c r="G1662" s="243">
        <f t="shared" ca="1" si="54"/>
        <v>9.6745953028585586E-4</v>
      </c>
    </row>
    <row r="1663" spans="2:7" ht="15" thickBot="1" x14ac:dyDescent="0.35">
      <c r="B1663" s="170">
        <v>43102.645833333336</v>
      </c>
      <c r="C1663" s="238">
        <v>1160</v>
      </c>
      <c r="D1663" s="241">
        <f t="shared" si="53"/>
        <v>-0.58512160228898424</v>
      </c>
      <c r="E1663" s="241">
        <v>-2.0725169895740962E-2</v>
      </c>
      <c r="F1663" s="242">
        <v>1659</v>
      </c>
      <c r="G1663" s="243">
        <f t="shared" ca="1" si="54"/>
        <v>3.9248945347111229E-2</v>
      </c>
    </row>
    <row r="1664" spans="2:7" ht="15" thickBot="1" x14ac:dyDescent="0.35">
      <c r="B1664" s="170">
        <v>44280.645833333336</v>
      </c>
      <c r="C1664" s="238">
        <v>2796</v>
      </c>
      <c r="D1664" s="241">
        <f t="shared" si="53"/>
        <v>-0.25563069059155524</v>
      </c>
      <c r="E1664" s="241">
        <v>-2.07340991874474E-2</v>
      </c>
      <c r="F1664" s="242">
        <v>1660</v>
      </c>
      <c r="G1664" s="243">
        <f t="shared" ca="1" si="54"/>
        <v>1.1584570226821571E-2</v>
      </c>
    </row>
    <row r="1665" spans="2:7" ht="15" thickBot="1" x14ac:dyDescent="0.35">
      <c r="B1665" s="170">
        <v>45342.645833333336</v>
      </c>
      <c r="C1665" s="238">
        <v>3756.2</v>
      </c>
      <c r="D1665" s="241">
        <f t="shared" si="53"/>
        <v>0.63075520437623456</v>
      </c>
      <c r="E1665" s="241">
        <v>-2.0739099263507838E-2</v>
      </c>
      <c r="F1665" s="242">
        <v>1661</v>
      </c>
      <c r="G1665" s="243">
        <f t="shared" ca="1" si="54"/>
        <v>-2.8894894795729591E-2</v>
      </c>
    </row>
    <row r="1666" spans="2:7" ht="15" thickBot="1" x14ac:dyDescent="0.35">
      <c r="B1666" s="170">
        <v>43963.645833333336</v>
      </c>
      <c r="C1666" s="238">
        <v>2303.35</v>
      </c>
      <c r="D1666" s="241">
        <f t="shared" si="53"/>
        <v>0.81066740036160689</v>
      </c>
      <c r="E1666" s="241">
        <v>-2.0746976170737487E-2</v>
      </c>
      <c r="F1666" s="242">
        <v>1662</v>
      </c>
      <c r="G1666" s="243">
        <f t="shared" ca="1" si="54"/>
        <v>5.6498976735187756E-3</v>
      </c>
    </row>
    <row r="1667" spans="2:7" ht="15" thickBot="1" x14ac:dyDescent="0.35">
      <c r="B1667" s="170">
        <v>43606.645833333336</v>
      </c>
      <c r="C1667" s="238">
        <v>1272.0999999999999</v>
      </c>
      <c r="D1667" s="241">
        <f t="shared" si="53"/>
        <v>-0.11840327107661397</v>
      </c>
      <c r="E1667" s="241">
        <v>-2.0821306238694669E-2</v>
      </c>
      <c r="F1667" s="242">
        <v>1663</v>
      </c>
      <c r="G1667" s="243">
        <f t="shared" ca="1" si="54"/>
        <v>1.3445394239180019E-2</v>
      </c>
    </row>
    <row r="1668" spans="2:7" ht="15" thickBot="1" x14ac:dyDescent="0.35">
      <c r="B1668" s="170">
        <v>43497.645833333336</v>
      </c>
      <c r="C1668" s="238">
        <v>1442.95</v>
      </c>
      <c r="D1668" s="241">
        <f t="shared" si="53"/>
        <v>-0.66769914561407551</v>
      </c>
      <c r="E1668" s="241">
        <v>-2.0998710903046371E-2</v>
      </c>
      <c r="F1668" s="242">
        <v>1664</v>
      </c>
      <c r="G1668" s="243">
        <f t="shared" ca="1" si="54"/>
        <v>-1.2299410656729058E-2</v>
      </c>
    </row>
    <row r="1669" spans="2:7" ht="15" thickBot="1" x14ac:dyDescent="0.35">
      <c r="B1669" s="170">
        <v>45768.645833333336</v>
      </c>
      <c r="C1669" s="239">
        <v>4342.3</v>
      </c>
      <c r="D1669" s="241">
        <f t="shared" ref="D1669:D1732" si="55">(C1669-C1670)/C1670</f>
        <v>0.1708888918849685</v>
      </c>
      <c r="E1669" s="241">
        <v>-2.1034358373162632E-2</v>
      </c>
      <c r="F1669" s="242">
        <v>1665</v>
      </c>
      <c r="G1669" s="243">
        <f t="shared" ca="1" si="54"/>
        <v>2.5542018584328061E-2</v>
      </c>
    </row>
    <row r="1670" spans="2:7" ht="15" thickBot="1" x14ac:dyDescent="0.35">
      <c r="B1670" s="170">
        <v>44432.645833333336</v>
      </c>
      <c r="C1670" s="238">
        <v>3708.55</v>
      </c>
      <c r="D1670" s="241">
        <f t="shared" si="55"/>
        <v>1.3714230904498517</v>
      </c>
      <c r="E1670" s="241">
        <v>-2.141330448320438E-2</v>
      </c>
      <c r="F1670" s="242">
        <v>1666</v>
      </c>
      <c r="G1670" s="243">
        <f t="shared" ref="G1670:G1733" ca="1" si="56">_xlfn.NORM.INV(RAND(),$M$7,$M$8)</f>
        <v>3.1550901100597668E-2</v>
      </c>
    </row>
    <row r="1671" spans="2:7" ht="15" thickBot="1" x14ac:dyDescent="0.35">
      <c r="B1671" s="170">
        <v>43290.645833333336</v>
      </c>
      <c r="C1671" s="238">
        <v>1563.85</v>
      </c>
      <c r="D1671" s="241">
        <f t="shared" si="55"/>
        <v>7.8219801434087022E-2</v>
      </c>
      <c r="E1671" s="241">
        <v>-2.1431700143920908E-2</v>
      </c>
      <c r="F1671" s="242">
        <v>1667</v>
      </c>
      <c r="G1671" s="243">
        <f t="shared" ca="1" si="56"/>
        <v>1.1495027105276836E-2</v>
      </c>
    </row>
    <row r="1672" spans="2:7" ht="15" thickBot="1" x14ac:dyDescent="0.35">
      <c r="B1672" s="170">
        <v>43532.645833333336</v>
      </c>
      <c r="C1672" s="238">
        <v>1450.4</v>
      </c>
      <c r="D1672" s="241">
        <f t="shared" si="55"/>
        <v>-0.65618518211233712</v>
      </c>
      <c r="E1672" s="241">
        <v>-2.1454594521656965E-2</v>
      </c>
      <c r="F1672" s="242">
        <v>1668</v>
      </c>
      <c r="G1672" s="243">
        <f t="shared" ca="1" si="56"/>
        <v>3.0537765309763477E-2</v>
      </c>
    </row>
    <row r="1673" spans="2:7" ht="15" thickBot="1" x14ac:dyDescent="0.35">
      <c r="B1673" s="170">
        <v>44475.645833333336</v>
      </c>
      <c r="C1673" s="238">
        <v>4218.55</v>
      </c>
      <c r="D1673" s="241">
        <f t="shared" si="55"/>
        <v>-0.14080734841850129</v>
      </c>
      <c r="E1673" s="241">
        <v>-2.1604007699979041E-2</v>
      </c>
      <c r="F1673" s="242">
        <v>1669</v>
      </c>
      <c r="G1673" s="243">
        <f t="shared" ca="1" si="56"/>
        <v>1.7249817641439472E-2</v>
      </c>
    </row>
    <row r="1674" spans="2:7" ht="15" thickBot="1" x14ac:dyDescent="0.35">
      <c r="B1674" s="170">
        <v>45510.645833333336</v>
      </c>
      <c r="C1674" s="238">
        <v>4909.8999999999996</v>
      </c>
      <c r="D1674" s="241">
        <f t="shared" si="55"/>
        <v>0.36454338280251236</v>
      </c>
      <c r="E1674" s="241">
        <v>-2.1639932250672584E-2</v>
      </c>
      <c r="F1674" s="242">
        <v>1670</v>
      </c>
      <c r="G1674" s="243">
        <f t="shared" ca="1" si="56"/>
        <v>8.9335188191266915E-3</v>
      </c>
    </row>
    <row r="1675" spans="2:7" ht="15" thickBot="1" x14ac:dyDescent="0.35">
      <c r="B1675" s="170">
        <v>45051.645833333336</v>
      </c>
      <c r="C1675" s="238">
        <v>3598.2</v>
      </c>
      <c r="D1675" s="241">
        <f t="shared" si="55"/>
        <v>0.6366985830926335</v>
      </c>
      <c r="E1675" s="241">
        <v>-2.1656674415759233E-2</v>
      </c>
      <c r="F1675" s="242">
        <v>1671</v>
      </c>
      <c r="G1675" s="243">
        <f t="shared" ca="1" si="56"/>
        <v>1.5055701288589102E-2</v>
      </c>
    </row>
    <row r="1676" spans="2:7" ht="15" thickBot="1" x14ac:dyDescent="0.35">
      <c r="B1676" s="170">
        <v>43894.645833333336</v>
      </c>
      <c r="C1676" s="238">
        <v>2198.4499999999998</v>
      </c>
      <c r="D1676" s="241">
        <f t="shared" si="55"/>
        <v>-0.49011990630145885</v>
      </c>
      <c r="E1676" s="241">
        <v>-2.1693663225347101E-2</v>
      </c>
      <c r="F1676" s="242">
        <v>1672</v>
      </c>
      <c r="G1676" s="243">
        <f t="shared" ca="1" si="56"/>
        <v>-1.1285627604296024E-2</v>
      </c>
    </row>
    <row r="1677" spans="2:7" ht="15" thickBot="1" x14ac:dyDescent="0.35">
      <c r="B1677" s="170">
        <v>44476.645833333336</v>
      </c>
      <c r="C1677" s="238">
        <v>4311.7</v>
      </c>
      <c r="D1677" s="241">
        <f t="shared" si="55"/>
        <v>0.31822003454759462</v>
      </c>
      <c r="E1677" s="241">
        <v>-2.1835547136423963E-2</v>
      </c>
      <c r="F1677" s="242">
        <v>1673</v>
      </c>
      <c r="G1677" s="243">
        <f t="shared" ca="1" si="56"/>
        <v>-2.2383111239940672E-2</v>
      </c>
    </row>
    <row r="1678" spans="2:7" ht="15" thickBot="1" x14ac:dyDescent="0.35">
      <c r="B1678" s="170">
        <v>44376.645833333336</v>
      </c>
      <c r="C1678" s="238">
        <v>3270.85</v>
      </c>
      <c r="D1678" s="241">
        <f t="shared" si="55"/>
        <v>-0.20396938390586403</v>
      </c>
      <c r="E1678" s="241">
        <v>-2.1904249274842261E-2</v>
      </c>
      <c r="F1678" s="242">
        <v>1674</v>
      </c>
      <c r="G1678" s="243">
        <f t="shared" ca="1" si="56"/>
        <v>-2.8396678787620973E-2</v>
      </c>
    </row>
    <row r="1679" spans="2:7" ht="15" thickBot="1" x14ac:dyDescent="0.35">
      <c r="B1679" s="170">
        <v>44908.645833333336</v>
      </c>
      <c r="C1679" s="238">
        <v>4108.95</v>
      </c>
      <c r="D1679" s="241">
        <f t="shared" si="55"/>
        <v>1.8351273028358517</v>
      </c>
      <c r="E1679" s="241">
        <v>-2.1934731379876827E-2</v>
      </c>
      <c r="F1679" s="242">
        <v>1675</v>
      </c>
      <c r="G1679" s="243">
        <f t="shared" ca="1" si="56"/>
        <v>-1.903467623821711E-2</v>
      </c>
    </row>
    <row r="1680" spans="2:7" ht="15" thickBot="1" x14ac:dyDescent="0.35">
      <c r="B1680" s="170">
        <v>43560.645833333336</v>
      </c>
      <c r="C1680" s="238">
        <v>1449.3</v>
      </c>
      <c r="D1680" s="241">
        <f t="shared" si="55"/>
        <v>-0.67295867134524034</v>
      </c>
      <c r="E1680" s="241">
        <v>-2.19657860107298E-2</v>
      </c>
      <c r="F1680" s="242">
        <v>1676</v>
      </c>
      <c r="G1680" s="243">
        <f t="shared" ca="1" si="56"/>
        <v>-2.920581297032333E-2</v>
      </c>
    </row>
    <row r="1681" spans="2:7" ht="15" thickBot="1" x14ac:dyDescent="0.35">
      <c r="B1681" s="170">
        <v>44802.645833333336</v>
      </c>
      <c r="C1681" s="238">
        <v>4431.55</v>
      </c>
      <c r="D1681" s="241">
        <f t="shared" si="55"/>
        <v>0.33261663834969718</v>
      </c>
      <c r="E1681" s="241">
        <v>-2.2024341531773132E-2</v>
      </c>
      <c r="F1681" s="242">
        <v>1677</v>
      </c>
      <c r="G1681" s="243">
        <f t="shared" ca="1" si="56"/>
        <v>2.2059632766741551E-2</v>
      </c>
    </row>
    <row r="1682" spans="2:7" ht="15" thickBot="1" x14ac:dyDescent="0.35">
      <c r="B1682" s="170">
        <v>45014.645833333336</v>
      </c>
      <c r="C1682" s="238">
        <v>3325.45</v>
      </c>
      <c r="D1682" s="241">
        <f t="shared" si="55"/>
        <v>-0.13881911174414094</v>
      </c>
      <c r="E1682" s="241">
        <v>-2.2228429455609402E-2</v>
      </c>
      <c r="F1682" s="242">
        <v>1678</v>
      </c>
      <c r="G1682" s="243">
        <f t="shared" ca="1" si="56"/>
        <v>-8.1002632759602216E-3</v>
      </c>
    </row>
    <row r="1683" spans="2:7" ht="15" thickBot="1" x14ac:dyDescent="0.35">
      <c r="B1683" s="170">
        <v>45259.645833333336</v>
      </c>
      <c r="C1683" s="238">
        <v>3861.5</v>
      </c>
      <c r="D1683" s="241">
        <f t="shared" si="55"/>
        <v>0.98427584080573471</v>
      </c>
      <c r="E1683" s="241">
        <v>-2.2343186277612507E-2</v>
      </c>
      <c r="F1683" s="242">
        <v>1679</v>
      </c>
      <c r="G1683" s="243">
        <f t="shared" ca="1" si="56"/>
        <v>-4.2812824360170747E-2</v>
      </c>
    </row>
    <row r="1684" spans="2:7" ht="15" thickBot="1" x14ac:dyDescent="0.35">
      <c r="B1684" s="170">
        <v>43846.645833333336</v>
      </c>
      <c r="C1684" s="238">
        <v>1946.05</v>
      </c>
      <c r="D1684" s="241">
        <f t="shared" si="55"/>
        <v>8.081017379367457E-3</v>
      </c>
      <c r="E1684" s="241">
        <v>-2.2355630353419909E-2</v>
      </c>
      <c r="F1684" s="242">
        <v>1680</v>
      </c>
      <c r="G1684" s="243">
        <f t="shared" ca="1" si="56"/>
        <v>2.0674709565687885E-2</v>
      </c>
    </row>
    <row r="1685" spans="2:7" ht="15" thickBot="1" x14ac:dyDescent="0.35">
      <c r="B1685" s="170">
        <v>43858.645833333336</v>
      </c>
      <c r="C1685" s="238">
        <v>1930.45</v>
      </c>
      <c r="D1685" s="241">
        <f t="shared" si="55"/>
        <v>-0.45987801124758676</v>
      </c>
      <c r="E1685" s="241">
        <v>-2.2383713569493351E-2</v>
      </c>
      <c r="F1685" s="242">
        <v>1681</v>
      </c>
      <c r="G1685" s="243">
        <f t="shared" ca="1" si="56"/>
        <v>-1.3598414655754777E-2</v>
      </c>
    </row>
    <row r="1686" spans="2:7" ht="15" thickBot="1" x14ac:dyDescent="0.35">
      <c r="B1686" s="170">
        <v>44704.645833333336</v>
      </c>
      <c r="C1686" s="238">
        <v>3574.1</v>
      </c>
      <c r="D1686" s="241">
        <f t="shared" si="55"/>
        <v>-0.14965144774095321</v>
      </c>
      <c r="E1686" s="241">
        <v>-2.2602037328228644E-2</v>
      </c>
      <c r="F1686" s="242">
        <v>1682</v>
      </c>
      <c r="G1686" s="243">
        <f t="shared" ca="1" si="56"/>
        <v>-1.9291200361372253E-2</v>
      </c>
    </row>
    <row r="1687" spans="2:7" ht="15" thickBot="1" x14ac:dyDescent="0.35">
      <c r="B1687" s="170">
        <v>45827.645833333336</v>
      </c>
      <c r="C1687" s="239">
        <v>4203.1000000000004</v>
      </c>
      <c r="D1687" s="241">
        <f t="shared" si="55"/>
        <v>0.223966220151427</v>
      </c>
      <c r="E1687" s="241">
        <v>-2.2603074204125249E-2</v>
      </c>
      <c r="F1687" s="242">
        <v>1683</v>
      </c>
      <c r="G1687" s="243">
        <f t="shared" ca="1" si="56"/>
        <v>3.2540072585670439E-2</v>
      </c>
    </row>
    <row r="1688" spans="2:7" ht="15" thickBot="1" x14ac:dyDescent="0.35">
      <c r="B1688" s="170">
        <v>44949.645833333336</v>
      </c>
      <c r="C1688" s="238">
        <v>3434</v>
      </c>
      <c r="D1688" s="241">
        <f t="shared" si="55"/>
        <v>-0.17209122908529825</v>
      </c>
      <c r="E1688" s="241">
        <v>-2.2627010103885015E-2</v>
      </c>
      <c r="F1688" s="242">
        <v>1684</v>
      </c>
      <c r="G1688" s="243">
        <f t="shared" ca="1" si="56"/>
        <v>-1.1966983738425674E-2</v>
      </c>
    </row>
    <row r="1689" spans="2:7" ht="15" thickBot="1" x14ac:dyDescent="0.35">
      <c r="B1689" s="170">
        <v>44770.645833333336</v>
      </c>
      <c r="C1689" s="238">
        <v>4147.8</v>
      </c>
      <c r="D1689" s="241">
        <f t="shared" si="55"/>
        <v>0.85318559556786722</v>
      </c>
      <c r="E1689" s="241">
        <v>-2.2632750921922351E-2</v>
      </c>
      <c r="F1689" s="242">
        <v>1685</v>
      </c>
      <c r="G1689" s="243">
        <f t="shared" ca="1" si="56"/>
        <v>-3.1055097784963921E-2</v>
      </c>
    </row>
    <row r="1690" spans="2:7" ht="15" thickBot="1" x14ac:dyDescent="0.35">
      <c r="B1690" s="170">
        <v>43942.645833333336</v>
      </c>
      <c r="C1690" s="238">
        <v>2238.1999999999998</v>
      </c>
      <c r="D1690" s="241">
        <f t="shared" si="55"/>
        <v>6.8710308933772446E-2</v>
      </c>
      <c r="E1690" s="241">
        <v>-2.2641427043077818E-2</v>
      </c>
      <c r="F1690" s="242">
        <v>1686</v>
      </c>
      <c r="G1690" s="243">
        <f t="shared" ca="1" si="56"/>
        <v>3.8156565780073028E-3</v>
      </c>
    </row>
    <row r="1691" spans="2:7" ht="15" thickBot="1" x14ac:dyDescent="0.35">
      <c r="B1691" s="170">
        <v>44123.645833333336</v>
      </c>
      <c r="C1691" s="238">
        <v>2094.3000000000002</v>
      </c>
      <c r="D1691" s="241">
        <f t="shared" si="55"/>
        <v>-0.45616016827016703</v>
      </c>
      <c r="E1691" s="241">
        <v>-2.2747952684258416E-2</v>
      </c>
      <c r="F1691" s="242">
        <v>1687</v>
      </c>
      <c r="G1691" s="243">
        <f t="shared" ca="1" si="56"/>
        <v>-4.5280850364450131E-3</v>
      </c>
    </row>
    <row r="1692" spans="2:7" ht="15" thickBot="1" x14ac:dyDescent="0.35">
      <c r="B1692" s="170">
        <v>44749.645833333336</v>
      </c>
      <c r="C1692" s="238">
        <v>3850.95</v>
      </c>
      <c r="D1692" s="241">
        <f t="shared" si="55"/>
        <v>-5.4621523204462933E-3</v>
      </c>
      <c r="E1692" s="241">
        <v>-2.3023061115762234E-2</v>
      </c>
      <c r="F1692" s="242">
        <v>1688</v>
      </c>
      <c r="G1692" s="243">
        <f t="shared" ca="1" si="56"/>
        <v>2.0071444992052094E-2</v>
      </c>
    </row>
    <row r="1693" spans="2:7" ht="15" thickBot="1" x14ac:dyDescent="0.35">
      <c r="B1693" s="170">
        <v>45104.645833333336</v>
      </c>
      <c r="C1693" s="238">
        <v>3872.1</v>
      </c>
      <c r="D1693" s="241">
        <f t="shared" si="55"/>
        <v>1.5481886084696128</v>
      </c>
      <c r="E1693" s="241">
        <v>-2.3085074174992431E-2</v>
      </c>
      <c r="F1693" s="242">
        <v>1689</v>
      </c>
      <c r="G1693" s="243">
        <f t="shared" ca="1" si="56"/>
        <v>-3.5738121126792706E-2</v>
      </c>
    </row>
    <row r="1694" spans="2:7" ht="15" thickBot="1" x14ac:dyDescent="0.35">
      <c r="B1694" s="170">
        <v>43257.645833333336</v>
      </c>
      <c r="C1694" s="238">
        <v>1519.55</v>
      </c>
      <c r="D1694" s="241">
        <f t="shared" si="55"/>
        <v>-0.65625318116523956</v>
      </c>
      <c r="E1694" s="241">
        <v>-2.3142939796213558E-2</v>
      </c>
      <c r="F1694" s="242">
        <v>1690</v>
      </c>
      <c r="G1694" s="243">
        <f t="shared" ca="1" si="56"/>
        <v>-3.4314002197592716E-2</v>
      </c>
    </row>
    <row r="1695" spans="2:7" ht="15" thickBot="1" x14ac:dyDescent="0.35">
      <c r="B1695" s="170">
        <v>45378.645833333336</v>
      </c>
      <c r="C1695" s="238">
        <v>4420.55</v>
      </c>
      <c r="D1695" s="241">
        <f t="shared" si="55"/>
        <v>0.13199405905098469</v>
      </c>
      <c r="E1695" s="241">
        <v>-2.3212391727063852E-2</v>
      </c>
      <c r="F1695" s="242">
        <v>1691</v>
      </c>
      <c r="G1695" s="243">
        <f t="shared" ca="1" si="56"/>
        <v>2.7794190180473609E-3</v>
      </c>
    </row>
    <row r="1696" spans="2:7" ht="15" thickBot="1" x14ac:dyDescent="0.35">
      <c r="B1696" s="170">
        <v>45740.645833333336</v>
      </c>
      <c r="C1696" s="238">
        <v>3905.1</v>
      </c>
      <c r="D1696" s="241">
        <f t="shared" si="55"/>
        <v>1.5858164481525623</v>
      </c>
      <c r="E1696" s="241">
        <v>-2.3432029608882732E-2</v>
      </c>
      <c r="F1696" s="242">
        <v>1692</v>
      </c>
      <c r="G1696" s="243">
        <f t="shared" ca="1" si="56"/>
        <v>3.1536041322310158E-2</v>
      </c>
    </row>
    <row r="1697" spans="2:7" ht="15" thickBot="1" x14ac:dyDescent="0.35">
      <c r="B1697" s="170">
        <v>43444.645833333336</v>
      </c>
      <c r="C1697" s="238">
        <v>1510.2</v>
      </c>
      <c r="D1697" s="241">
        <f t="shared" si="55"/>
        <v>-0.42403844320283751</v>
      </c>
      <c r="E1697" s="241">
        <v>-2.347235693501452E-2</v>
      </c>
      <c r="F1697" s="242">
        <v>1693</v>
      </c>
      <c r="G1697" s="243">
        <f t="shared" ca="1" si="56"/>
        <v>6.6992015585126572E-3</v>
      </c>
    </row>
    <row r="1698" spans="2:7" ht="15" thickBot="1" x14ac:dyDescent="0.35">
      <c r="B1698" s="170">
        <v>44175.645833333336</v>
      </c>
      <c r="C1698" s="238">
        <v>2622.05</v>
      </c>
      <c r="D1698" s="241">
        <f t="shared" si="55"/>
        <v>-0.26072798015112214</v>
      </c>
      <c r="E1698" s="241">
        <v>-2.3481434583441856E-2</v>
      </c>
      <c r="F1698" s="242">
        <v>1694</v>
      </c>
      <c r="G1698" s="243">
        <f t="shared" ca="1" si="56"/>
        <v>-3.8920318008944306E-2</v>
      </c>
    </row>
    <row r="1699" spans="2:7" ht="15" thickBot="1" x14ac:dyDescent="0.35">
      <c r="B1699" s="170">
        <v>45085.645833333336</v>
      </c>
      <c r="C1699" s="238">
        <v>3546.8</v>
      </c>
      <c r="D1699" s="241">
        <f t="shared" si="55"/>
        <v>-0.287876962614946</v>
      </c>
      <c r="E1699" s="241">
        <v>-2.3485036204950231E-2</v>
      </c>
      <c r="F1699" s="242">
        <v>1695</v>
      </c>
      <c r="G1699" s="243">
        <f t="shared" ca="1" si="56"/>
        <v>-6.5523237568031649E-3</v>
      </c>
    </row>
    <row r="1700" spans="2:7" ht="15" thickBot="1" x14ac:dyDescent="0.35">
      <c r="B1700" s="170">
        <v>45538.645833333336</v>
      </c>
      <c r="C1700" s="238">
        <v>4980.6000000000004</v>
      </c>
      <c r="D1700" s="241">
        <f t="shared" si="55"/>
        <v>0.23295911673329953</v>
      </c>
      <c r="E1700" s="241">
        <v>-2.3584073398811835E-2</v>
      </c>
      <c r="F1700" s="242">
        <v>1696</v>
      </c>
      <c r="G1700" s="243">
        <f t="shared" ca="1" si="56"/>
        <v>-2.7528677325628706E-2</v>
      </c>
    </row>
    <row r="1701" spans="2:7" ht="15" thickBot="1" x14ac:dyDescent="0.35">
      <c r="B1701" s="170">
        <v>45265.645833333336</v>
      </c>
      <c r="C1701" s="238">
        <v>4039.55</v>
      </c>
      <c r="D1701" s="241">
        <f t="shared" si="55"/>
        <v>1.718039294845916</v>
      </c>
      <c r="E1701" s="241">
        <v>-2.3591119490470363E-2</v>
      </c>
      <c r="F1701" s="242">
        <v>1697</v>
      </c>
      <c r="G1701" s="243">
        <f t="shared" ca="1" si="56"/>
        <v>-9.0130644262331906E-3</v>
      </c>
    </row>
    <row r="1702" spans="2:7" ht="15" thickBot="1" x14ac:dyDescent="0.35">
      <c r="B1702" s="170">
        <v>43564.645833333336</v>
      </c>
      <c r="C1702" s="238">
        <v>1486.2</v>
      </c>
      <c r="D1702" s="241">
        <f t="shared" si="55"/>
        <v>-0.60255655987591583</v>
      </c>
      <c r="E1702" s="241">
        <v>-2.3714116796951921E-2</v>
      </c>
      <c r="F1702" s="242">
        <v>1698</v>
      </c>
      <c r="G1702" s="243">
        <f t="shared" ca="1" si="56"/>
        <v>7.3221621272098062E-3</v>
      </c>
    </row>
    <row r="1703" spans="2:7" ht="15" thickBot="1" x14ac:dyDescent="0.35">
      <c r="B1703" s="170">
        <v>44720.645833333336</v>
      </c>
      <c r="C1703" s="238">
        <v>3739.4</v>
      </c>
      <c r="D1703" s="241">
        <f t="shared" si="55"/>
        <v>1.4039085853878053</v>
      </c>
      <c r="E1703" s="241">
        <v>-2.3744566423433842E-2</v>
      </c>
      <c r="F1703" s="242">
        <v>1699</v>
      </c>
      <c r="G1703" s="243">
        <f t="shared" ca="1" si="56"/>
        <v>-7.7768577950484193E-3</v>
      </c>
    </row>
    <row r="1704" spans="2:7" ht="15" thickBot="1" x14ac:dyDescent="0.35">
      <c r="B1704" s="170">
        <v>43258.645833333336</v>
      </c>
      <c r="C1704" s="238">
        <v>1555.55</v>
      </c>
      <c r="D1704" s="241">
        <f t="shared" si="55"/>
        <v>-0.64534552335788054</v>
      </c>
      <c r="E1704" s="241">
        <v>-2.3846129710395032E-2</v>
      </c>
      <c r="F1704" s="242">
        <v>1700</v>
      </c>
      <c r="G1704" s="243">
        <f t="shared" ca="1" si="56"/>
        <v>7.7599599406550203E-3</v>
      </c>
    </row>
    <row r="1705" spans="2:7" ht="15" thickBot="1" x14ac:dyDescent="0.35">
      <c r="B1705" s="170">
        <v>44813.645833333336</v>
      </c>
      <c r="C1705" s="238">
        <v>4386.1000000000004</v>
      </c>
      <c r="D1705" s="241">
        <f t="shared" si="55"/>
        <v>2.3107638888888893</v>
      </c>
      <c r="E1705" s="241">
        <v>-2.3846881433260921E-2</v>
      </c>
      <c r="F1705" s="242">
        <v>1701</v>
      </c>
      <c r="G1705" s="243">
        <f t="shared" ca="1" si="56"/>
        <v>8.0054041059477218E-3</v>
      </c>
    </row>
    <row r="1706" spans="2:7" ht="15" thickBot="1" x14ac:dyDescent="0.35">
      <c r="B1706" s="170">
        <v>43187.645833333336</v>
      </c>
      <c r="C1706" s="238">
        <v>1324.8</v>
      </c>
      <c r="D1706" s="241">
        <f t="shared" si="55"/>
        <v>-0.62946803154891773</v>
      </c>
      <c r="E1706" s="241">
        <v>-2.3944595888897077E-2</v>
      </c>
      <c r="F1706" s="242">
        <v>1702</v>
      </c>
      <c r="G1706" s="243">
        <f t="shared" ca="1" si="56"/>
        <v>6.8801100118211665E-3</v>
      </c>
    </row>
    <row r="1707" spans="2:7" ht="15" thickBot="1" x14ac:dyDescent="0.35">
      <c r="B1707" s="170">
        <v>45687.645833333336</v>
      </c>
      <c r="C1707" s="238">
        <v>3575.4</v>
      </c>
      <c r="D1707" s="241">
        <f t="shared" si="55"/>
        <v>0.44044477569848717</v>
      </c>
      <c r="E1707" s="241">
        <v>-2.4354303958086038E-2</v>
      </c>
      <c r="F1707" s="242">
        <v>1703</v>
      </c>
      <c r="G1707" s="243">
        <f t="shared" ca="1" si="56"/>
        <v>4.7357338312595367E-3</v>
      </c>
    </row>
    <row r="1708" spans="2:7" ht="15" thickBot="1" x14ac:dyDescent="0.35">
      <c r="B1708" s="170">
        <v>43873.645833333336</v>
      </c>
      <c r="C1708" s="238">
        <v>2482.15</v>
      </c>
      <c r="D1708" s="241">
        <f t="shared" si="55"/>
        <v>-0.37790726817042603</v>
      </c>
      <c r="E1708" s="241">
        <v>-2.4369632293693374E-2</v>
      </c>
      <c r="F1708" s="242">
        <v>1704</v>
      </c>
      <c r="G1708" s="243">
        <f t="shared" ca="1" si="56"/>
        <v>2.4407067758675492E-2</v>
      </c>
    </row>
    <row r="1709" spans="2:7" ht="15" thickBot="1" x14ac:dyDescent="0.35">
      <c r="B1709" s="170">
        <v>44911.645833333336</v>
      </c>
      <c r="C1709" s="238">
        <v>3990</v>
      </c>
      <c r="D1709" s="241">
        <f t="shared" si="55"/>
        <v>0.68717493340098945</v>
      </c>
      <c r="E1709" s="241">
        <v>-2.449757958046057E-2</v>
      </c>
      <c r="F1709" s="242">
        <v>1705</v>
      </c>
      <c r="G1709" s="243">
        <f t="shared" ca="1" si="56"/>
        <v>1.4643897106723647E-2</v>
      </c>
    </row>
    <row r="1710" spans="2:7" ht="15" thickBot="1" x14ac:dyDescent="0.35">
      <c r="B1710" s="170">
        <v>43879.645833333336</v>
      </c>
      <c r="C1710" s="238">
        <v>2364.9</v>
      </c>
      <c r="D1710" s="241">
        <f t="shared" si="55"/>
        <v>0.54598940968817411</v>
      </c>
      <c r="E1710" s="241">
        <v>-2.4582388121262077E-2</v>
      </c>
      <c r="F1710" s="242">
        <v>1706</v>
      </c>
      <c r="G1710" s="243">
        <f t="shared" ca="1" si="56"/>
        <v>-1.1519227224130405E-2</v>
      </c>
    </row>
    <row r="1711" spans="2:7" ht="15" thickBot="1" x14ac:dyDescent="0.35">
      <c r="B1711" s="170">
        <v>43714.645833333336</v>
      </c>
      <c r="C1711" s="238">
        <v>1529.7</v>
      </c>
      <c r="D1711" s="241">
        <f t="shared" si="55"/>
        <v>-0.61590418319690643</v>
      </c>
      <c r="E1711" s="241">
        <v>-2.4923508414074393E-2</v>
      </c>
      <c r="F1711" s="242">
        <v>1707</v>
      </c>
      <c r="G1711" s="243">
        <f t="shared" ca="1" si="56"/>
        <v>-1.5756710569165128E-2</v>
      </c>
    </row>
    <row r="1712" spans="2:7" ht="15" thickBot="1" x14ac:dyDescent="0.35">
      <c r="B1712" s="170">
        <v>44454.645833333336</v>
      </c>
      <c r="C1712" s="238">
        <v>3982.6</v>
      </c>
      <c r="D1712" s="241">
        <f t="shared" si="55"/>
        <v>1.7873740201567752</v>
      </c>
      <c r="E1712" s="241">
        <v>-2.4947974048231139E-2</v>
      </c>
      <c r="F1712" s="242">
        <v>1708</v>
      </c>
      <c r="G1712" s="243">
        <f t="shared" ca="1" si="56"/>
        <v>-1.3396765890106262E-3</v>
      </c>
    </row>
    <row r="1713" spans="2:7" ht="15" thickBot="1" x14ac:dyDescent="0.35">
      <c r="B1713" s="170">
        <v>43509.645833333336</v>
      </c>
      <c r="C1713" s="238">
        <v>1428.8</v>
      </c>
      <c r="D1713" s="241">
        <f t="shared" si="55"/>
        <v>-0.64098247377347817</v>
      </c>
      <c r="E1713" s="241">
        <v>-2.4976115736317819E-2</v>
      </c>
      <c r="F1713" s="242">
        <v>1709</v>
      </c>
      <c r="G1713" s="243">
        <f t="shared" ca="1" si="56"/>
        <v>3.9939746541095007E-2</v>
      </c>
    </row>
    <row r="1714" spans="2:7" ht="15" thickBot="1" x14ac:dyDescent="0.35">
      <c r="B1714" s="170">
        <v>44606.645833333336</v>
      </c>
      <c r="C1714" s="238">
        <v>3979.75</v>
      </c>
      <c r="D1714" s="241">
        <f t="shared" si="55"/>
        <v>0.76485587583148562</v>
      </c>
      <c r="E1714" s="241">
        <v>-2.4989281558155205E-2</v>
      </c>
      <c r="F1714" s="242">
        <v>1710</v>
      </c>
      <c r="G1714" s="243">
        <f t="shared" ca="1" si="56"/>
        <v>-8.2829235040604056E-3</v>
      </c>
    </row>
    <row r="1715" spans="2:7" ht="15" thickBot="1" x14ac:dyDescent="0.35">
      <c r="B1715" s="170">
        <v>43959.645833333336</v>
      </c>
      <c r="C1715" s="238">
        <v>2255</v>
      </c>
      <c r="D1715" s="241">
        <f t="shared" si="55"/>
        <v>-0.31126110992333766</v>
      </c>
      <c r="E1715" s="241">
        <v>-2.5307427978647611E-2</v>
      </c>
      <c r="F1715" s="242">
        <v>1711</v>
      </c>
      <c r="G1715" s="243">
        <f t="shared" ca="1" si="56"/>
        <v>-3.0732888761048412E-2</v>
      </c>
    </row>
    <row r="1716" spans="2:7" ht="15" thickBot="1" x14ac:dyDescent="0.35">
      <c r="B1716" s="170">
        <v>44361.645833333336</v>
      </c>
      <c r="C1716" s="238">
        <v>3274.1</v>
      </c>
      <c r="D1716" s="241">
        <f t="shared" si="55"/>
        <v>1.4334609238544724</v>
      </c>
      <c r="E1716" s="241">
        <v>-2.5420449471647594E-2</v>
      </c>
      <c r="F1716" s="242">
        <v>1712</v>
      </c>
      <c r="G1716" s="243">
        <f t="shared" ca="1" si="56"/>
        <v>-3.4284766151940614E-2</v>
      </c>
    </row>
    <row r="1717" spans="2:7" ht="15" thickBot="1" x14ac:dyDescent="0.35">
      <c r="B1717" s="170">
        <v>43241.645833333336</v>
      </c>
      <c r="C1717" s="238">
        <v>1345.45</v>
      </c>
      <c r="D1717" s="241">
        <f t="shared" si="55"/>
        <v>-0.12153956646644024</v>
      </c>
      <c r="E1717" s="241">
        <v>-2.5424649596175374E-2</v>
      </c>
      <c r="F1717" s="242">
        <v>1713</v>
      </c>
      <c r="G1717" s="243">
        <f t="shared" ca="1" si="56"/>
        <v>-3.264963355231167E-3</v>
      </c>
    </row>
    <row r="1718" spans="2:7" ht="15" thickBot="1" x14ac:dyDescent="0.35">
      <c r="B1718" s="170">
        <v>43304.645833333336</v>
      </c>
      <c r="C1718" s="238">
        <v>1531.6</v>
      </c>
      <c r="D1718" s="241">
        <f t="shared" si="55"/>
        <v>-0.62241916994342206</v>
      </c>
      <c r="E1718" s="241">
        <v>-2.5482772882003103E-2</v>
      </c>
      <c r="F1718" s="242">
        <v>1714</v>
      </c>
      <c r="G1718" s="243">
        <f t="shared" ca="1" si="56"/>
        <v>-3.7216007888500671E-2</v>
      </c>
    </row>
    <row r="1719" spans="2:7" ht="15" thickBot="1" x14ac:dyDescent="0.35">
      <c r="B1719" s="170">
        <v>45371.645833333336</v>
      </c>
      <c r="C1719" s="238">
        <v>4056.35</v>
      </c>
      <c r="D1719" s="241">
        <f t="shared" si="55"/>
        <v>0.166791313102258</v>
      </c>
      <c r="E1719" s="241">
        <v>-2.5641949508779623E-2</v>
      </c>
      <c r="F1719" s="242">
        <v>1715</v>
      </c>
      <c r="G1719" s="243">
        <f t="shared" ca="1" si="56"/>
        <v>-1.6901286898530866E-2</v>
      </c>
    </row>
    <row r="1720" spans="2:7" ht="15" thickBot="1" x14ac:dyDescent="0.35">
      <c r="B1720" s="170">
        <v>45671.645833333336</v>
      </c>
      <c r="C1720" s="238">
        <v>3476.5</v>
      </c>
      <c r="D1720" s="241">
        <f t="shared" si="55"/>
        <v>-0.22465319594986399</v>
      </c>
      <c r="E1720" s="241">
        <v>-2.5767490086732285E-2</v>
      </c>
      <c r="F1720" s="242">
        <v>1716</v>
      </c>
      <c r="G1720" s="243">
        <f t="shared" ca="1" si="56"/>
        <v>2.1523089625236781E-2</v>
      </c>
    </row>
    <row r="1721" spans="2:7" ht="15" thickBot="1" x14ac:dyDescent="0.35">
      <c r="B1721" s="170">
        <v>45411.645833333336</v>
      </c>
      <c r="C1721" s="238">
        <v>4483.8</v>
      </c>
      <c r="D1721" s="241">
        <f t="shared" si="55"/>
        <v>2.1459743904578144</v>
      </c>
      <c r="E1721" s="241">
        <v>-2.6065424214779094E-2</v>
      </c>
      <c r="F1721" s="242">
        <v>1717</v>
      </c>
      <c r="G1721" s="243">
        <f t="shared" ca="1" si="56"/>
        <v>-2.2660806677587768E-3</v>
      </c>
    </row>
    <row r="1722" spans="2:7" ht="15" thickBot="1" x14ac:dyDescent="0.35">
      <c r="B1722" s="170">
        <v>43661.645833333336</v>
      </c>
      <c r="C1722" s="238">
        <v>1425.25</v>
      </c>
      <c r="D1722" s="241">
        <f t="shared" si="55"/>
        <v>-0.59977254219201936</v>
      </c>
      <c r="E1722" s="241">
        <v>-2.6202514348182503E-2</v>
      </c>
      <c r="F1722" s="242">
        <v>1718</v>
      </c>
      <c r="G1722" s="243">
        <f t="shared" ca="1" si="56"/>
        <v>-1.7804331602203839E-2</v>
      </c>
    </row>
    <row r="1723" spans="2:7" ht="15" thickBot="1" x14ac:dyDescent="0.35">
      <c r="B1723" s="170">
        <v>44697.645833333336</v>
      </c>
      <c r="C1723" s="238">
        <v>3561.1</v>
      </c>
      <c r="D1723" s="241">
        <f t="shared" si="55"/>
        <v>0.60521986071356138</v>
      </c>
      <c r="E1723" s="241">
        <v>-2.6223680612523951E-2</v>
      </c>
      <c r="F1723" s="242">
        <v>1719</v>
      </c>
      <c r="G1723" s="243">
        <f t="shared" ca="1" si="56"/>
        <v>2.0937121118485839E-2</v>
      </c>
    </row>
    <row r="1724" spans="2:7" ht="15" thickBot="1" x14ac:dyDescent="0.35">
      <c r="B1724" s="170">
        <v>44076.645833333336</v>
      </c>
      <c r="C1724" s="238">
        <v>2218.4499999999998</v>
      </c>
      <c r="D1724" s="241">
        <f t="shared" si="55"/>
        <v>8.3571446015581072E-2</v>
      </c>
      <c r="E1724" s="241">
        <v>-2.6312324438202365E-2</v>
      </c>
      <c r="F1724" s="242">
        <v>1720</v>
      </c>
      <c r="G1724" s="243">
        <f t="shared" ca="1" si="56"/>
        <v>2.6465251755146021E-2</v>
      </c>
    </row>
    <row r="1725" spans="2:7" ht="15" thickBot="1" x14ac:dyDescent="0.35">
      <c r="B1725" s="170">
        <v>44098.645833333336</v>
      </c>
      <c r="C1725" s="238">
        <v>2047.35</v>
      </c>
      <c r="D1725" s="241">
        <f t="shared" si="55"/>
        <v>-0.50238798352109093</v>
      </c>
      <c r="E1725" s="241">
        <v>-2.6323298616065017E-2</v>
      </c>
      <c r="F1725" s="242">
        <v>1721</v>
      </c>
      <c r="G1725" s="243">
        <f t="shared" ca="1" si="56"/>
        <v>-1.4898780430123324E-2</v>
      </c>
    </row>
    <row r="1726" spans="2:7" ht="15" thickBot="1" x14ac:dyDescent="0.35">
      <c r="B1726" s="170">
        <v>44592.645833333336</v>
      </c>
      <c r="C1726" s="238">
        <v>4114.3500000000004</v>
      </c>
      <c r="D1726" s="241">
        <f t="shared" si="55"/>
        <v>2.0338458135162041</v>
      </c>
      <c r="E1726" s="241">
        <v>-2.6327622112836045E-2</v>
      </c>
      <c r="F1726" s="242">
        <v>1722</v>
      </c>
      <c r="G1726" s="243">
        <f t="shared" ca="1" si="56"/>
        <v>-1.6752371813905449E-2</v>
      </c>
    </row>
    <row r="1727" spans="2:7" ht="15" thickBot="1" x14ac:dyDescent="0.35">
      <c r="B1727" s="170">
        <v>43651.645833333336</v>
      </c>
      <c r="C1727" s="238">
        <v>1356.15</v>
      </c>
      <c r="D1727" s="241">
        <f t="shared" si="55"/>
        <v>-8.7013599030564159E-2</v>
      </c>
      <c r="E1727" s="241">
        <v>-2.6453697056712067E-2</v>
      </c>
      <c r="F1727" s="242">
        <v>1723</v>
      </c>
      <c r="G1727" s="243">
        <f t="shared" ca="1" si="56"/>
        <v>-1.2231967476739665E-2</v>
      </c>
    </row>
    <row r="1728" spans="2:7" ht="15" thickBot="1" x14ac:dyDescent="0.35">
      <c r="B1728" s="170">
        <v>43280.645833333336</v>
      </c>
      <c r="C1728" s="238">
        <v>1485.4</v>
      </c>
      <c r="D1728" s="241">
        <f t="shared" si="55"/>
        <v>-7.339134774336413E-2</v>
      </c>
      <c r="E1728" s="241">
        <v>-2.6541713087358278E-2</v>
      </c>
      <c r="F1728" s="242">
        <v>1724</v>
      </c>
      <c r="G1728" s="243">
        <f t="shared" ca="1" si="56"/>
        <v>3.9800109139118051E-2</v>
      </c>
    </row>
    <row r="1729" spans="2:7" ht="15" thickBot="1" x14ac:dyDescent="0.35">
      <c r="B1729" s="170">
        <v>43725.645833333336</v>
      </c>
      <c r="C1729" s="238">
        <v>1603.05</v>
      </c>
      <c r="D1729" s="241">
        <f t="shared" si="55"/>
        <v>-0.62189095798002181</v>
      </c>
      <c r="E1729" s="241">
        <v>-2.6625781771813791E-2</v>
      </c>
      <c r="F1729" s="242">
        <v>1725</v>
      </c>
      <c r="G1729" s="243">
        <f t="shared" ca="1" si="56"/>
        <v>-1.0177773194340739E-3</v>
      </c>
    </row>
    <row r="1730" spans="2:7" ht="15" thickBot="1" x14ac:dyDescent="0.35">
      <c r="B1730" s="170">
        <v>44456.645833333336</v>
      </c>
      <c r="C1730" s="238">
        <v>4239.6499999999996</v>
      </c>
      <c r="D1730" s="241">
        <f t="shared" si="55"/>
        <v>2.0176518737321611</v>
      </c>
      <c r="E1730" s="241">
        <v>-2.6687940494501714E-2</v>
      </c>
      <c r="F1730" s="242">
        <v>1726</v>
      </c>
      <c r="G1730" s="243">
        <f t="shared" ca="1" si="56"/>
        <v>-1.4080890533980334E-2</v>
      </c>
    </row>
    <row r="1731" spans="2:7" ht="15" thickBot="1" x14ac:dyDescent="0.35">
      <c r="B1731" s="170">
        <v>43431.645833333336</v>
      </c>
      <c r="C1731" s="238">
        <v>1404.95</v>
      </c>
      <c r="D1731" s="241">
        <f t="shared" si="55"/>
        <v>-0.40197079981271022</v>
      </c>
      <c r="E1731" s="241">
        <v>-2.6840756389831681E-2</v>
      </c>
      <c r="F1731" s="242">
        <v>1727</v>
      </c>
      <c r="G1731" s="243">
        <f t="shared" ca="1" si="56"/>
        <v>3.5666063062646504E-2</v>
      </c>
    </row>
    <row r="1732" spans="2:7" ht="15" thickBot="1" x14ac:dyDescent="0.35">
      <c r="B1732" s="170">
        <v>43985.645833333336</v>
      </c>
      <c r="C1732" s="238">
        <v>2349.3000000000002</v>
      </c>
      <c r="D1732" s="241">
        <f t="shared" si="55"/>
        <v>0.63908462987511361</v>
      </c>
      <c r="E1732" s="241">
        <v>-2.6882611216966133E-2</v>
      </c>
      <c r="F1732" s="242">
        <v>1728</v>
      </c>
      <c r="G1732" s="243">
        <f t="shared" ca="1" si="56"/>
        <v>3.518062200365438E-3</v>
      </c>
    </row>
    <row r="1733" spans="2:7" ht="15" thickBot="1" x14ac:dyDescent="0.35">
      <c r="B1733" s="170">
        <v>43515.645833333336</v>
      </c>
      <c r="C1733" s="238">
        <v>1433.3</v>
      </c>
      <c r="D1733" s="241">
        <f t="shared" ref="D1733:D1796" si="57">(C1733-C1734)/C1734</f>
        <v>-2.6092274240674111E-2</v>
      </c>
      <c r="E1733" s="241">
        <v>-2.6918768457856745E-2</v>
      </c>
      <c r="F1733" s="242">
        <v>1729</v>
      </c>
      <c r="G1733" s="243">
        <f t="shared" ca="1" si="56"/>
        <v>-8.2439093080778029E-4</v>
      </c>
    </row>
    <row r="1734" spans="2:7" ht="15" thickBot="1" x14ac:dyDescent="0.35">
      <c r="B1734" s="170">
        <v>43501.645833333336</v>
      </c>
      <c r="C1734" s="238">
        <v>1471.7</v>
      </c>
      <c r="D1734" s="241">
        <f t="shared" si="57"/>
        <v>-0.60692298446869042</v>
      </c>
      <c r="E1734" s="241">
        <v>-2.7071695369054335E-2</v>
      </c>
      <c r="F1734" s="242">
        <v>1730</v>
      </c>
      <c r="G1734" s="243">
        <f t="shared" ref="G1734:G1797" ca="1" si="58">_xlfn.NORM.INV(RAND(),$M$7,$M$8)</f>
        <v>3.0225385081093796E-3</v>
      </c>
    </row>
    <row r="1735" spans="2:7" ht="15" thickBot="1" x14ac:dyDescent="0.35">
      <c r="B1735" s="170">
        <v>45100.645833333336</v>
      </c>
      <c r="C1735" s="238">
        <v>3744.05</v>
      </c>
      <c r="D1735" s="241">
        <f t="shared" si="57"/>
        <v>2.2717700004369297</v>
      </c>
      <c r="E1735" s="241">
        <v>-2.7077242902618027E-2</v>
      </c>
      <c r="F1735" s="242">
        <v>1731</v>
      </c>
      <c r="G1735" s="243">
        <f t="shared" ca="1" si="58"/>
        <v>1.6404793366287779E-2</v>
      </c>
    </row>
    <row r="1736" spans="2:7" ht="15" thickBot="1" x14ac:dyDescent="0.35">
      <c r="B1736" s="170">
        <v>43119.645833333336</v>
      </c>
      <c r="C1736" s="238">
        <v>1144.3499999999999</v>
      </c>
      <c r="D1736" s="241">
        <f t="shared" si="57"/>
        <v>-0.3743473387824281</v>
      </c>
      <c r="E1736" s="241">
        <v>-2.7161438408569282E-2</v>
      </c>
      <c r="F1736" s="242">
        <v>1732</v>
      </c>
      <c r="G1736" s="243">
        <f t="shared" ca="1" si="58"/>
        <v>-1.680048148649849E-2</v>
      </c>
    </row>
    <row r="1737" spans="2:7" ht="15" thickBot="1" x14ac:dyDescent="0.35">
      <c r="B1737" s="170">
        <v>43838.645833333336</v>
      </c>
      <c r="C1737" s="238">
        <v>1829.05</v>
      </c>
      <c r="D1737" s="241">
        <f t="shared" si="57"/>
        <v>-0.39923798262469007</v>
      </c>
      <c r="E1737" s="241">
        <v>-2.7385605275052512E-2</v>
      </c>
      <c r="F1737" s="242">
        <v>1733</v>
      </c>
      <c r="G1737" s="243">
        <f t="shared" ca="1" si="58"/>
        <v>-2.279240407013447E-2</v>
      </c>
    </row>
    <row r="1738" spans="2:7" ht="15" thickBot="1" x14ac:dyDescent="0.35">
      <c r="B1738" s="170">
        <v>44242.645833333336</v>
      </c>
      <c r="C1738" s="238">
        <v>3044.55</v>
      </c>
      <c r="D1738" s="241">
        <f t="shared" si="57"/>
        <v>-0.14328526204713327</v>
      </c>
      <c r="E1738" s="241">
        <v>-2.7564399444240297E-2</v>
      </c>
      <c r="F1738" s="242">
        <v>1734</v>
      </c>
      <c r="G1738" s="243">
        <f t="shared" ca="1" si="58"/>
        <v>-6.2582330071949896E-3</v>
      </c>
    </row>
    <row r="1739" spans="2:7" ht="15" thickBot="1" x14ac:dyDescent="0.35">
      <c r="B1739" s="170">
        <v>45019.645833333336</v>
      </c>
      <c r="C1739" s="238">
        <v>3553.75</v>
      </c>
      <c r="D1739" s="241">
        <f t="shared" si="57"/>
        <v>-0.12759297901067879</v>
      </c>
      <c r="E1739" s="241">
        <v>-2.7661873948315228E-2</v>
      </c>
      <c r="F1739" s="242">
        <v>1735</v>
      </c>
      <c r="G1739" s="243">
        <f t="shared" ca="1" si="58"/>
        <v>-1.1696796398509941E-2</v>
      </c>
    </row>
    <row r="1740" spans="2:7" ht="15" thickBot="1" x14ac:dyDescent="0.35">
      <c r="B1740" s="170">
        <v>45792.645833333336</v>
      </c>
      <c r="C1740" s="239">
        <v>4073.5</v>
      </c>
      <c r="D1740" s="241">
        <f t="shared" si="57"/>
        <v>-5.4587230487153859E-2</v>
      </c>
      <c r="E1740" s="241">
        <v>-2.7734682674177107E-2</v>
      </c>
      <c r="F1740" s="242">
        <v>1736</v>
      </c>
      <c r="G1740" s="243">
        <f t="shared" ca="1" si="58"/>
        <v>2.9652390575674423E-3</v>
      </c>
    </row>
    <row r="1741" spans="2:7" ht="15" thickBot="1" x14ac:dyDescent="0.35">
      <c r="B1741" s="170">
        <v>44825.645833333336</v>
      </c>
      <c r="C1741" s="238">
        <v>4308.7</v>
      </c>
      <c r="D1741" s="241">
        <f t="shared" si="57"/>
        <v>0.16852439454343277</v>
      </c>
      <c r="E1741" s="241">
        <v>-2.7754586276146853E-2</v>
      </c>
      <c r="F1741" s="242">
        <v>1737</v>
      </c>
      <c r="G1741" s="243">
        <f t="shared" ca="1" si="58"/>
        <v>5.7353596832238052E-4</v>
      </c>
    </row>
    <row r="1742" spans="2:7" ht="15" thickBot="1" x14ac:dyDescent="0.35">
      <c r="B1742" s="170">
        <v>45321.645833333336</v>
      </c>
      <c r="C1742" s="238">
        <v>3687.3</v>
      </c>
      <c r="D1742" s="241">
        <f t="shared" si="57"/>
        <v>0.28164754953076127</v>
      </c>
      <c r="E1742" s="241">
        <v>-2.779022859704159E-2</v>
      </c>
      <c r="F1742" s="242">
        <v>1738</v>
      </c>
      <c r="G1742" s="243">
        <f t="shared" ca="1" si="58"/>
        <v>1.5246399362451668E-2</v>
      </c>
    </row>
    <row r="1743" spans="2:7" ht="15" thickBot="1" x14ac:dyDescent="0.35">
      <c r="B1743" s="170">
        <v>44230.645833333336</v>
      </c>
      <c r="C1743" s="238">
        <v>2877</v>
      </c>
      <c r="D1743" s="241">
        <f t="shared" si="57"/>
        <v>1.118712718167759</v>
      </c>
      <c r="E1743" s="241">
        <v>-2.7991283342061222E-2</v>
      </c>
      <c r="F1743" s="242">
        <v>1739</v>
      </c>
      <c r="G1743" s="243">
        <f t="shared" ca="1" si="58"/>
        <v>-2.8608146055210174E-2</v>
      </c>
    </row>
    <row r="1744" spans="2:7" ht="15" thickBot="1" x14ac:dyDescent="0.35">
      <c r="B1744" s="170">
        <v>43487.645833333336</v>
      </c>
      <c r="C1744" s="238">
        <v>1357.9</v>
      </c>
      <c r="D1744" s="241">
        <f t="shared" si="57"/>
        <v>4.2013582473237922E-2</v>
      </c>
      <c r="E1744" s="241">
        <v>-2.8197237529521121E-2</v>
      </c>
      <c r="F1744" s="242">
        <v>1740</v>
      </c>
      <c r="G1744" s="243">
        <f t="shared" ca="1" si="58"/>
        <v>2.8473383224661596E-2</v>
      </c>
    </row>
    <row r="1745" spans="2:7" ht="15" thickBot="1" x14ac:dyDescent="0.35">
      <c r="B1745" s="170">
        <v>43608.645833333336</v>
      </c>
      <c r="C1745" s="238">
        <v>1303.1500000000001</v>
      </c>
      <c r="D1745" s="241">
        <f t="shared" si="57"/>
        <v>-0.40118095763257045</v>
      </c>
      <c r="E1745" s="241">
        <v>-2.8261436933745845E-2</v>
      </c>
      <c r="F1745" s="242">
        <v>1741</v>
      </c>
      <c r="G1745" s="243">
        <f t="shared" ca="1" si="58"/>
        <v>-1.3193203241714453E-2</v>
      </c>
    </row>
    <row r="1746" spans="2:7" ht="15" thickBot="1" x14ac:dyDescent="0.35">
      <c r="B1746" s="170">
        <v>44131.645833333336</v>
      </c>
      <c r="C1746" s="238">
        <v>2176.1999999999998</v>
      </c>
      <c r="D1746" s="241">
        <f t="shared" si="57"/>
        <v>-0.45643920471575583</v>
      </c>
      <c r="E1746" s="241">
        <v>-2.8568877778769756E-2</v>
      </c>
      <c r="F1746" s="242">
        <v>1742</v>
      </c>
      <c r="G1746" s="243">
        <f t="shared" ca="1" si="58"/>
        <v>-4.6295714664633406E-2</v>
      </c>
    </row>
    <row r="1747" spans="2:7" ht="15" thickBot="1" x14ac:dyDescent="0.35">
      <c r="B1747" s="170">
        <v>45748.645833333336</v>
      </c>
      <c r="C1747" s="239">
        <v>4003.6</v>
      </c>
      <c r="D1747" s="241">
        <f t="shared" si="57"/>
        <v>0.71009973730858755</v>
      </c>
      <c r="E1747" s="241">
        <v>-2.8594305402224924E-2</v>
      </c>
      <c r="F1747" s="242">
        <v>1743</v>
      </c>
      <c r="G1747" s="243">
        <f t="shared" ca="1" si="58"/>
        <v>1.4761512681170069E-2</v>
      </c>
    </row>
    <row r="1748" spans="2:7" ht="15" thickBot="1" x14ac:dyDescent="0.35">
      <c r="B1748" s="170">
        <v>44068.645833333336</v>
      </c>
      <c r="C1748" s="238">
        <v>2341.15</v>
      </c>
      <c r="D1748" s="241">
        <f t="shared" si="57"/>
        <v>0.25161721464848974</v>
      </c>
      <c r="E1748" s="241">
        <v>-2.8608771420272943E-2</v>
      </c>
      <c r="F1748" s="242">
        <v>1744</v>
      </c>
      <c r="G1748" s="243">
        <f t="shared" ca="1" si="58"/>
        <v>-1.6935763805255719E-2</v>
      </c>
    </row>
    <row r="1749" spans="2:7" ht="15" thickBot="1" x14ac:dyDescent="0.35">
      <c r="B1749" s="170">
        <v>43754.645833333336</v>
      </c>
      <c r="C1749" s="238">
        <v>1870.5</v>
      </c>
      <c r="D1749" s="241">
        <f t="shared" si="57"/>
        <v>-0.52593963048381775</v>
      </c>
      <c r="E1749" s="241">
        <v>-2.8614457831325255E-2</v>
      </c>
      <c r="F1749" s="242">
        <v>1745</v>
      </c>
      <c r="G1749" s="243">
        <f t="shared" ca="1" si="58"/>
        <v>-5.6665690899588743E-3</v>
      </c>
    </row>
    <row r="1750" spans="2:7" ht="15" thickBot="1" x14ac:dyDescent="0.35">
      <c r="B1750" s="170">
        <v>45742.645833333336</v>
      </c>
      <c r="C1750" s="238">
        <v>3945.7</v>
      </c>
      <c r="D1750" s="241">
        <f t="shared" si="57"/>
        <v>2.4803739966481433</v>
      </c>
      <c r="E1750" s="241">
        <v>-2.9348093480934853E-2</v>
      </c>
      <c r="F1750" s="242">
        <v>1746</v>
      </c>
      <c r="G1750" s="243">
        <f t="shared" ca="1" si="58"/>
        <v>-6.1542998194078901E-4</v>
      </c>
    </row>
    <row r="1751" spans="2:7" ht="15" thickBot="1" x14ac:dyDescent="0.35">
      <c r="B1751" s="170">
        <v>43396.645833333336</v>
      </c>
      <c r="C1751" s="238">
        <v>1133.7</v>
      </c>
      <c r="D1751" s="241">
        <f t="shared" si="57"/>
        <v>-0.71045473700340955</v>
      </c>
      <c r="E1751" s="241">
        <v>-2.9574149368713849E-2</v>
      </c>
      <c r="F1751" s="242">
        <v>1747</v>
      </c>
      <c r="G1751" s="243">
        <f t="shared" ca="1" si="58"/>
        <v>1.6796036532533865E-2</v>
      </c>
    </row>
    <row r="1752" spans="2:7" ht="15" thickBot="1" x14ac:dyDescent="0.35">
      <c r="B1752" s="170">
        <v>44762.645833333336</v>
      </c>
      <c r="C1752" s="238">
        <v>3915.45</v>
      </c>
      <c r="D1752" s="241">
        <f t="shared" si="57"/>
        <v>0.27393850658857971</v>
      </c>
      <c r="E1752" s="241">
        <v>-2.9712416519013244E-2</v>
      </c>
      <c r="F1752" s="242">
        <v>1748</v>
      </c>
      <c r="G1752" s="243">
        <f t="shared" ca="1" si="58"/>
        <v>3.9678251522789702E-3</v>
      </c>
    </row>
    <row r="1753" spans="2:7" ht="15" thickBot="1" x14ac:dyDescent="0.35">
      <c r="B1753" s="170">
        <v>44257.645833333336</v>
      </c>
      <c r="C1753" s="238">
        <v>3073.5</v>
      </c>
      <c r="D1753" s="241">
        <f t="shared" si="57"/>
        <v>1.2613398079682152</v>
      </c>
      <c r="E1753" s="241">
        <v>-2.9737664551567327E-2</v>
      </c>
      <c r="F1753" s="242">
        <v>1749</v>
      </c>
      <c r="G1753" s="243">
        <f t="shared" ca="1" si="58"/>
        <v>3.5930053744056153E-2</v>
      </c>
    </row>
    <row r="1754" spans="2:7" ht="15" thickBot="1" x14ac:dyDescent="0.35">
      <c r="B1754" s="170">
        <v>43194.645833333336</v>
      </c>
      <c r="C1754" s="238">
        <v>1359.15</v>
      </c>
      <c r="D1754" s="241">
        <f t="shared" si="57"/>
        <v>-0.5719954023712428</v>
      </c>
      <c r="E1754" s="241">
        <v>-3.0079212160136919E-2</v>
      </c>
      <c r="F1754" s="242">
        <v>1750</v>
      </c>
      <c r="G1754" s="243">
        <f t="shared" ca="1" si="58"/>
        <v>1.3640291269539345E-2</v>
      </c>
    </row>
    <row r="1755" spans="2:7" ht="15" thickBot="1" x14ac:dyDescent="0.35">
      <c r="B1755" s="170">
        <v>44358.645833333336</v>
      </c>
      <c r="C1755" s="238">
        <v>3175.55</v>
      </c>
      <c r="D1755" s="241">
        <f t="shared" si="57"/>
        <v>0.18477409245233742</v>
      </c>
      <c r="E1755" s="241">
        <v>-3.0099874774747175E-2</v>
      </c>
      <c r="F1755" s="242">
        <v>1751</v>
      </c>
      <c r="G1755" s="243">
        <f t="shared" ca="1" si="58"/>
        <v>-2.4475656614071528E-2</v>
      </c>
    </row>
    <row r="1756" spans="2:7" ht="15" thickBot="1" x14ac:dyDescent="0.35">
      <c r="B1756" s="170">
        <v>44195.645833333336</v>
      </c>
      <c r="C1756" s="238">
        <v>2680.3</v>
      </c>
      <c r="D1756" s="241">
        <f t="shared" si="57"/>
        <v>-0.41695217585190503</v>
      </c>
      <c r="E1756" s="241">
        <v>-3.0141843971631107E-2</v>
      </c>
      <c r="F1756" s="242">
        <v>1752</v>
      </c>
      <c r="G1756" s="243">
        <f t="shared" ca="1" si="58"/>
        <v>-9.7877971242923203E-3</v>
      </c>
    </row>
    <row r="1757" spans="2:7" ht="15" thickBot="1" x14ac:dyDescent="0.35">
      <c r="B1757" s="170">
        <v>44502.645833333336</v>
      </c>
      <c r="C1757" s="238">
        <v>4597.05</v>
      </c>
      <c r="D1757" s="241">
        <f t="shared" si="57"/>
        <v>-1.3603836539389895E-2</v>
      </c>
      <c r="E1757" s="241">
        <v>-3.04241452766119E-2</v>
      </c>
      <c r="F1757" s="242">
        <v>1753</v>
      </c>
      <c r="G1757" s="243">
        <f t="shared" ca="1" si="58"/>
        <v>-4.9634992652598702E-3</v>
      </c>
    </row>
    <row r="1758" spans="2:7" ht="15" thickBot="1" x14ac:dyDescent="0.35">
      <c r="B1758" s="170">
        <v>45419.645833333336</v>
      </c>
      <c r="C1758" s="238">
        <v>4660.45</v>
      </c>
      <c r="D1758" s="241">
        <f t="shared" si="57"/>
        <v>0.37527111766875687</v>
      </c>
      <c r="E1758" s="241">
        <v>-3.0436365527643457E-2</v>
      </c>
      <c r="F1758" s="242">
        <v>1754</v>
      </c>
      <c r="G1758" s="243">
        <f t="shared" ca="1" si="58"/>
        <v>-1.7626587927896302E-3</v>
      </c>
    </row>
    <row r="1759" spans="2:7" ht="15" thickBot="1" x14ac:dyDescent="0.35">
      <c r="B1759" s="170">
        <v>44743.645833333336</v>
      </c>
      <c r="C1759" s="238">
        <v>3388.75</v>
      </c>
      <c r="D1759" s="241">
        <f t="shared" si="57"/>
        <v>0.96563225058004643</v>
      </c>
      <c r="E1759" s="241">
        <v>-3.0539264768988699E-2</v>
      </c>
      <c r="F1759" s="242">
        <v>1755</v>
      </c>
      <c r="G1759" s="243">
        <f t="shared" ca="1" si="58"/>
        <v>3.6143870184991121E-2</v>
      </c>
    </row>
    <row r="1760" spans="2:7" ht="15" thickBot="1" x14ac:dyDescent="0.35">
      <c r="B1760" s="170">
        <v>43810.645833333336</v>
      </c>
      <c r="C1760" s="238">
        <v>1724</v>
      </c>
      <c r="D1760" s="241">
        <f t="shared" si="57"/>
        <v>-0.32552180121672114</v>
      </c>
      <c r="E1760" s="241">
        <v>-3.0671052261673812E-2</v>
      </c>
      <c r="F1760" s="242">
        <v>1756</v>
      </c>
      <c r="G1760" s="243">
        <f t="shared" ca="1" si="58"/>
        <v>1.0835482606520355E-2</v>
      </c>
    </row>
    <row r="1761" spans="2:7" ht="15" thickBot="1" x14ac:dyDescent="0.35">
      <c r="B1761" s="170">
        <v>44182.645833333336</v>
      </c>
      <c r="C1761" s="238">
        <v>2556.0500000000002</v>
      </c>
      <c r="D1761" s="241">
        <f t="shared" si="57"/>
        <v>0.16727936979107214</v>
      </c>
      <c r="E1761" s="241">
        <v>-3.0716141142564605E-2</v>
      </c>
      <c r="F1761" s="242">
        <v>1757</v>
      </c>
      <c r="G1761" s="243">
        <f t="shared" ca="1" si="58"/>
        <v>-2.1680696269915541E-2</v>
      </c>
    </row>
    <row r="1762" spans="2:7" ht="15" thickBot="1" x14ac:dyDescent="0.35">
      <c r="B1762" s="170">
        <v>44060.645833333336</v>
      </c>
      <c r="C1762" s="238">
        <v>2189.75</v>
      </c>
      <c r="D1762" s="241">
        <f t="shared" si="57"/>
        <v>-0.24450999672238605</v>
      </c>
      <c r="E1762" s="241">
        <v>-3.0848215273628458E-2</v>
      </c>
      <c r="F1762" s="242">
        <v>1758</v>
      </c>
      <c r="G1762" s="243">
        <f t="shared" ca="1" si="58"/>
        <v>1.5246272402505543E-2</v>
      </c>
    </row>
    <row r="1763" spans="2:7" ht="15" thickBot="1" x14ac:dyDescent="0.35">
      <c r="B1763" s="170">
        <v>44200.645833333336</v>
      </c>
      <c r="C1763" s="238">
        <v>2898.45</v>
      </c>
      <c r="D1763" s="241">
        <f t="shared" si="57"/>
        <v>0.79331786542923421</v>
      </c>
      <c r="E1763" s="241">
        <v>-3.0991424702873568E-2</v>
      </c>
      <c r="F1763" s="242">
        <v>1759</v>
      </c>
      <c r="G1763" s="243">
        <f t="shared" ca="1" si="58"/>
        <v>-1.2590159503712978E-2</v>
      </c>
    </row>
    <row r="1764" spans="2:7" ht="15" thickBot="1" x14ac:dyDescent="0.35">
      <c r="B1764" s="170">
        <v>43451.645833333336</v>
      </c>
      <c r="C1764" s="238">
        <v>1616.25</v>
      </c>
      <c r="D1764" s="241">
        <f t="shared" si="57"/>
        <v>-0.61713845789411348</v>
      </c>
      <c r="E1764" s="241">
        <v>-3.1112310044060839E-2</v>
      </c>
      <c r="F1764" s="242">
        <v>1760</v>
      </c>
      <c r="G1764" s="243">
        <f t="shared" ca="1" si="58"/>
        <v>7.7898835469755743E-3</v>
      </c>
    </row>
    <row r="1765" spans="2:7" ht="15" thickBot="1" x14ac:dyDescent="0.35">
      <c r="B1765" s="170">
        <v>45763.645833333336</v>
      </c>
      <c r="C1765" s="239">
        <v>4221.5</v>
      </c>
      <c r="D1765" s="241">
        <f t="shared" si="57"/>
        <v>1.4028007974826362E-2</v>
      </c>
      <c r="E1765" s="241">
        <v>-3.1121617589681291E-2</v>
      </c>
      <c r="F1765" s="242">
        <v>1761</v>
      </c>
      <c r="G1765" s="243">
        <f t="shared" ca="1" si="58"/>
        <v>1.5431798386701572E-3</v>
      </c>
    </row>
    <row r="1766" spans="2:7" ht="15" thickBot="1" x14ac:dyDescent="0.35">
      <c r="B1766" s="170">
        <v>45372.645833333336</v>
      </c>
      <c r="C1766" s="238">
        <v>4163.1000000000004</v>
      </c>
      <c r="D1766" s="241">
        <f t="shared" si="57"/>
        <v>0.95152935661549298</v>
      </c>
      <c r="E1766" s="241">
        <v>-3.1296537602382719E-2</v>
      </c>
      <c r="F1766" s="242">
        <v>1762</v>
      </c>
      <c r="G1766" s="243">
        <f t="shared" ca="1" si="58"/>
        <v>2.6893148094362371E-2</v>
      </c>
    </row>
    <row r="1767" spans="2:7" ht="15" thickBot="1" x14ac:dyDescent="0.35">
      <c r="B1767" s="170">
        <v>44103.645833333336</v>
      </c>
      <c r="C1767" s="238">
        <v>2133.25</v>
      </c>
      <c r="D1767" s="241">
        <f t="shared" si="57"/>
        <v>0.19362690241718886</v>
      </c>
      <c r="E1767" s="241">
        <v>-3.1727299548373958E-2</v>
      </c>
      <c r="F1767" s="242">
        <v>1763</v>
      </c>
      <c r="G1767" s="243">
        <f t="shared" ca="1" si="58"/>
        <v>1.8906241609008327E-2</v>
      </c>
    </row>
    <row r="1768" spans="2:7" ht="15" thickBot="1" x14ac:dyDescent="0.35">
      <c r="B1768" s="170">
        <v>43795.645833333336</v>
      </c>
      <c r="C1768" s="238">
        <v>1787.2</v>
      </c>
      <c r="D1768" s="241">
        <f t="shared" si="57"/>
        <v>-0.6165341744177314</v>
      </c>
      <c r="E1768" s="241">
        <v>-3.1931316523576114E-2</v>
      </c>
      <c r="F1768" s="242">
        <v>1764</v>
      </c>
      <c r="G1768" s="243">
        <f t="shared" ca="1" si="58"/>
        <v>-1.9336654947417268E-2</v>
      </c>
    </row>
    <row r="1769" spans="2:7" ht="15" thickBot="1" x14ac:dyDescent="0.35">
      <c r="B1769" s="170">
        <v>44537.645833333336</v>
      </c>
      <c r="C1769" s="238">
        <v>4660.6499999999996</v>
      </c>
      <c r="D1769" s="241">
        <f t="shared" si="57"/>
        <v>1.0215354586857512</v>
      </c>
      <c r="E1769" s="241">
        <v>-3.1975657375483052E-2</v>
      </c>
      <c r="F1769" s="242">
        <v>1765</v>
      </c>
      <c r="G1769" s="243">
        <f t="shared" ca="1" si="58"/>
        <v>-2.177741548682003E-2</v>
      </c>
    </row>
    <row r="1770" spans="2:7" ht="15" thickBot="1" x14ac:dyDescent="0.35">
      <c r="B1770" s="170">
        <v>43983.645833333336</v>
      </c>
      <c r="C1770" s="238">
        <v>2305.5</v>
      </c>
      <c r="D1770" s="241">
        <f t="shared" si="57"/>
        <v>-0.42241930028935404</v>
      </c>
      <c r="E1770" s="241">
        <v>-3.1993953898475806E-2</v>
      </c>
      <c r="F1770" s="242">
        <v>1766</v>
      </c>
      <c r="G1770" s="243">
        <f t="shared" ca="1" si="58"/>
        <v>1.6015063223348978E-2</v>
      </c>
    </row>
    <row r="1771" spans="2:7" ht="15" thickBot="1" x14ac:dyDescent="0.35">
      <c r="B1771" s="170">
        <v>44627.645833333336</v>
      </c>
      <c r="C1771" s="238">
        <v>3991.65</v>
      </c>
      <c r="D1771" s="241">
        <f t="shared" si="57"/>
        <v>2.3625221127116505</v>
      </c>
      <c r="E1771" s="241">
        <v>-3.2092628516003856E-2</v>
      </c>
      <c r="F1771" s="242">
        <v>1767</v>
      </c>
      <c r="G1771" s="243">
        <f t="shared" ca="1" si="58"/>
        <v>-2.0518871946670358E-2</v>
      </c>
    </row>
    <row r="1772" spans="2:7" ht="15" thickBot="1" x14ac:dyDescent="0.35">
      <c r="B1772" s="170">
        <v>43398.645833333336</v>
      </c>
      <c r="C1772" s="238">
        <v>1187.0999999999999</v>
      </c>
      <c r="D1772" s="241">
        <f t="shared" si="57"/>
        <v>-0.4559827688923514</v>
      </c>
      <c r="E1772" s="241">
        <v>-3.2202837110712541E-2</v>
      </c>
      <c r="F1772" s="242">
        <v>1768</v>
      </c>
      <c r="G1772" s="243">
        <f t="shared" ca="1" si="58"/>
        <v>-3.7682550047790321E-3</v>
      </c>
    </row>
    <row r="1773" spans="2:7" ht="15" thickBot="1" x14ac:dyDescent="0.35">
      <c r="B1773" s="170">
        <v>43958.645833333336</v>
      </c>
      <c r="C1773" s="238">
        <v>2182.1</v>
      </c>
      <c r="D1773" s="241">
        <f t="shared" si="57"/>
        <v>-0.40610200860051165</v>
      </c>
      <c r="E1773" s="241">
        <v>-3.2328159645232855E-2</v>
      </c>
      <c r="F1773" s="242">
        <v>1769</v>
      </c>
      <c r="G1773" s="243">
        <f t="shared" ca="1" si="58"/>
        <v>5.9348479169577728E-3</v>
      </c>
    </row>
    <row r="1774" spans="2:7" ht="15" thickBot="1" x14ac:dyDescent="0.35">
      <c r="B1774" s="170">
        <v>45728.645833333336</v>
      </c>
      <c r="C1774" s="238">
        <v>3674.2</v>
      </c>
      <c r="D1774" s="241">
        <f t="shared" si="57"/>
        <v>2.053943978056687</v>
      </c>
      <c r="E1774" s="241">
        <v>-3.2366806246872638E-2</v>
      </c>
      <c r="F1774" s="242">
        <v>1770</v>
      </c>
      <c r="G1774" s="243">
        <f t="shared" ca="1" si="58"/>
        <v>1.6561957777540524E-2</v>
      </c>
    </row>
    <row r="1775" spans="2:7" ht="15" thickBot="1" x14ac:dyDescent="0.35">
      <c r="B1775" s="170">
        <v>43104.645833333336</v>
      </c>
      <c r="C1775" s="238">
        <v>1203.0999999999999</v>
      </c>
      <c r="D1775" s="241">
        <f t="shared" si="57"/>
        <v>-0.16480388753904901</v>
      </c>
      <c r="E1775" s="241">
        <v>-3.2411130770468213E-2</v>
      </c>
      <c r="F1775" s="242">
        <v>1771</v>
      </c>
      <c r="G1775" s="243">
        <f t="shared" ca="1" si="58"/>
        <v>-2.4604039006262061E-2</v>
      </c>
    </row>
    <row r="1776" spans="2:7" ht="15" thickBot="1" x14ac:dyDescent="0.35">
      <c r="B1776" s="170">
        <v>43199.645833333336</v>
      </c>
      <c r="C1776" s="238">
        <v>1440.5</v>
      </c>
      <c r="D1776" s="241">
        <f t="shared" si="57"/>
        <v>-0.546827319344386</v>
      </c>
      <c r="E1776" s="241">
        <v>-3.247472881754368E-2</v>
      </c>
      <c r="F1776" s="242">
        <v>1772</v>
      </c>
      <c r="G1776" s="243">
        <f t="shared" ca="1" si="58"/>
        <v>-2.1596452150086785E-2</v>
      </c>
    </row>
    <row r="1777" spans="2:7" ht="15" thickBot="1" x14ac:dyDescent="0.35">
      <c r="B1777" s="170">
        <v>44259.645833333336</v>
      </c>
      <c r="C1777" s="238">
        <v>3178.7</v>
      </c>
      <c r="D1777" s="241">
        <f t="shared" si="57"/>
        <v>0.55757546060368479</v>
      </c>
      <c r="E1777" s="241">
        <v>-3.2683119807674778E-2</v>
      </c>
      <c r="F1777" s="242">
        <v>1773</v>
      </c>
      <c r="G1777" s="243">
        <f t="shared" ca="1" si="58"/>
        <v>2.236678523657375E-2</v>
      </c>
    </row>
    <row r="1778" spans="2:7" ht="15" thickBot="1" x14ac:dyDescent="0.35">
      <c r="B1778" s="170">
        <v>44033.645833333336</v>
      </c>
      <c r="C1778" s="238">
        <v>2040.8</v>
      </c>
      <c r="D1778" s="241">
        <f t="shared" si="57"/>
        <v>-0.27955660677092525</v>
      </c>
      <c r="E1778" s="241">
        <v>-3.2796208530805712E-2</v>
      </c>
      <c r="F1778" s="242">
        <v>1774</v>
      </c>
      <c r="G1778" s="243">
        <f t="shared" ca="1" si="58"/>
        <v>-2.3885146648037228E-2</v>
      </c>
    </row>
    <row r="1779" spans="2:7" ht="15" thickBot="1" x14ac:dyDescent="0.35">
      <c r="B1779" s="170">
        <v>44299.645833333336</v>
      </c>
      <c r="C1779" s="238">
        <v>2832.7</v>
      </c>
      <c r="D1779" s="241">
        <f t="shared" si="57"/>
        <v>0.81171053052348818</v>
      </c>
      <c r="E1779" s="241">
        <v>-3.2845095428317893E-2</v>
      </c>
      <c r="F1779" s="242">
        <v>1775</v>
      </c>
      <c r="G1779" s="243">
        <f t="shared" ca="1" si="58"/>
        <v>7.0764188723366111E-3</v>
      </c>
    </row>
    <row r="1780" spans="2:7" ht="15" thickBot="1" x14ac:dyDescent="0.35">
      <c r="B1780" s="170">
        <v>43328.645833333336</v>
      </c>
      <c r="C1780" s="238">
        <v>1563.55</v>
      </c>
      <c r="D1780" s="241">
        <f t="shared" si="57"/>
        <v>0.20504816955684005</v>
      </c>
      <c r="E1780" s="241">
        <v>-3.2875610812148258E-2</v>
      </c>
      <c r="F1780" s="242">
        <v>1776</v>
      </c>
      <c r="G1780" s="243">
        <f t="shared" ca="1" si="58"/>
        <v>6.7984403291735376E-3</v>
      </c>
    </row>
    <row r="1781" spans="2:7" ht="15" thickBot="1" x14ac:dyDescent="0.35">
      <c r="B1781" s="170">
        <v>43633.645833333336</v>
      </c>
      <c r="C1781" s="238">
        <v>1297.5</v>
      </c>
      <c r="D1781" s="241">
        <f t="shared" si="57"/>
        <v>-0.38012087045840004</v>
      </c>
      <c r="E1781" s="241">
        <v>-3.3159463487332341E-2</v>
      </c>
      <c r="F1781" s="242">
        <v>1777</v>
      </c>
      <c r="G1781" s="243">
        <f t="shared" ca="1" si="58"/>
        <v>-5.1273213001712279E-3</v>
      </c>
    </row>
    <row r="1782" spans="2:7" ht="15" thickBot="1" x14ac:dyDescent="0.35">
      <c r="B1782" s="170">
        <v>44046.645833333336</v>
      </c>
      <c r="C1782" s="238">
        <v>2093.15</v>
      </c>
      <c r="D1782" s="241">
        <f t="shared" si="57"/>
        <v>-0.50639657591585996</v>
      </c>
      <c r="E1782" s="241">
        <v>-3.3231721398549637E-2</v>
      </c>
      <c r="F1782" s="242">
        <v>1778</v>
      </c>
      <c r="G1782" s="243">
        <f t="shared" ca="1" si="58"/>
        <v>-1.4511928183793661E-2</v>
      </c>
    </row>
    <row r="1783" spans="2:7" ht="15" thickBot="1" x14ac:dyDescent="0.35">
      <c r="B1783" s="170">
        <v>44833.645833333336</v>
      </c>
      <c r="C1783" s="238">
        <v>4240.55</v>
      </c>
      <c r="D1783" s="241">
        <f t="shared" si="57"/>
        <v>1.0054148636825802</v>
      </c>
      <c r="E1783" s="241">
        <v>-3.3283559973099584E-2</v>
      </c>
      <c r="F1783" s="242">
        <v>1779</v>
      </c>
      <c r="G1783" s="243">
        <f t="shared" ca="1" si="58"/>
        <v>-2.0265098154454639E-2</v>
      </c>
    </row>
    <row r="1784" spans="2:7" ht="15" thickBot="1" x14ac:dyDescent="0.35">
      <c r="B1784" s="170">
        <v>43920.645833333336</v>
      </c>
      <c r="C1784" s="238">
        <v>2114.5500000000002</v>
      </c>
      <c r="D1784" s="241">
        <f t="shared" si="57"/>
        <v>0.62482710926694329</v>
      </c>
      <c r="E1784" s="241">
        <v>-3.3348571428571346E-2</v>
      </c>
      <c r="F1784" s="242">
        <v>1780</v>
      </c>
      <c r="G1784" s="243">
        <f t="shared" ca="1" si="58"/>
        <v>2.6686439209593498E-2</v>
      </c>
    </row>
    <row r="1785" spans="2:7" ht="15" thickBot="1" x14ac:dyDescent="0.35">
      <c r="B1785" s="170">
        <v>43376.645833333336</v>
      </c>
      <c r="C1785" s="238">
        <v>1301.4000000000001</v>
      </c>
      <c r="D1785" s="241">
        <f t="shared" si="57"/>
        <v>-0.4670543429296859</v>
      </c>
      <c r="E1785" s="241">
        <v>-3.3386563672150496E-2</v>
      </c>
      <c r="F1785" s="242">
        <v>1781</v>
      </c>
      <c r="G1785" s="243">
        <f t="shared" ca="1" si="58"/>
        <v>-3.217178892539567E-2</v>
      </c>
    </row>
    <row r="1786" spans="2:7" ht="15" thickBot="1" x14ac:dyDescent="0.35">
      <c r="B1786" s="170">
        <v>44169.645833333336</v>
      </c>
      <c r="C1786" s="238">
        <v>2441.9</v>
      </c>
      <c r="D1786" s="241">
        <f t="shared" si="57"/>
        <v>0.14222232616881456</v>
      </c>
      <c r="E1786" s="241">
        <v>-3.3465930455777768E-2</v>
      </c>
      <c r="F1786" s="242">
        <v>1782</v>
      </c>
      <c r="G1786" s="243">
        <f t="shared" ca="1" si="58"/>
        <v>-2.9004966437637593E-2</v>
      </c>
    </row>
    <row r="1787" spans="2:7" ht="15" thickBot="1" x14ac:dyDescent="0.35">
      <c r="B1787" s="170">
        <v>43937.645833333336</v>
      </c>
      <c r="C1787" s="238">
        <v>2137.85</v>
      </c>
      <c r="D1787" s="241">
        <f t="shared" si="57"/>
        <v>0.48932390539552045</v>
      </c>
      <c r="E1787" s="241">
        <v>-3.356539035305818E-2</v>
      </c>
      <c r="F1787" s="242">
        <v>1783</v>
      </c>
      <c r="G1787" s="243">
        <f t="shared" ca="1" si="58"/>
        <v>1.5397756869492319E-2</v>
      </c>
    </row>
    <row r="1788" spans="2:7" ht="15" thickBot="1" x14ac:dyDescent="0.35">
      <c r="B1788" s="170">
        <v>43279.645833333336</v>
      </c>
      <c r="C1788" s="238">
        <v>1435.45</v>
      </c>
      <c r="D1788" s="241">
        <f t="shared" si="57"/>
        <v>-0.47103585510557539</v>
      </c>
      <c r="E1788" s="241">
        <v>-3.3627305776221923E-2</v>
      </c>
      <c r="F1788" s="242">
        <v>1784</v>
      </c>
      <c r="G1788" s="243">
        <f t="shared" ca="1" si="58"/>
        <v>-4.6983122246609674E-3</v>
      </c>
    </row>
    <row r="1789" spans="2:7" ht="15" thickBot="1" x14ac:dyDescent="0.35">
      <c r="B1789" s="170">
        <v>44309.645833333336</v>
      </c>
      <c r="C1789" s="238">
        <v>2713.7</v>
      </c>
      <c r="D1789" s="241">
        <f t="shared" si="57"/>
        <v>1.1101045838031181</v>
      </c>
      <c r="E1789" s="241">
        <v>-3.3668654856227255E-2</v>
      </c>
      <c r="F1789" s="242">
        <v>1785</v>
      </c>
      <c r="G1789" s="243">
        <f t="shared" ca="1" si="58"/>
        <v>2.0111147519692042E-2</v>
      </c>
    </row>
    <row r="1790" spans="2:7" ht="15" thickBot="1" x14ac:dyDescent="0.35">
      <c r="B1790" s="170">
        <v>43578.645833333336</v>
      </c>
      <c r="C1790" s="238">
        <v>1286.05</v>
      </c>
      <c r="D1790" s="241">
        <f t="shared" si="57"/>
        <v>-0.4672976555380664</v>
      </c>
      <c r="E1790" s="241">
        <v>-3.3880479284829006E-2</v>
      </c>
      <c r="F1790" s="242">
        <v>1786</v>
      </c>
      <c r="G1790" s="243">
        <f t="shared" ca="1" si="58"/>
        <v>1.4832141616778543E-2</v>
      </c>
    </row>
    <row r="1791" spans="2:7" ht="15" thickBot="1" x14ac:dyDescent="0.35">
      <c r="B1791" s="170">
        <v>43986.645833333336</v>
      </c>
      <c r="C1791" s="238">
        <v>2414.1999999999998</v>
      </c>
      <c r="D1791" s="241">
        <f t="shared" si="57"/>
        <v>-0.42392173238680431</v>
      </c>
      <c r="E1791" s="241">
        <v>-3.3933573429371824E-2</v>
      </c>
      <c r="F1791" s="242">
        <v>1787</v>
      </c>
      <c r="G1791" s="243">
        <f t="shared" ca="1" si="58"/>
        <v>2.6200972010266391E-2</v>
      </c>
    </row>
    <row r="1792" spans="2:7" ht="15" thickBot="1" x14ac:dyDescent="0.35">
      <c r="B1792" s="170">
        <v>44617.645833333336</v>
      </c>
      <c r="C1792" s="238">
        <v>4190.75</v>
      </c>
      <c r="D1792" s="241">
        <f t="shared" si="57"/>
        <v>-8.2685783079785483E-2</v>
      </c>
      <c r="E1792" s="241">
        <v>-3.4467266464686105E-2</v>
      </c>
      <c r="F1792" s="242">
        <v>1788</v>
      </c>
      <c r="G1792" s="243">
        <f t="shared" ca="1" si="58"/>
        <v>-2.1461339739080858E-2</v>
      </c>
    </row>
    <row r="1793" spans="2:7" ht="15" thickBot="1" x14ac:dyDescent="0.35">
      <c r="B1793" s="170">
        <v>44495.645833333336</v>
      </c>
      <c r="C1793" s="238">
        <v>4568.5</v>
      </c>
      <c r="D1793" s="241">
        <f t="shared" si="57"/>
        <v>0.90791396951346837</v>
      </c>
      <c r="E1793" s="241">
        <v>-3.4755968730192266E-2</v>
      </c>
      <c r="F1793" s="242">
        <v>1789</v>
      </c>
      <c r="G1793" s="243">
        <f t="shared" ca="1" si="58"/>
        <v>-1.1603927893443396E-3</v>
      </c>
    </row>
    <row r="1794" spans="2:7" ht="15" thickBot="1" x14ac:dyDescent="0.35">
      <c r="B1794" s="170">
        <v>43872.645833333336</v>
      </c>
      <c r="C1794" s="238">
        <v>2394.5</v>
      </c>
      <c r="D1794" s="241">
        <f t="shared" si="57"/>
        <v>-0.40151713967932612</v>
      </c>
      <c r="E1794" s="241">
        <v>-3.531212859819112E-2</v>
      </c>
      <c r="F1794" s="242">
        <v>1790</v>
      </c>
      <c r="G1794" s="243">
        <f t="shared" ca="1" si="58"/>
        <v>4.8990349241741869E-3</v>
      </c>
    </row>
    <row r="1795" spans="2:7" ht="15" thickBot="1" x14ac:dyDescent="0.35">
      <c r="B1795" s="170">
        <v>44769.645833333336</v>
      </c>
      <c r="C1795" s="238">
        <v>4000.95</v>
      </c>
      <c r="D1795" s="241">
        <f t="shared" si="57"/>
        <v>0.81116316968832736</v>
      </c>
      <c r="E1795" s="241">
        <v>-3.5404310718935426E-2</v>
      </c>
      <c r="F1795" s="242">
        <v>1791</v>
      </c>
      <c r="G1795" s="243">
        <f t="shared" ca="1" si="58"/>
        <v>-2.9022934025565793E-2</v>
      </c>
    </row>
    <row r="1796" spans="2:7" ht="15" thickBot="1" x14ac:dyDescent="0.35">
      <c r="B1796" s="170">
        <v>44138.645833333336</v>
      </c>
      <c r="C1796" s="238">
        <v>2209.0500000000002</v>
      </c>
      <c r="D1796" s="241">
        <f t="shared" si="57"/>
        <v>7.4911196535448532E-2</v>
      </c>
      <c r="E1796" s="241">
        <v>-3.56862231534835E-2</v>
      </c>
      <c r="F1796" s="242">
        <v>1792</v>
      </c>
      <c r="G1796" s="243">
        <f t="shared" ca="1" si="58"/>
        <v>-1.4911144868869686E-2</v>
      </c>
    </row>
    <row r="1797" spans="2:7" ht="15" thickBot="1" x14ac:dyDescent="0.35">
      <c r="B1797" s="170">
        <v>43862.708333333336</v>
      </c>
      <c r="C1797" s="238">
        <v>2055.1</v>
      </c>
      <c r="D1797" s="241">
        <f t="shared" ref="D1797:D1860" si="59">(C1797-C1798)/C1798</f>
        <v>0.51249310027598893</v>
      </c>
      <c r="E1797" s="241">
        <v>-3.5911148640724408E-2</v>
      </c>
      <c r="F1797" s="242">
        <v>1793</v>
      </c>
      <c r="G1797" s="243">
        <f t="shared" ca="1" si="58"/>
        <v>1.3850487442252596E-2</v>
      </c>
    </row>
    <row r="1798" spans="2:7" ht="15" thickBot="1" x14ac:dyDescent="0.35">
      <c r="B1798" s="170">
        <v>43243.645833333336</v>
      </c>
      <c r="C1798" s="238">
        <v>1358.75</v>
      </c>
      <c r="D1798" s="241">
        <f t="shared" si="59"/>
        <v>-0.14803900053296543</v>
      </c>
      <c r="E1798" s="241">
        <v>-3.6279168735371368E-2</v>
      </c>
      <c r="F1798" s="242">
        <v>1794</v>
      </c>
      <c r="G1798" s="243">
        <f t="shared" ref="G1798:G1861" ca="1" si="60">_xlfn.NORM.INV(RAND(),$M$7,$M$8)</f>
        <v>1.0369981058579836E-2</v>
      </c>
    </row>
    <row r="1799" spans="2:7" ht="15" thickBot="1" x14ac:dyDescent="0.35">
      <c r="B1799" s="170">
        <v>43311.645833333336</v>
      </c>
      <c r="C1799" s="238">
        <v>1594.85</v>
      </c>
      <c r="D1799" s="241">
        <f t="shared" si="59"/>
        <v>-0.60180515330070905</v>
      </c>
      <c r="E1799" s="241">
        <v>-3.6286180433863183E-2</v>
      </c>
      <c r="F1799" s="242">
        <v>1795</v>
      </c>
      <c r="G1799" s="243">
        <f t="shared" ca="1" si="60"/>
        <v>-3.0053257845124178E-3</v>
      </c>
    </row>
    <row r="1800" spans="2:7" ht="15" thickBot="1" x14ac:dyDescent="0.35">
      <c r="B1800" s="170">
        <v>45587.645833333336</v>
      </c>
      <c r="C1800" s="238">
        <v>4005.2</v>
      </c>
      <c r="D1800" s="241">
        <f t="shared" si="59"/>
        <v>1.7850636256171337</v>
      </c>
      <c r="E1800" s="241">
        <v>-3.6308077283992331E-2</v>
      </c>
      <c r="F1800" s="242">
        <v>1796</v>
      </c>
      <c r="G1800" s="243">
        <f t="shared" ca="1" si="60"/>
        <v>2.0986504504477293E-2</v>
      </c>
    </row>
    <row r="1801" spans="2:7" ht="15" thickBot="1" x14ac:dyDescent="0.35">
      <c r="B1801" s="170">
        <v>43433.645833333336</v>
      </c>
      <c r="C1801" s="238">
        <v>1438.1</v>
      </c>
      <c r="D1801" s="241">
        <f t="shared" si="59"/>
        <v>-0.64791284122903658</v>
      </c>
      <c r="E1801" s="241">
        <v>-3.6448911222780628E-2</v>
      </c>
      <c r="F1801" s="242">
        <v>1797</v>
      </c>
      <c r="G1801" s="243">
        <f t="shared" ca="1" si="60"/>
        <v>1.3877002485863058E-2</v>
      </c>
    </row>
    <row r="1802" spans="2:7" ht="15" thickBot="1" x14ac:dyDescent="0.35">
      <c r="B1802" s="170">
        <v>44455.645833333336</v>
      </c>
      <c r="C1802" s="238">
        <v>4084.5</v>
      </c>
      <c r="D1802" s="241">
        <f t="shared" si="59"/>
        <v>-7.1831113939008387E-2</v>
      </c>
      <c r="E1802" s="241">
        <v>-3.6595001945915265E-2</v>
      </c>
      <c r="F1802" s="242">
        <v>1798</v>
      </c>
      <c r="G1802" s="243">
        <f t="shared" ca="1" si="60"/>
        <v>-7.2565050627507403E-3</v>
      </c>
    </row>
    <row r="1803" spans="2:7" ht="15" thickBot="1" x14ac:dyDescent="0.35">
      <c r="B1803" s="170">
        <v>44494.645833333336</v>
      </c>
      <c r="C1803" s="238">
        <v>4400.6000000000004</v>
      </c>
      <c r="D1803" s="241">
        <f t="shared" si="59"/>
        <v>2.9198325390816371</v>
      </c>
      <c r="E1803" s="241">
        <v>-3.6751669037977372E-2</v>
      </c>
      <c r="F1803" s="242">
        <v>1799</v>
      </c>
      <c r="G1803" s="243">
        <f t="shared" ca="1" si="60"/>
        <v>-1.940617056312641E-2</v>
      </c>
    </row>
    <row r="1804" spans="2:7" ht="15" thickBot="1" x14ac:dyDescent="0.35">
      <c r="B1804" s="170">
        <v>43138.645833333336</v>
      </c>
      <c r="C1804" s="238">
        <v>1122.6500000000001</v>
      </c>
      <c r="D1804" s="241">
        <f t="shared" si="59"/>
        <v>-0.4314688679006406</v>
      </c>
      <c r="E1804" s="241">
        <v>-3.680665780103802E-2</v>
      </c>
      <c r="F1804" s="242">
        <v>1800</v>
      </c>
      <c r="G1804" s="243">
        <f t="shared" ca="1" si="60"/>
        <v>-2.491843662517616E-2</v>
      </c>
    </row>
    <row r="1805" spans="2:7" ht="15" thickBot="1" x14ac:dyDescent="0.35">
      <c r="B1805" s="170">
        <v>43859.645833333336</v>
      </c>
      <c r="C1805" s="238">
        <v>1974.65</v>
      </c>
      <c r="D1805" s="241">
        <f t="shared" si="59"/>
        <v>-0.30149100620810404</v>
      </c>
      <c r="E1805" s="241">
        <v>-3.7366548042704666E-2</v>
      </c>
      <c r="F1805" s="242">
        <v>1801</v>
      </c>
      <c r="G1805" s="243">
        <f t="shared" ca="1" si="60"/>
        <v>5.6131789034907613E-3</v>
      </c>
    </row>
    <row r="1806" spans="2:7" ht="15" thickBot="1" x14ac:dyDescent="0.35">
      <c r="B1806" s="170">
        <v>44313.645833333336</v>
      </c>
      <c r="C1806" s="238">
        <v>2826.95</v>
      </c>
      <c r="D1806" s="241">
        <f t="shared" si="59"/>
        <v>1.3570685884335416E-2</v>
      </c>
      <c r="E1806" s="241">
        <v>-3.7404658131299492E-2</v>
      </c>
      <c r="F1806" s="242">
        <v>1802</v>
      </c>
      <c r="G1806" s="243">
        <f t="shared" ca="1" si="60"/>
        <v>-3.1143332330358091E-2</v>
      </c>
    </row>
    <row r="1807" spans="2:7" ht="15" thickBot="1" x14ac:dyDescent="0.35">
      <c r="B1807" s="170">
        <v>44197.645833333336</v>
      </c>
      <c r="C1807" s="238">
        <v>2789.1</v>
      </c>
      <c r="D1807" s="241">
        <f t="shared" si="59"/>
        <v>-4.7731230154665634E-2</v>
      </c>
      <c r="E1807" s="241">
        <v>-3.7727061015370253E-2</v>
      </c>
      <c r="F1807" s="242">
        <v>1803</v>
      </c>
      <c r="G1807" s="243">
        <f t="shared" ca="1" si="60"/>
        <v>-1.7566446089016429E-2</v>
      </c>
    </row>
    <row r="1808" spans="2:7" ht="15" thickBot="1" x14ac:dyDescent="0.35">
      <c r="B1808" s="170">
        <v>44239.645833333336</v>
      </c>
      <c r="C1808" s="238">
        <v>2928.9</v>
      </c>
      <c r="D1808" s="241">
        <f t="shared" si="59"/>
        <v>-0.21386585071261771</v>
      </c>
      <c r="E1808" s="241">
        <v>-3.7985909247672096E-2</v>
      </c>
      <c r="F1808" s="242">
        <v>1804</v>
      </c>
      <c r="G1808" s="243">
        <f t="shared" ca="1" si="60"/>
        <v>-7.2389014909523498E-3</v>
      </c>
    </row>
    <row r="1809" spans="2:7" ht="15" thickBot="1" x14ac:dyDescent="0.35">
      <c r="B1809" s="170">
        <v>45202.645833333336</v>
      </c>
      <c r="C1809" s="238">
        <v>3725.7</v>
      </c>
      <c r="D1809" s="241">
        <f t="shared" si="59"/>
        <v>-7.2689938398357329E-2</v>
      </c>
      <c r="E1809" s="241">
        <v>-3.8020113866690769E-2</v>
      </c>
      <c r="F1809" s="242">
        <v>1805</v>
      </c>
      <c r="G1809" s="243">
        <f t="shared" ca="1" si="60"/>
        <v>-2.3296922765304755E-2</v>
      </c>
    </row>
    <row r="1810" spans="2:7" ht="15" thickBot="1" x14ac:dyDescent="0.35">
      <c r="B1810" s="170">
        <v>44923.645833333336</v>
      </c>
      <c r="C1810" s="238">
        <v>4017.75</v>
      </c>
      <c r="D1810" s="241">
        <f t="shared" si="59"/>
        <v>3.9104470153169812E-3</v>
      </c>
      <c r="E1810" s="241">
        <v>-3.8424718186822436E-2</v>
      </c>
      <c r="F1810" s="242">
        <v>1806</v>
      </c>
      <c r="G1810" s="243">
        <f t="shared" ca="1" si="60"/>
        <v>3.1616447083036993E-2</v>
      </c>
    </row>
    <row r="1811" spans="2:7" ht="15" thickBot="1" x14ac:dyDescent="0.35">
      <c r="B1811" s="170">
        <v>44601.645833333336</v>
      </c>
      <c r="C1811" s="238">
        <v>4002.1</v>
      </c>
      <c r="D1811" s="241">
        <f t="shared" si="59"/>
        <v>0.95100667869156119</v>
      </c>
      <c r="E1811" s="241">
        <v>-3.8580728853868866E-2</v>
      </c>
      <c r="F1811" s="242">
        <v>1807</v>
      </c>
      <c r="G1811" s="243">
        <f t="shared" ca="1" si="60"/>
        <v>3.3012732771541373E-3</v>
      </c>
    </row>
    <row r="1812" spans="2:7" ht="15" thickBot="1" x14ac:dyDescent="0.35">
      <c r="B1812" s="170">
        <v>43860.645833333336</v>
      </c>
      <c r="C1812" s="238">
        <v>2051.3000000000002</v>
      </c>
      <c r="D1812" s="241">
        <f t="shared" si="59"/>
        <v>-0.54062860406006108</v>
      </c>
      <c r="E1812" s="241">
        <v>-3.8730991822676093E-2</v>
      </c>
      <c r="F1812" s="242">
        <v>1808</v>
      </c>
      <c r="G1812" s="243">
        <f t="shared" ca="1" si="60"/>
        <v>-7.7646876474980076E-3</v>
      </c>
    </row>
    <row r="1813" spans="2:7" ht="15" thickBot="1" x14ac:dyDescent="0.35">
      <c r="B1813" s="170">
        <v>45573.645833333336</v>
      </c>
      <c r="C1813" s="238">
        <v>4465.45</v>
      </c>
      <c r="D1813" s="241">
        <f t="shared" si="59"/>
        <v>0.98437986046304915</v>
      </c>
      <c r="E1813" s="241">
        <v>-3.873724544710893E-2</v>
      </c>
      <c r="F1813" s="242">
        <v>1809</v>
      </c>
      <c r="G1813" s="243">
        <f t="shared" ca="1" si="60"/>
        <v>-8.6343376125355229E-3</v>
      </c>
    </row>
    <row r="1814" spans="2:7" ht="15" thickBot="1" x14ac:dyDescent="0.35">
      <c r="B1814" s="170">
        <v>44067.645833333336</v>
      </c>
      <c r="C1814" s="238">
        <v>2250.3000000000002</v>
      </c>
      <c r="D1814" s="241">
        <f t="shared" si="59"/>
        <v>-0.56024349491416114</v>
      </c>
      <c r="E1814" s="241">
        <v>-3.8805715139995263E-2</v>
      </c>
      <c r="F1814" s="242">
        <v>1810</v>
      </c>
      <c r="G1814" s="243">
        <f t="shared" ca="1" si="60"/>
        <v>2.824059101517516E-3</v>
      </c>
    </row>
    <row r="1815" spans="2:7" ht="15" thickBot="1" x14ac:dyDescent="0.35">
      <c r="B1815" s="170">
        <v>44482.645833333336</v>
      </c>
      <c r="C1815" s="238">
        <v>5117.1499999999996</v>
      </c>
      <c r="D1815" s="241">
        <f t="shared" si="59"/>
        <v>3.1857123252759319E-3</v>
      </c>
      <c r="E1815" s="241">
        <v>-3.8807231744541038E-2</v>
      </c>
      <c r="F1815" s="242">
        <v>1811</v>
      </c>
      <c r="G1815" s="243">
        <f t="shared" ca="1" si="60"/>
        <v>-1.7048180174024954E-2</v>
      </c>
    </row>
    <row r="1816" spans="2:7" ht="15" thickBot="1" x14ac:dyDescent="0.35">
      <c r="B1816" s="170">
        <v>45539.645833333336</v>
      </c>
      <c r="C1816" s="238">
        <v>5100.8999999999996</v>
      </c>
      <c r="D1816" s="241">
        <f t="shared" si="59"/>
        <v>0.4592762122729222</v>
      </c>
      <c r="E1816" s="241">
        <v>-3.9043734634477176E-2</v>
      </c>
      <c r="F1816" s="242">
        <v>1812</v>
      </c>
      <c r="G1816" s="243">
        <f t="shared" ca="1" si="60"/>
        <v>7.2338681412416877E-3</v>
      </c>
    </row>
    <row r="1817" spans="2:7" ht="15" thickBot="1" x14ac:dyDescent="0.35">
      <c r="B1817" s="170">
        <v>44746.645833333336</v>
      </c>
      <c r="C1817" s="238">
        <v>3495.5</v>
      </c>
      <c r="D1817" s="241">
        <f t="shared" si="59"/>
        <v>-4.9722705524140952E-2</v>
      </c>
      <c r="E1817" s="241">
        <v>-3.9447108448633618E-2</v>
      </c>
      <c r="F1817" s="242">
        <v>1813</v>
      </c>
      <c r="G1817" s="243">
        <f t="shared" ca="1" si="60"/>
        <v>9.0019588024675273E-3</v>
      </c>
    </row>
    <row r="1818" spans="2:7" ht="15" thickBot="1" x14ac:dyDescent="0.35">
      <c r="B1818" s="170">
        <v>45628.645833333336</v>
      </c>
      <c r="C1818" s="238">
        <v>3678.4</v>
      </c>
      <c r="D1818" s="241">
        <f t="shared" si="59"/>
        <v>0.19966081795055779</v>
      </c>
      <c r="E1818" s="241">
        <v>-3.9544629685235665E-2</v>
      </c>
      <c r="F1818" s="242">
        <v>1814</v>
      </c>
      <c r="G1818" s="243">
        <f t="shared" ca="1" si="60"/>
        <v>4.0653982176017071E-3</v>
      </c>
    </row>
    <row r="1819" spans="2:7" ht="15" thickBot="1" x14ac:dyDescent="0.35">
      <c r="B1819" s="170">
        <v>44349.645833333336</v>
      </c>
      <c r="C1819" s="238">
        <v>3066.2</v>
      </c>
      <c r="D1819" s="241">
        <f t="shared" si="59"/>
        <v>-0.31264991369454592</v>
      </c>
      <c r="E1819" s="241">
        <v>-3.9621636859084791E-2</v>
      </c>
      <c r="F1819" s="242">
        <v>1815</v>
      </c>
      <c r="G1819" s="243">
        <f t="shared" ca="1" si="60"/>
        <v>-4.4244975057441743E-3</v>
      </c>
    </row>
    <row r="1820" spans="2:7" ht="15" thickBot="1" x14ac:dyDescent="0.35">
      <c r="B1820" s="170">
        <v>45385.645833333336</v>
      </c>
      <c r="C1820" s="238">
        <v>4460.8999999999996</v>
      </c>
      <c r="D1820" s="241">
        <f t="shared" si="59"/>
        <v>2.0342130322405114</v>
      </c>
      <c r="E1820" s="241">
        <v>-3.9644352590392042E-2</v>
      </c>
      <c r="F1820" s="242">
        <v>1816</v>
      </c>
      <c r="G1820" s="243">
        <f t="shared" ca="1" si="60"/>
        <v>-1.94922775497391E-2</v>
      </c>
    </row>
    <row r="1821" spans="2:7" ht="15" thickBot="1" x14ac:dyDescent="0.35">
      <c r="B1821" s="170">
        <v>43700.645833333336</v>
      </c>
      <c r="C1821" s="238">
        <v>1470.2</v>
      </c>
      <c r="D1821" s="241">
        <f t="shared" si="59"/>
        <v>-0.62065228609763645</v>
      </c>
      <c r="E1821" s="241">
        <v>-3.9743966558897427E-2</v>
      </c>
      <c r="F1821" s="242">
        <v>1817</v>
      </c>
      <c r="G1821" s="243">
        <f t="shared" ca="1" si="60"/>
        <v>-6.6860498439426852E-3</v>
      </c>
    </row>
    <row r="1822" spans="2:7" ht="15" thickBot="1" x14ac:dyDescent="0.35">
      <c r="B1822" s="170">
        <v>44918.645833333336</v>
      </c>
      <c r="C1822" s="238">
        <v>3875.6</v>
      </c>
      <c r="D1822" s="241">
        <f t="shared" si="59"/>
        <v>-4.5207065605676139E-2</v>
      </c>
      <c r="E1822" s="241">
        <v>-3.9885051776247335E-2</v>
      </c>
      <c r="F1822" s="242">
        <v>1818</v>
      </c>
      <c r="G1822" s="243">
        <f t="shared" ca="1" si="60"/>
        <v>-1.3047839675215774E-2</v>
      </c>
    </row>
    <row r="1823" spans="2:7" ht="15" thickBot="1" x14ac:dyDescent="0.35">
      <c r="B1823" s="170">
        <v>45825.645833333336</v>
      </c>
      <c r="C1823" s="239">
        <v>4059.1</v>
      </c>
      <c r="D1823" s="241">
        <f t="shared" si="59"/>
        <v>0.11542847721245922</v>
      </c>
      <c r="E1823" s="241">
        <v>-4.003878535616303E-2</v>
      </c>
      <c r="F1823" s="242">
        <v>1819</v>
      </c>
      <c r="G1823" s="243">
        <f t="shared" ca="1" si="60"/>
        <v>-5.5399178337615321E-3</v>
      </c>
    </row>
    <row r="1824" spans="2:7" ht="15" thickBot="1" x14ac:dyDescent="0.35">
      <c r="B1824" s="170">
        <v>44747.645833333336</v>
      </c>
      <c r="C1824" s="238">
        <v>3639.05</v>
      </c>
      <c r="D1824" s="241">
        <f t="shared" si="59"/>
        <v>1.553360931799046</v>
      </c>
      <c r="E1824" s="241">
        <v>-4.03349156118143E-2</v>
      </c>
      <c r="F1824" s="242">
        <v>1820</v>
      </c>
      <c r="G1824" s="243">
        <f t="shared" ca="1" si="60"/>
        <v>-2.5487168734095841E-2</v>
      </c>
    </row>
    <row r="1825" spans="2:7" ht="15" thickBot="1" x14ac:dyDescent="0.35">
      <c r="B1825" s="170">
        <v>43234.645833333336</v>
      </c>
      <c r="C1825" s="238">
        <v>1425.2</v>
      </c>
      <c r="D1825" s="241">
        <f t="shared" si="59"/>
        <v>7.1055499192124116E-2</v>
      </c>
      <c r="E1825" s="241">
        <v>-4.0560099633107811E-2</v>
      </c>
      <c r="F1825" s="242">
        <v>1821</v>
      </c>
      <c r="G1825" s="243">
        <f t="shared" ca="1" si="60"/>
        <v>2.6416344656043613E-2</v>
      </c>
    </row>
    <row r="1826" spans="2:7" ht="15" thickBot="1" x14ac:dyDescent="0.35">
      <c r="B1826" s="170">
        <v>43641.645833333336</v>
      </c>
      <c r="C1826" s="238">
        <v>1330.65</v>
      </c>
      <c r="D1826" s="241">
        <f t="shared" si="59"/>
        <v>-0.72028420377747171</v>
      </c>
      <c r="E1826" s="241">
        <v>-4.0938412195034024E-2</v>
      </c>
      <c r="F1826" s="242">
        <v>1822</v>
      </c>
      <c r="G1826" s="243">
        <f t="shared" ca="1" si="60"/>
        <v>-1.3152962221036192E-2</v>
      </c>
    </row>
    <row r="1827" spans="2:7" ht="15" thickBot="1" x14ac:dyDescent="0.35">
      <c r="B1827" s="170">
        <v>44509.645833333336</v>
      </c>
      <c r="C1827" s="238">
        <v>4757.1499999999996</v>
      </c>
      <c r="D1827" s="241">
        <f t="shared" si="59"/>
        <v>0.21427112846823387</v>
      </c>
      <c r="E1827" s="241">
        <v>-4.0955184162248359E-2</v>
      </c>
      <c r="F1827" s="242">
        <v>1823</v>
      </c>
      <c r="G1827" s="243">
        <f t="shared" ca="1" si="60"/>
        <v>9.5799845644200902E-3</v>
      </c>
    </row>
    <row r="1828" spans="2:7" ht="15" thickBot="1" x14ac:dyDescent="0.35">
      <c r="B1828" s="170">
        <v>45092.645833333336</v>
      </c>
      <c r="C1828" s="238">
        <v>3917.7</v>
      </c>
      <c r="D1828" s="241">
        <f t="shared" si="59"/>
        <v>0.9646949675283969</v>
      </c>
      <c r="E1828" s="241">
        <v>-4.1095555120422969E-2</v>
      </c>
      <c r="F1828" s="242">
        <v>1824</v>
      </c>
      <c r="G1828" s="243">
        <f t="shared" ca="1" si="60"/>
        <v>2.7082469115681795E-2</v>
      </c>
    </row>
    <row r="1829" spans="2:7" ht="15" thickBot="1" x14ac:dyDescent="0.35">
      <c r="B1829" s="170">
        <v>43916.645833333336</v>
      </c>
      <c r="C1829" s="238">
        <v>1994.05</v>
      </c>
      <c r="D1829" s="241">
        <f t="shared" si="59"/>
        <v>0.68019042804179308</v>
      </c>
      <c r="E1829" s="241">
        <v>-4.1183824590085044E-2</v>
      </c>
      <c r="F1829" s="242">
        <v>1825</v>
      </c>
      <c r="G1829" s="243">
        <f t="shared" ca="1" si="60"/>
        <v>2.0919015010168701E-3</v>
      </c>
    </row>
    <row r="1830" spans="2:7" ht="15" thickBot="1" x14ac:dyDescent="0.35">
      <c r="B1830" s="170">
        <v>43151.645833333336</v>
      </c>
      <c r="C1830" s="238">
        <v>1186.8</v>
      </c>
      <c r="D1830" s="241">
        <f t="shared" si="59"/>
        <v>-0.449357398042036</v>
      </c>
      <c r="E1830" s="241">
        <v>-4.1202132816286964E-2</v>
      </c>
      <c r="F1830" s="242">
        <v>1826</v>
      </c>
      <c r="G1830" s="243">
        <f t="shared" ca="1" si="60"/>
        <v>-6.0850160052596507E-3</v>
      </c>
    </row>
    <row r="1831" spans="2:7" ht="15" thickBot="1" x14ac:dyDescent="0.35">
      <c r="B1831" s="170">
        <v>43865.645833333336</v>
      </c>
      <c r="C1831" s="238">
        <v>2155.3000000000002</v>
      </c>
      <c r="D1831" s="241">
        <f t="shared" si="59"/>
        <v>-0.46314124518949346</v>
      </c>
      <c r="E1831" s="241">
        <v>-4.1620347725554674E-2</v>
      </c>
      <c r="F1831" s="242">
        <v>1827</v>
      </c>
      <c r="G1831" s="243">
        <f t="shared" ca="1" si="60"/>
        <v>4.3639402557902112E-3</v>
      </c>
    </row>
    <row r="1832" spans="2:7" ht="15" thickBot="1" x14ac:dyDescent="0.35">
      <c r="B1832" s="170">
        <v>44616.645833333336</v>
      </c>
      <c r="C1832" s="238">
        <v>4014.65</v>
      </c>
      <c r="D1832" s="241">
        <f t="shared" si="59"/>
        <v>-6.5839072970960588E-2</v>
      </c>
      <c r="E1832" s="241">
        <v>-4.2021117938316511E-2</v>
      </c>
      <c r="F1832" s="242">
        <v>1828</v>
      </c>
      <c r="G1832" s="243">
        <f t="shared" ca="1" si="60"/>
        <v>-3.0130224480244817E-2</v>
      </c>
    </row>
    <row r="1833" spans="2:7" ht="15" thickBot="1" x14ac:dyDescent="0.35">
      <c r="B1833" s="170">
        <v>45373.645833333336</v>
      </c>
      <c r="C1833" s="238">
        <v>4297.6000000000004</v>
      </c>
      <c r="D1833" s="241">
        <f t="shared" si="59"/>
        <v>0.26360976757177934</v>
      </c>
      <c r="E1833" s="241">
        <v>-4.2040033881681482E-2</v>
      </c>
      <c r="F1833" s="242">
        <v>1829</v>
      </c>
      <c r="G1833" s="243">
        <f t="shared" ca="1" si="60"/>
        <v>4.853865941027667E-3</v>
      </c>
    </row>
    <row r="1834" spans="2:7" ht="15" thickBot="1" x14ac:dyDescent="0.35">
      <c r="B1834" s="170">
        <v>45016.645833333336</v>
      </c>
      <c r="C1834" s="238">
        <v>3401.05</v>
      </c>
      <c r="D1834" s="241">
        <f t="shared" si="59"/>
        <v>1.339501289767842</v>
      </c>
      <c r="E1834" s="241">
        <v>-4.2968695040450179E-2</v>
      </c>
      <c r="F1834" s="242">
        <v>1830</v>
      </c>
      <c r="G1834" s="243">
        <f t="shared" ca="1" si="60"/>
        <v>4.1959618024933101E-2</v>
      </c>
    </row>
    <row r="1835" spans="2:7" ht="15" thickBot="1" x14ac:dyDescent="0.35">
      <c r="B1835" s="170">
        <v>43256.645833333336</v>
      </c>
      <c r="C1835" s="238">
        <v>1453.75</v>
      </c>
      <c r="D1835" s="241">
        <f t="shared" si="59"/>
        <v>-0.66643338993162315</v>
      </c>
      <c r="E1835" s="241">
        <v>-4.3302293442137443E-2</v>
      </c>
      <c r="F1835" s="242">
        <v>1831</v>
      </c>
      <c r="G1835" s="243">
        <f t="shared" ca="1" si="60"/>
        <v>-4.2393376491349881E-3</v>
      </c>
    </row>
    <row r="1836" spans="2:7" ht="15" thickBot="1" x14ac:dyDescent="0.35">
      <c r="B1836" s="170">
        <v>45883.645833333336</v>
      </c>
      <c r="C1836" s="239">
        <v>4358.2</v>
      </c>
      <c r="D1836" s="241">
        <f t="shared" si="59"/>
        <v>2.0347868072239424E-3</v>
      </c>
      <c r="E1836" s="241">
        <v>-4.3835015357613027E-2</v>
      </c>
      <c r="F1836" s="242">
        <v>1832</v>
      </c>
      <c r="G1836" s="243">
        <f t="shared" ca="1" si="60"/>
        <v>3.9029408345401487E-2</v>
      </c>
    </row>
    <row r="1837" spans="2:7" ht="15" thickBot="1" x14ac:dyDescent="0.35">
      <c r="B1837" s="170">
        <v>45446.645833333336</v>
      </c>
      <c r="C1837" s="238">
        <v>4349.3500000000004</v>
      </c>
      <c r="D1837" s="241">
        <f t="shared" si="59"/>
        <v>0.1456511431882837</v>
      </c>
      <c r="E1837" s="241">
        <v>-4.3836218741412393E-2</v>
      </c>
      <c r="F1837" s="242">
        <v>1833</v>
      </c>
      <c r="G1837" s="243">
        <f t="shared" ca="1" si="60"/>
        <v>-9.9882505329747639E-3</v>
      </c>
    </row>
    <row r="1838" spans="2:7" ht="15" thickBot="1" x14ac:dyDescent="0.35">
      <c r="B1838" s="170">
        <v>44711.645833333336</v>
      </c>
      <c r="C1838" s="238">
        <v>3796.4</v>
      </c>
      <c r="D1838" s="241">
        <f t="shared" si="59"/>
        <v>1.9633908360003125</v>
      </c>
      <c r="E1838" s="241">
        <v>-4.4401933145388664E-2</v>
      </c>
      <c r="F1838" s="242">
        <v>1834</v>
      </c>
      <c r="G1838" s="243">
        <f t="shared" ca="1" si="60"/>
        <v>-9.524290240702624E-3</v>
      </c>
    </row>
    <row r="1839" spans="2:7" ht="15" thickBot="1" x14ac:dyDescent="0.35">
      <c r="B1839" s="170">
        <v>43182.645833333336</v>
      </c>
      <c r="C1839" s="238">
        <v>1281.0999999999999</v>
      </c>
      <c r="D1839" s="241">
        <f t="shared" si="59"/>
        <v>3.260387699995955E-2</v>
      </c>
      <c r="E1839" s="241">
        <v>-4.498863170449896E-2</v>
      </c>
      <c r="F1839" s="242">
        <v>1835</v>
      </c>
      <c r="G1839" s="243">
        <f t="shared" ca="1" si="60"/>
        <v>-1.5761096124122565E-2</v>
      </c>
    </row>
    <row r="1840" spans="2:7" ht="15" thickBot="1" x14ac:dyDescent="0.35">
      <c r="B1840" s="170">
        <v>43153.645833333336</v>
      </c>
      <c r="C1840" s="238">
        <v>1240.6500000000001</v>
      </c>
      <c r="D1840" s="241">
        <f t="shared" si="59"/>
        <v>-0.38106759790471434</v>
      </c>
      <c r="E1840" s="241">
        <v>-4.58373389732743E-2</v>
      </c>
      <c r="F1840" s="242">
        <v>1836</v>
      </c>
      <c r="G1840" s="243">
        <f t="shared" ca="1" si="60"/>
        <v>-1.6784759631145274E-3</v>
      </c>
    </row>
    <row r="1841" spans="2:7" ht="15" thickBot="1" x14ac:dyDescent="0.35">
      <c r="B1841" s="170">
        <v>43902.645833333336</v>
      </c>
      <c r="C1841" s="238">
        <v>2004.5</v>
      </c>
      <c r="D1841" s="241">
        <f t="shared" si="59"/>
        <v>0.47454759452699713</v>
      </c>
      <c r="E1841" s="241">
        <v>-4.5930509281294621E-2</v>
      </c>
      <c r="F1841" s="242">
        <v>1837</v>
      </c>
      <c r="G1841" s="243">
        <f t="shared" ca="1" si="60"/>
        <v>-2.9751131891703128E-2</v>
      </c>
    </row>
    <row r="1842" spans="2:7" ht="15" thickBot="1" x14ac:dyDescent="0.35">
      <c r="B1842" s="170">
        <v>43658.645833333336</v>
      </c>
      <c r="C1842" s="238">
        <v>1359.4</v>
      </c>
      <c r="D1842" s="241">
        <f t="shared" si="59"/>
        <v>5.2819083023544024E-2</v>
      </c>
      <c r="E1842" s="241">
        <v>-4.6202420627959942E-2</v>
      </c>
      <c r="F1842" s="242">
        <v>1838</v>
      </c>
      <c r="G1842" s="243">
        <f t="shared" ca="1" si="60"/>
        <v>-1.1114175853815285E-2</v>
      </c>
    </row>
    <row r="1843" spans="2:7" ht="15" thickBot="1" x14ac:dyDescent="0.35">
      <c r="B1843" s="170">
        <v>43157.645833333336</v>
      </c>
      <c r="C1843" s="238">
        <v>1291.2</v>
      </c>
      <c r="D1843" s="241">
        <f t="shared" si="59"/>
        <v>-0.41314425961276241</v>
      </c>
      <c r="E1843" s="241">
        <v>-4.6873846608105112E-2</v>
      </c>
      <c r="F1843" s="242">
        <v>1839</v>
      </c>
      <c r="G1843" s="243">
        <f t="shared" ca="1" si="60"/>
        <v>-3.0110009123144141E-2</v>
      </c>
    </row>
    <row r="1844" spans="2:7" ht="15" thickBot="1" x14ac:dyDescent="0.35">
      <c r="B1844" s="170">
        <v>43978.645833333336</v>
      </c>
      <c r="C1844" s="238">
        <v>2200.1999999999998</v>
      </c>
      <c r="D1844" s="241">
        <f t="shared" si="59"/>
        <v>0.60032003491289954</v>
      </c>
      <c r="E1844" s="241">
        <v>-4.6892936819077739E-2</v>
      </c>
      <c r="F1844" s="242">
        <v>1840</v>
      </c>
      <c r="G1844" s="243">
        <f t="shared" ca="1" si="60"/>
        <v>-5.5902431705163432E-3</v>
      </c>
    </row>
    <row r="1845" spans="2:7" ht="15" thickBot="1" x14ac:dyDescent="0.35">
      <c r="B1845" s="170">
        <v>43496.645833333336</v>
      </c>
      <c r="C1845" s="238">
        <v>1374.85</v>
      </c>
      <c r="D1845" s="241">
        <f t="shared" si="59"/>
        <v>-0.45581745136456292</v>
      </c>
      <c r="E1845" s="241">
        <v>-4.7194982501126255E-2</v>
      </c>
      <c r="F1845" s="242">
        <v>1841</v>
      </c>
      <c r="G1845" s="243">
        <f t="shared" ca="1" si="60"/>
        <v>-1.7906116947642168E-3</v>
      </c>
    </row>
    <row r="1846" spans="2:7" ht="15" thickBot="1" x14ac:dyDescent="0.35">
      <c r="B1846" s="170">
        <v>44172.645833333336</v>
      </c>
      <c r="C1846" s="238">
        <v>2526.4499999999998</v>
      </c>
      <c r="D1846" s="241">
        <f t="shared" si="59"/>
        <v>0.38443202367252982</v>
      </c>
      <c r="E1846" s="241">
        <v>-4.7377549866143849E-2</v>
      </c>
      <c r="F1846" s="242">
        <v>1842</v>
      </c>
      <c r="G1846" s="243">
        <f t="shared" ca="1" si="60"/>
        <v>-5.5132788700844784E-3</v>
      </c>
    </row>
    <row r="1847" spans="2:7" ht="15" thickBot="1" x14ac:dyDescent="0.35">
      <c r="B1847" s="170">
        <v>43909.645833333336</v>
      </c>
      <c r="C1847" s="238">
        <v>1824.9</v>
      </c>
      <c r="D1847" s="241">
        <f t="shared" si="59"/>
        <v>-0.11710491303611589</v>
      </c>
      <c r="E1847" s="241">
        <v>-4.7596680757789167E-2</v>
      </c>
      <c r="F1847" s="242">
        <v>1843</v>
      </c>
      <c r="G1847" s="243">
        <f t="shared" ca="1" si="60"/>
        <v>-2.0690552519524653E-2</v>
      </c>
    </row>
    <row r="1848" spans="2:7" ht="15" thickBot="1" x14ac:dyDescent="0.35">
      <c r="B1848" s="170">
        <v>43924.645833333336</v>
      </c>
      <c r="C1848" s="238">
        <v>2066.9499999999998</v>
      </c>
      <c r="D1848" s="241">
        <f t="shared" si="59"/>
        <v>0.14278210869685395</v>
      </c>
      <c r="E1848" s="241">
        <v>-4.7598202972007918E-2</v>
      </c>
      <c r="F1848" s="242">
        <v>1844</v>
      </c>
      <c r="G1848" s="243">
        <f t="shared" ca="1" si="60"/>
        <v>3.9406911661744849E-2</v>
      </c>
    </row>
    <row r="1849" spans="2:7" ht="15" thickBot="1" x14ac:dyDescent="0.35">
      <c r="B1849" s="170">
        <v>43914.645833333336</v>
      </c>
      <c r="C1849" s="238">
        <v>1808.7</v>
      </c>
      <c r="D1849" s="241">
        <f t="shared" si="59"/>
        <v>-0.2062753702687877</v>
      </c>
      <c r="E1849" s="241">
        <v>-4.760149544521082E-2</v>
      </c>
      <c r="F1849" s="242">
        <v>1845</v>
      </c>
      <c r="G1849" s="243">
        <f t="shared" ca="1" si="60"/>
        <v>-1.0829236344808072E-2</v>
      </c>
    </row>
    <row r="1850" spans="2:7" ht="15" thickBot="1" x14ac:dyDescent="0.35">
      <c r="B1850" s="170">
        <v>43929.645833333336</v>
      </c>
      <c r="C1850" s="238">
        <v>2278.75</v>
      </c>
      <c r="D1850" s="241">
        <f t="shared" si="59"/>
        <v>-2.5133689839572194E-2</v>
      </c>
      <c r="E1850" s="241">
        <v>-4.7604120953754242E-2</v>
      </c>
      <c r="F1850" s="242">
        <v>1846</v>
      </c>
      <c r="G1850" s="243">
        <f t="shared" ca="1" si="60"/>
        <v>2.0418267524163227E-2</v>
      </c>
    </row>
    <row r="1851" spans="2:7" ht="15" thickBot="1" x14ac:dyDescent="0.35">
      <c r="B1851" s="170">
        <v>43970.645833333336</v>
      </c>
      <c r="C1851" s="238">
        <v>2337.5</v>
      </c>
      <c r="D1851" s="241">
        <f t="shared" si="59"/>
        <v>7.7064854279460887E-2</v>
      </c>
      <c r="E1851" s="241">
        <v>-4.7609346670197776E-2</v>
      </c>
      <c r="F1851" s="242">
        <v>1847</v>
      </c>
      <c r="G1851" s="243">
        <f t="shared" ca="1" si="60"/>
        <v>-1.5892189802210004E-2</v>
      </c>
    </row>
    <row r="1852" spans="2:7" ht="15" thickBot="1" x14ac:dyDescent="0.35">
      <c r="B1852" s="170">
        <v>43928.645833333336</v>
      </c>
      <c r="C1852" s="238">
        <v>2170.25</v>
      </c>
      <c r="D1852" s="241">
        <f t="shared" si="59"/>
        <v>0.14277815807487762</v>
      </c>
      <c r="E1852" s="241">
        <v>-4.7613823368074605E-2</v>
      </c>
      <c r="F1852" s="242">
        <v>1848</v>
      </c>
      <c r="G1852" s="243">
        <f t="shared" ca="1" si="60"/>
        <v>-3.0272056562121608E-3</v>
      </c>
    </row>
    <row r="1853" spans="2:7" ht="15" thickBot="1" x14ac:dyDescent="0.35">
      <c r="B1853" s="170">
        <v>43915.645833333336</v>
      </c>
      <c r="C1853" s="238">
        <v>1899.1</v>
      </c>
      <c r="D1853" s="241">
        <f t="shared" si="59"/>
        <v>-0.47449396073439687</v>
      </c>
      <c r="E1853" s="241">
        <v>-4.7616659562197565E-2</v>
      </c>
      <c r="F1853" s="242">
        <v>1849</v>
      </c>
      <c r="G1853" s="243">
        <f t="shared" ca="1" si="60"/>
        <v>-3.2320189445808681E-2</v>
      </c>
    </row>
    <row r="1854" spans="2:7" ht="15" thickBot="1" x14ac:dyDescent="0.35">
      <c r="B1854" s="170">
        <v>44708.645833333336</v>
      </c>
      <c r="C1854" s="238">
        <v>3613.85</v>
      </c>
      <c r="D1854" s="241">
        <f t="shared" si="59"/>
        <v>1.8375078517587942</v>
      </c>
      <c r="E1854" s="241">
        <v>-4.8085027921188545E-2</v>
      </c>
      <c r="F1854" s="242">
        <v>1850</v>
      </c>
      <c r="G1854" s="243">
        <f t="shared" ca="1" si="60"/>
        <v>3.4714138420957552E-2</v>
      </c>
    </row>
    <row r="1855" spans="2:7" ht="15" thickBot="1" x14ac:dyDescent="0.35">
      <c r="B1855" s="170">
        <v>43403.645833333336</v>
      </c>
      <c r="C1855" s="238">
        <v>1273.5999999999999</v>
      </c>
      <c r="D1855" s="241">
        <f t="shared" si="59"/>
        <v>-2.398651237642745E-2</v>
      </c>
      <c r="E1855" s="241">
        <v>-4.8095967711797999E-2</v>
      </c>
      <c r="F1855" s="242">
        <v>1851</v>
      </c>
      <c r="G1855" s="243">
        <f t="shared" ca="1" si="60"/>
        <v>1.6499238715878659E-3</v>
      </c>
    </row>
    <row r="1856" spans="2:7" ht="15" thickBot="1" x14ac:dyDescent="0.35">
      <c r="B1856" s="170">
        <v>43381.645833333336</v>
      </c>
      <c r="C1856" s="238">
        <v>1304.9000000000001</v>
      </c>
      <c r="D1856" s="241">
        <f t="shared" si="59"/>
        <v>6.3834991032121466E-2</v>
      </c>
      <c r="E1856" s="241">
        <v>-4.9253187613843286E-2</v>
      </c>
      <c r="F1856" s="242">
        <v>1852</v>
      </c>
      <c r="G1856" s="243">
        <f t="shared" ca="1" si="60"/>
        <v>1.7085962254540538E-2</v>
      </c>
    </row>
    <row r="1857" spans="2:7" ht="15" thickBot="1" x14ac:dyDescent="0.35">
      <c r="B1857" s="170">
        <v>43399.645833333336</v>
      </c>
      <c r="C1857" s="238">
        <v>1226.5999999999999</v>
      </c>
      <c r="D1857" s="241">
        <f t="shared" si="59"/>
        <v>-0.54890314988139677</v>
      </c>
      <c r="E1857" s="241">
        <v>-5.0067763794772575E-2</v>
      </c>
      <c r="F1857" s="242">
        <v>1853</v>
      </c>
      <c r="G1857" s="243">
        <f t="shared" ca="1" si="60"/>
        <v>-8.2691204253144048E-3</v>
      </c>
    </row>
    <row r="1858" spans="2:7" ht="15" thickBot="1" x14ac:dyDescent="0.35">
      <c r="B1858" s="170">
        <v>44217.645833333336</v>
      </c>
      <c r="C1858" s="238">
        <v>2719.15</v>
      </c>
      <c r="D1858" s="241">
        <f t="shared" si="59"/>
        <v>-9.1375392635166683E-2</v>
      </c>
      <c r="E1858" s="241">
        <v>-5.0161557942537738E-2</v>
      </c>
      <c r="F1858" s="242">
        <v>1854</v>
      </c>
      <c r="G1858" s="243">
        <f t="shared" ca="1" si="60"/>
        <v>-3.5558101715004557E-2</v>
      </c>
    </row>
    <row r="1859" spans="2:7" ht="15" thickBot="1" x14ac:dyDescent="0.35">
      <c r="B1859" s="170">
        <v>44249.645833333336</v>
      </c>
      <c r="C1859" s="238">
        <v>2992.6</v>
      </c>
      <c r="D1859" s="241">
        <f t="shared" si="59"/>
        <v>0.90593255421456531</v>
      </c>
      <c r="E1859" s="241">
        <v>-5.0556005012769849E-2</v>
      </c>
      <c r="F1859" s="242">
        <v>1855</v>
      </c>
      <c r="G1859" s="243">
        <f t="shared" ca="1" si="60"/>
        <v>-1.9013680366872617E-2</v>
      </c>
    </row>
    <row r="1860" spans="2:7" ht="15" thickBot="1" x14ac:dyDescent="0.35">
      <c r="B1860" s="170">
        <v>43461.645833333336</v>
      </c>
      <c r="C1860" s="238">
        <v>1570.15</v>
      </c>
      <c r="D1860" s="241">
        <f t="shared" si="59"/>
        <v>-0.45832614620347045</v>
      </c>
      <c r="E1860" s="241">
        <v>-5.124021873772619E-2</v>
      </c>
      <c r="F1860" s="242">
        <v>1856</v>
      </c>
      <c r="G1860" s="243">
        <f t="shared" ca="1" si="60"/>
        <v>2.1140591303176408E-2</v>
      </c>
    </row>
    <row r="1861" spans="2:7" ht="15" thickBot="1" x14ac:dyDescent="0.35">
      <c r="B1861" s="170">
        <v>44333.645833333336</v>
      </c>
      <c r="C1861" s="238">
        <v>2898.7</v>
      </c>
      <c r="D1861" s="241">
        <f t="shared" ref="D1861:D1882" si="61">(C1861-C1862)/C1862</f>
        <v>0.46089103920975694</v>
      </c>
      <c r="E1861" s="241">
        <v>-5.1565618558387712E-2</v>
      </c>
      <c r="F1861" s="242">
        <v>1857</v>
      </c>
      <c r="G1861" s="243">
        <f t="shared" ca="1" si="60"/>
        <v>2.8482649325296462E-2</v>
      </c>
    </row>
    <row r="1862" spans="2:7" ht="15" thickBot="1" x14ac:dyDescent="0.35">
      <c r="B1862" s="170">
        <v>44120.645833333336</v>
      </c>
      <c r="C1862" s="238">
        <v>1984.2</v>
      </c>
      <c r="D1862" s="241">
        <f t="shared" si="61"/>
        <v>-0.31778094861524175</v>
      </c>
      <c r="E1862" s="241">
        <v>-5.2571264861767712E-2</v>
      </c>
      <c r="F1862" s="242">
        <v>1858</v>
      </c>
      <c r="G1862" s="243">
        <f t="shared" ref="G1862:G1883" ca="1" si="62">_xlfn.NORM.INV(RAND(),$M$7,$M$8)</f>
        <v>-3.7288030891600862E-2</v>
      </c>
    </row>
    <row r="1863" spans="2:7" ht="15" thickBot="1" x14ac:dyDescent="0.35">
      <c r="B1863" s="170">
        <v>44256.645833333336</v>
      </c>
      <c r="C1863" s="238">
        <v>2908.45</v>
      </c>
      <c r="D1863" s="241">
        <f t="shared" si="61"/>
        <v>-0.21496146942521294</v>
      </c>
      <c r="E1863" s="241">
        <v>-5.3700992353993879E-2</v>
      </c>
      <c r="F1863" s="242">
        <v>1859</v>
      </c>
      <c r="G1863" s="243">
        <f t="shared" ca="1" si="62"/>
        <v>1.5339938910787771E-2</v>
      </c>
    </row>
    <row r="1864" spans="2:7" ht="15" thickBot="1" x14ac:dyDescent="0.35">
      <c r="B1864" s="170">
        <v>45091.645833333336</v>
      </c>
      <c r="C1864" s="238">
        <v>3704.85</v>
      </c>
      <c r="D1864" s="241">
        <f t="shared" si="61"/>
        <v>0.61840380919098381</v>
      </c>
      <c r="E1864" s="241">
        <v>-5.4330346887204208E-2</v>
      </c>
      <c r="F1864" s="242">
        <v>1860</v>
      </c>
      <c r="G1864" s="243">
        <f t="shared" ca="1" si="62"/>
        <v>1.7198785519801817E-2</v>
      </c>
    </row>
    <row r="1865" spans="2:7" ht="15" thickBot="1" x14ac:dyDescent="0.35">
      <c r="B1865" s="170">
        <v>44162.645833333336</v>
      </c>
      <c r="C1865" s="238">
        <v>2289.1999999999998</v>
      </c>
      <c r="D1865" s="241">
        <f t="shared" si="61"/>
        <v>-0.13663963794078829</v>
      </c>
      <c r="E1865" s="241">
        <v>-5.6661309597395647E-2</v>
      </c>
      <c r="F1865" s="242">
        <v>1861</v>
      </c>
      <c r="G1865" s="243">
        <f t="shared" ca="1" si="62"/>
        <v>1.4250851475876269E-2</v>
      </c>
    </row>
    <row r="1866" spans="2:7" ht="15" thickBot="1" x14ac:dyDescent="0.35">
      <c r="B1866" s="170">
        <v>44225.645833333336</v>
      </c>
      <c r="C1866" s="238">
        <v>2651.5</v>
      </c>
      <c r="D1866" s="241">
        <f t="shared" si="61"/>
        <v>0.88062983190297173</v>
      </c>
      <c r="E1866" s="241">
        <v>-5.7076813655761026E-2</v>
      </c>
      <c r="F1866" s="242">
        <v>1862</v>
      </c>
      <c r="G1866" s="243">
        <f t="shared" ca="1" si="62"/>
        <v>9.3244539122103731E-3</v>
      </c>
    </row>
    <row r="1867" spans="2:7" ht="15" thickBot="1" x14ac:dyDescent="0.35">
      <c r="B1867" s="170">
        <v>43244.645833333336</v>
      </c>
      <c r="C1867" s="238">
        <v>1409.9</v>
      </c>
      <c r="D1867" s="241">
        <f t="shared" si="61"/>
        <v>-0.70254960495363872</v>
      </c>
      <c r="E1867" s="241">
        <v>-5.8528930586624728E-2</v>
      </c>
      <c r="F1867" s="242">
        <v>1863</v>
      </c>
      <c r="G1867" s="243">
        <f t="shared" ca="1" si="62"/>
        <v>-3.0098244709894788E-2</v>
      </c>
    </row>
    <row r="1868" spans="2:7" ht="15" thickBot="1" x14ac:dyDescent="0.35">
      <c r="B1868" s="170">
        <v>45457.645833333336</v>
      </c>
      <c r="C1868" s="238">
        <v>4739.95</v>
      </c>
      <c r="D1868" s="241">
        <f t="shared" si="61"/>
        <v>1.6773328061455035</v>
      </c>
      <c r="E1868" s="241">
        <v>-5.9403091699244015E-2</v>
      </c>
      <c r="F1868" s="242">
        <v>1864</v>
      </c>
      <c r="G1868" s="243">
        <f t="shared" ca="1" si="62"/>
        <v>7.5467505283439212E-3</v>
      </c>
    </row>
    <row r="1869" spans="2:7" ht="15" thickBot="1" x14ac:dyDescent="0.35">
      <c r="B1869" s="170">
        <v>43815.645833333336</v>
      </c>
      <c r="C1869" s="238">
        <v>1770.4</v>
      </c>
      <c r="D1869" s="241">
        <f t="shared" si="61"/>
        <v>0.33504260613830045</v>
      </c>
      <c r="E1869" s="241">
        <v>-6.0272300220281828E-2</v>
      </c>
      <c r="F1869" s="242">
        <v>1865</v>
      </c>
      <c r="G1869" s="243">
        <f t="shared" ca="1" si="62"/>
        <v>-4.6666544206848759E-3</v>
      </c>
    </row>
    <row r="1870" spans="2:7" ht="15" thickBot="1" x14ac:dyDescent="0.35">
      <c r="B1870" s="170">
        <v>43384.645833333336</v>
      </c>
      <c r="C1870" s="238">
        <v>1326.1</v>
      </c>
      <c r="D1870" s="241">
        <f t="shared" si="61"/>
        <v>7.441766254810607E-2</v>
      </c>
      <c r="E1870" s="241">
        <v>-6.0636112488489151E-2</v>
      </c>
      <c r="F1870" s="242">
        <v>1866</v>
      </c>
      <c r="G1870" s="243">
        <f t="shared" ca="1" si="62"/>
        <v>-3.6026150566627155E-2</v>
      </c>
    </row>
    <row r="1871" spans="2:7" ht="15" thickBot="1" x14ac:dyDescent="0.35">
      <c r="B1871" s="170">
        <v>43602.645833333336</v>
      </c>
      <c r="C1871" s="238">
        <v>1234.25</v>
      </c>
      <c r="D1871" s="241">
        <f t="shared" si="61"/>
        <v>-0.72866172025281672</v>
      </c>
      <c r="E1871" s="241">
        <v>-6.3614293300963437E-2</v>
      </c>
      <c r="F1871" s="242">
        <v>1867</v>
      </c>
      <c r="G1871" s="243">
        <f t="shared" ca="1" si="62"/>
        <v>5.0294113074814017E-2</v>
      </c>
    </row>
    <row r="1872" spans="2:7" ht="15" thickBot="1" x14ac:dyDescent="0.35">
      <c r="B1872" s="170">
        <v>45447.645833333336</v>
      </c>
      <c r="C1872" s="238">
        <v>4548.75</v>
      </c>
      <c r="D1872" s="241">
        <f t="shared" si="61"/>
        <v>2.3297342800673451</v>
      </c>
      <c r="E1872" s="241">
        <v>-6.4476322690112609E-2</v>
      </c>
      <c r="F1872" s="242">
        <v>1868</v>
      </c>
      <c r="G1872" s="243">
        <f t="shared" ca="1" si="62"/>
        <v>-1.4324693165009473E-2</v>
      </c>
    </row>
    <row r="1873" spans="2:7" ht="15" thickBot="1" x14ac:dyDescent="0.35">
      <c r="B1873" s="170">
        <v>43405.645833333336</v>
      </c>
      <c r="C1873" s="238">
        <v>1366.1</v>
      </c>
      <c r="D1873" s="241">
        <f t="shared" si="61"/>
        <v>-0.65838959739934988</v>
      </c>
      <c r="E1873" s="241">
        <v>-6.5914529914529979E-2</v>
      </c>
      <c r="F1873" s="242">
        <v>1869</v>
      </c>
      <c r="G1873" s="243">
        <f t="shared" ca="1" si="62"/>
        <v>-2.235121400784355E-2</v>
      </c>
    </row>
    <row r="1874" spans="2:7" ht="15" thickBot="1" x14ac:dyDescent="0.35">
      <c r="B1874" s="170">
        <v>45867.645833333336</v>
      </c>
      <c r="C1874" s="239">
        <v>3999</v>
      </c>
      <c r="D1874" s="241">
        <f t="shared" si="61"/>
        <v>-9.2775553261720267E-2</v>
      </c>
      <c r="E1874" s="241">
        <v>-6.5959732797682927E-2</v>
      </c>
      <c r="F1874" s="242">
        <v>1870</v>
      </c>
      <c r="G1874" s="243">
        <f t="shared" ca="1" si="62"/>
        <v>1.2563906297737345E-2</v>
      </c>
    </row>
    <row r="1875" spans="2:7" ht="15" thickBot="1" x14ac:dyDescent="0.35">
      <c r="B1875" s="170">
        <v>44477.645833333336</v>
      </c>
      <c r="C1875" s="238">
        <v>4407.95</v>
      </c>
      <c r="D1875" s="241">
        <f t="shared" si="61"/>
        <v>0.20282973817417754</v>
      </c>
      <c r="E1875" s="241">
        <v>-6.6003453792285116E-2</v>
      </c>
      <c r="F1875" s="242">
        <v>1871</v>
      </c>
      <c r="G1875" s="243">
        <f t="shared" ca="1" si="62"/>
        <v>1.8163942396938942E-2</v>
      </c>
    </row>
    <row r="1876" spans="2:7" ht="15" thickBot="1" x14ac:dyDescent="0.35">
      <c r="B1876" s="170">
        <v>45688.645833333336</v>
      </c>
      <c r="C1876" s="238">
        <v>3664.65</v>
      </c>
      <c r="D1876" s="241">
        <f t="shared" si="61"/>
        <v>-0.22670394598016458</v>
      </c>
      <c r="E1876" s="241">
        <v>-7.1735248299707385E-2</v>
      </c>
      <c r="F1876" s="242">
        <v>1872</v>
      </c>
      <c r="G1876" s="243">
        <f t="shared" ca="1" si="62"/>
        <v>-3.6761902381165093E-3</v>
      </c>
    </row>
    <row r="1877" spans="2:7" ht="15" thickBot="1" x14ac:dyDescent="0.35">
      <c r="B1877" s="170">
        <v>44481.645833333336</v>
      </c>
      <c r="C1877" s="238">
        <v>4739</v>
      </c>
      <c r="D1877" s="241">
        <f t="shared" si="61"/>
        <v>1.0719657222805179</v>
      </c>
      <c r="E1877" s="241">
        <v>-7.3898556813851393E-2</v>
      </c>
      <c r="F1877" s="242">
        <v>1873</v>
      </c>
      <c r="G1877" s="243">
        <f t="shared" ca="1" si="62"/>
        <v>1.9497528631001262E-2</v>
      </c>
    </row>
    <row r="1878" spans="2:7" ht="15" thickBot="1" x14ac:dyDescent="0.35">
      <c r="B1878" s="170">
        <v>43868.645833333336</v>
      </c>
      <c r="C1878" s="238">
        <v>2287.1999999999998</v>
      </c>
      <c r="D1878" s="241">
        <f t="shared" si="61"/>
        <v>0.4124185630036743</v>
      </c>
      <c r="E1878" s="241">
        <v>-7.9097296317919299E-2</v>
      </c>
      <c r="F1878" s="242">
        <v>1874</v>
      </c>
      <c r="G1878" s="243">
        <f t="shared" ca="1" si="62"/>
        <v>-1.4255954739374323E-3</v>
      </c>
    </row>
    <row r="1879" spans="2:7" ht="15" thickBot="1" x14ac:dyDescent="0.35">
      <c r="B1879" s="170">
        <v>43727.645833333336</v>
      </c>
      <c r="C1879" s="238">
        <v>1619.35</v>
      </c>
      <c r="D1879" s="241">
        <f t="shared" si="61"/>
        <v>-8.0541676129911505E-2</v>
      </c>
      <c r="E1879" s="241">
        <v>-8.0541676129911505E-2</v>
      </c>
      <c r="F1879" s="242">
        <v>1875</v>
      </c>
      <c r="G1879" s="243">
        <f t="shared" ca="1" si="62"/>
        <v>1.2559754486412405E-2</v>
      </c>
    </row>
    <row r="1880" spans="2:7" ht="15" thickBot="1" x14ac:dyDescent="0.35">
      <c r="B1880" s="170">
        <v>43728.645833333336</v>
      </c>
      <c r="C1880" s="238">
        <v>1761.2</v>
      </c>
      <c r="D1880" s="241">
        <f t="shared" si="61"/>
        <v>-0.45483811056769635</v>
      </c>
      <c r="E1880" s="241">
        <v>-8.1272822117892524E-2</v>
      </c>
      <c r="F1880" s="242">
        <v>1876</v>
      </c>
      <c r="G1880" s="243">
        <f t="shared" ca="1" si="62"/>
        <v>2.5656106156972114E-3</v>
      </c>
    </row>
    <row r="1881" spans="2:7" ht="15" thickBot="1" x14ac:dyDescent="0.35">
      <c r="B1881" s="170">
        <v>44694.645833333336</v>
      </c>
      <c r="C1881" s="238">
        <v>3230.6</v>
      </c>
      <c r="D1881" s="241">
        <f t="shared" si="61"/>
        <v>-0.1053695549832461</v>
      </c>
      <c r="E1881" s="241">
        <v>-9.2808401898289858E-2</v>
      </c>
      <c r="F1881" s="242">
        <v>1877</v>
      </c>
      <c r="G1881" s="243">
        <f t="shared" ca="1" si="62"/>
        <v>5.3638839627238033E-3</v>
      </c>
    </row>
    <row r="1882" spans="2:7" ht="15" thickBot="1" x14ac:dyDescent="0.35">
      <c r="B1882" s="170">
        <v>45659.645833333336</v>
      </c>
      <c r="C1882" s="238">
        <v>3611.1</v>
      </c>
      <c r="D1882" s="241">
        <f t="shared" si="61"/>
        <v>-0.20774462483545417</v>
      </c>
      <c r="E1882" s="241">
        <v>-0.10287687568319585</v>
      </c>
      <c r="F1882" s="242">
        <v>1878</v>
      </c>
      <c r="G1882" s="243">
        <f t="shared" ca="1" si="62"/>
        <v>-3.3404487574335402E-2</v>
      </c>
    </row>
    <row r="1883" spans="2:7" ht="15" thickBot="1" x14ac:dyDescent="0.35">
      <c r="B1883" s="170">
        <v>45887.645833333336</v>
      </c>
      <c r="C1883" s="168">
        <v>4558</v>
      </c>
      <c r="D1883" s="171"/>
      <c r="F1883">
        <v>1879</v>
      </c>
      <c r="G1883" s="178">
        <f t="shared" ca="1" si="62"/>
        <v>-9.875315172273736E-3</v>
      </c>
    </row>
  </sheetData>
  <autoFilter ref="B4:E1883" xr:uid="{EC8297B8-D0EB-4B9A-BF74-8ED0975F74E5}">
    <sortState xmlns:xlrd2="http://schemas.microsoft.com/office/spreadsheetml/2017/richdata2" ref="B5:E1883">
      <sortCondition descending="1" ref="E4:E1883"/>
    </sortState>
  </autoFilter>
  <pageMargins left="0.7" right="0.7" top="0.75" bottom="0.75" header="0.3" footer="0.3"/>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0705BF-A161-4C87-92EB-A0D3A29A562A}">
  <sheetPr>
    <tabColor theme="6"/>
  </sheetPr>
  <dimension ref="B2:K1883"/>
  <sheetViews>
    <sheetView showGridLines="0" topLeftCell="A3" zoomScale="105" zoomScaleNormal="58" workbookViewId="0">
      <selection activeCell="O10" sqref="O10"/>
    </sheetView>
  </sheetViews>
  <sheetFormatPr defaultRowHeight="14.4" x14ac:dyDescent="0.3"/>
  <cols>
    <col min="1" max="1" width="1.88671875" customWidth="1"/>
    <col min="2" max="2" width="15.5546875" bestFit="1" customWidth="1"/>
    <col min="3" max="3" width="9.109375" bestFit="1" customWidth="1"/>
    <col min="4" max="4" width="8.6640625" bestFit="1" customWidth="1"/>
    <col min="5" max="5" width="15" bestFit="1" customWidth="1"/>
    <col min="8" max="8" width="10.5546875" bestFit="1" customWidth="1"/>
    <col min="10" max="10" width="12.5546875" bestFit="1" customWidth="1"/>
    <col min="11" max="11" width="11.21875" bestFit="1" customWidth="1"/>
  </cols>
  <sheetData>
    <row r="2" spans="2:11" x14ac:dyDescent="0.3">
      <c r="B2" s="73" t="s">
        <v>420</v>
      </c>
      <c r="C2" s="73"/>
      <c r="D2" s="73"/>
      <c r="E2" s="176"/>
    </row>
    <row r="3" spans="2:11" ht="15" thickBot="1" x14ac:dyDescent="0.35"/>
    <row r="4" spans="2:11" ht="15" thickBot="1" x14ac:dyDescent="0.35">
      <c r="B4" s="172" t="s">
        <v>225</v>
      </c>
      <c r="C4" s="173" t="s">
        <v>419</v>
      </c>
      <c r="D4" s="175" t="s">
        <v>227</v>
      </c>
      <c r="E4" s="240" t="s">
        <v>427</v>
      </c>
      <c r="G4" s="73" t="s">
        <v>421</v>
      </c>
      <c r="H4" s="73"/>
      <c r="I4" s="73"/>
      <c r="J4" s="73"/>
      <c r="K4" s="73"/>
    </row>
    <row r="5" spans="2:11" ht="15" thickBot="1" x14ac:dyDescent="0.35">
      <c r="B5" s="170">
        <v>43476.645833333336</v>
      </c>
      <c r="C5" s="169">
        <v>1571.65</v>
      </c>
      <c r="D5" s="247">
        <f t="shared" ref="D5:D68" si="0">(C5-C6)/C6</f>
        <v>-0.65629715485380624</v>
      </c>
      <c r="E5" s="248">
        <v>0.12469586374695862</v>
      </c>
    </row>
    <row r="6" spans="2:11" ht="15" thickBot="1" x14ac:dyDescent="0.35">
      <c r="B6" s="170">
        <v>45576.645833333336</v>
      </c>
      <c r="C6" s="169">
        <v>4572.7</v>
      </c>
      <c r="D6" s="247">
        <f t="shared" si="0"/>
        <v>-0.14107536980511862</v>
      </c>
      <c r="E6" s="248">
        <v>9.30060235204129E-2</v>
      </c>
      <c r="G6" s="261" t="s">
        <v>422</v>
      </c>
      <c r="H6" s="262"/>
      <c r="I6" s="255"/>
      <c r="J6" s="256"/>
      <c r="K6" s="245">
        <f>AVERAGE(E5:E1882)</f>
        <v>-5.2670451650334413E-4</v>
      </c>
    </row>
    <row r="7" spans="2:11" ht="15" thickBot="1" x14ac:dyDescent="0.35">
      <c r="B7" s="170">
        <v>44483.645833333336</v>
      </c>
      <c r="C7" s="169">
        <v>5323.75</v>
      </c>
      <c r="D7" s="247">
        <f t="shared" si="0"/>
        <v>0.34990364622952475</v>
      </c>
      <c r="E7" s="248">
        <v>8.6967618114255338E-2</v>
      </c>
      <c r="G7" s="261" t="s">
        <v>423</v>
      </c>
      <c r="H7" s="262"/>
      <c r="I7" s="257"/>
      <c r="J7" s="258"/>
      <c r="K7" s="245">
        <f>_xlfn.STDEV.S(E5:E1882)</f>
        <v>1.9828941812393478E-2</v>
      </c>
    </row>
    <row r="8" spans="2:11" ht="15" thickBot="1" x14ac:dyDescent="0.35">
      <c r="B8" s="170">
        <v>44686.645833333336</v>
      </c>
      <c r="C8" s="169">
        <v>3943.8</v>
      </c>
      <c r="D8" s="247">
        <f t="shared" si="0"/>
        <v>0.83744496470752694</v>
      </c>
      <c r="E8" s="248">
        <v>7.5718727838088584E-2</v>
      </c>
      <c r="G8" s="261" t="s">
        <v>424</v>
      </c>
      <c r="H8" s="262"/>
      <c r="I8" s="257"/>
      <c r="J8" s="258"/>
      <c r="K8" s="245">
        <f>MAX(E5:E1882)</f>
        <v>0.12469586374695862</v>
      </c>
    </row>
    <row r="9" spans="2:11" ht="15" thickBot="1" x14ac:dyDescent="0.35">
      <c r="B9" s="170">
        <v>44027.645833333336</v>
      </c>
      <c r="C9" s="169">
        <v>2146.35</v>
      </c>
      <c r="D9" s="247">
        <f t="shared" si="0"/>
        <v>0.30231782052059947</v>
      </c>
      <c r="E9" s="248">
        <v>6.9405346154804287E-2</v>
      </c>
      <c r="G9" s="261" t="s">
        <v>425</v>
      </c>
      <c r="H9" s="262"/>
      <c r="I9" s="257"/>
      <c r="J9" s="258"/>
      <c r="K9" s="245">
        <f>MIN(E5:E1882)</f>
        <v>-0.10287687568319585</v>
      </c>
    </row>
    <row r="10" spans="2:11" ht="15" thickBot="1" x14ac:dyDescent="0.35">
      <c r="B10" s="170">
        <v>43455.645833333336</v>
      </c>
      <c r="C10" s="169">
        <v>1648.1</v>
      </c>
      <c r="D10" s="247">
        <f t="shared" si="0"/>
        <v>-0.61670310246988236</v>
      </c>
      <c r="E10" s="248">
        <v>6.6213812065340397E-2</v>
      </c>
      <c r="G10" s="261" t="s">
        <v>428</v>
      </c>
      <c r="H10" s="262"/>
      <c r="I10" s="259"/>
      <c r="J10" s="260"/>
      <c r="K10" s="246">
        <v>4608.1000000000004</v>
      </c>
    </row>
    <row r="11" spans="2:11" ht="15" thickBot="1" x14ac:dyDescent="0.35">
      <c r="B11" s="170">
        <v>44582.645833333336</v>
      </c>
      <c r="C11" s="169">
        <v>4299.8</v>
      </c>
      <c r="D11" s="247">
        <f t="shared" si="0"/>
        <v>0.16759897898224088</v>
      </c>
      <c r="E11" s="248">
        <v>6.5546551681411547E-2</v>
      </c>
    </row>
    <row r="12" spans="2:11" ht="15" thickBot="1" x14ac:dyDescent="0.35">
      <c r="B12" s="170">
        <v>44728.645833333336</v>
      </c>
      <c r="C12" s="169">
        <v>3682.6</v>
      </c>
      <c r="D12" s="247">
        <f t="shared" si="0"/>
        <v>1.6086278954452076</v>
      </c>
      <c r="E12" s="248">
        <v>6.4166100764329284E-2</v>
      </c>
    </row>
    <row r="13" spans="2:11" ht="15" thickBot="1" x14ac:dyDescent="0.35">
      <c r="B13" s="170">
        <v>43385.645833333336</v>
      </c>
      <c r="C13" s="169">
        <v>1411.7</v>
      </c>
      <c r="D13" s="247">
        <f t="shared" si="0"/>
        <v>7.8745271845031092E-2</v>
      </c>
      <c r="E13" s="248">
        <v>6.1628125587516486E-2</v>
      </c>
      <c r="G13" s="73" t="s">
        <v>426</v>
      </c>
      <c r="H13" s="73" t="s">
        <v>430</v>
      </c>
      <c r="I13" s="73" t="s">
        <v>431</v>
      </c>
      <c r="J13" s="73" t="s">
        <v>429</v>
      </c>
      <c r="K13" s="73" t="s">
        <v>432</v>
      </c>
    </row>
    <row r="14" spans="2:11" ht="15" thickBot="1" x14ac:dyDescent="0.35">
      <c r="B14" s="170">
        <v>43390.645833333336</v>
      </c>
      <c r="C14" s="169">
        <v>1308.6500000000001</v>
      </c>
      <c r="D14" s="247">
        <f t="shared" si="0"/>
        <v>-8.6775994417306282E-2</v>
      </c>
      <c r="E14" s="248">
        <v>6.0279521976909126E-2</v>
      </c>
    </row>
    <row r="15" spans="2:11" ht="15" thickBot="1" x14ac:dyDescent="0.35">
      <c r="B15" s="170">
        <v>43650.645833333336</v>
      </c>
      <c r="C15" s="169">
        <v>1433</v>
      </c>
      <c r="D15" s="247">
        <f t="shared" si="0"/>
        <v>-0.43674704714737733</v>
      </c>
      <c r="E15" s="248">
        <v>5.6667772739003724E-2</v>
      </c>
      <c r="G15" s="249">
        <v>0.05</v>
      </c>
      <c r="H15" s="250">
        <f>100%-G15</f>
        <v>0.95</v>
      </c>
      <c r="I15" s="251">
        <f>_xlfn.PERCENTILE.INC(E5:E1882,G15)</f>
        <v>-3.3633508138222724E-2</v>
      </c>
      <c r="J15" s="244">
        <f>$K$10*(1-I15)</f>
        <v>4763.0865688517442</v>
      </c>
      <c r="K15" s="252">
        <f>$K$10-J15</f>
        <v>-154.98656885174387</v>
      </c>
    </row>
    <row r="16" spans="2:11" ht="15" thickBot="1" x14ac:dyDescent="0.35">
      <c r="B16" s="170">
        <v>43874.645833333336</v>
      </c>
      <c r="C16" s="169">
        <v>2544.15</v>
      </c>
      <c r="D16" s="247">
        <f t="shared" si="0"/>
        <v>0.70177257525083614</v>
      </c>
      <c r="E16" s="248">
        <v>5.6387153030082918E-2</v>
      </c>
      <c r="G16" s="249">
        <v>0.01</v>
      </c>
      <c r="H16" s="250">
        <f t="shared" ref="H16:H17" si="1">100%-G16</f>
        <v>0.99</v>
      </c>
      <c r="I16" s="251">
        <f>_xlfn.PERCENTILE.INC(E6:E1883,G16)</f>
        <v>-5.3852037441964359E-2</v>
      </c>
      <c r="J16" s="244">
        <f t="shared" ref="J16:J17" si="2">$K$10*(1-I16)</f>
        <v>4856.2555737363164</v>
      </c>
      <c r="K16" s="252">
        <f t="shared" ref="K16:K17" si="3">$K$10-J16</f>
        <v>-248.155573736316</v>
      </c>
    </row>
    <row r="17" spans="2:11" ht="15" thickBot="1" x14ac:dyDescent="0.35">
      <c r="B17" s="170">
        <v>43237.645833333336</v>
      </c>
      <c r="C17" s="169">
        <v>1495</v>
      </c>
      <c r="D17" s="247">
        <f t="shared" si="0"/>
        <v>-0.46501100395426648</v>
      </c>
      <c r="E17" s="248">
        <v>5.4896979960485433E-2</v>
      </c>
      <c r="G17" s="249">
        <v>5.0000000000000001E-3</v>
      </c>
      <c r="H17" s="250">
        <f t="shared" si="1"/>
        <v>0.995</v>
      </c>
      <c r="I17" s="251">
        <f>_xlfn.PERCENTILE.INC(E7:E1884,G17)</f>
        <v>-6.5375202205373462E-2</v>
      </c>
      <c r="J17" s="244">
        <f t="shared" si="2"/>
        <v>4909.3554692825819</v>
      </c>
      <c r="K17" s="252">
        <f t="shared" si="3"/>
        <v>-301.25546928258154</v>
      </c>
    </row>
    <row r="18" spans="2:11" ht="15" thickBot="1" x14ac:dyDescent="0.35">
      <c r="B18" s="170">
        <v>44224.645833333336</v>
      </c>
      <c r="C18" s="169">
        <v>2794.45</v>
      </c>
      <c r="D18" s="247">
        <f t="shared" si="0"/>
        <v>-0.37968656351972296</v>
      </c>
      <c r="E18" s="248">
        <v>5.3912879502168512E-2</v>
      </c>
    </row>
    <row r="19" spans="2:11" ht="15" thickBot="1" x14ac:dyDescent="0.35">
      <c r="B19" s="170">
        <v>44572.645833333336</v>
      </c>
      <c r="C19" s="169">
        <v>4504.8999999999996</v>
      </c>
      <c r="D19" s="247">
        <f t="shared" si="0"/>
        <v>2.1787327123906293</v>
      </c>
      <c r="E19" s="248">
        <v>5.3506700030401359E-2</v>
      </c>
    </row>
    <row r="20" spans="2:11" ht="15" thickBot="1" x14ac:dyDescent="0.35">
      <c r="B20" s="170">
        <v>43238.645833333336</v>
      </c>
      <c r="C20" s="169">
        <v>1417.2</v>
      </c>
      <c r="D20" s="247">
        <f t="shared" si="0"/>
        <v>-0.26037263190856419</v>
      </c>
      <c r="E20" s="248">
        <v>5.3327882864469135E-2</v>
      </c>
    </row>
    <row r="21" spans="2:11" ht="15" thickBot="1" x14ac:dyDescent="0.35">
      <c r="B21" s="170">
        <v>43910.645833333336</v>
      </c>
      <c r="C21" s="169">
        <v>1916.1</v>
      </c>
      <c r="D21" s="247">
        <f t="shared" si="0"/>
        <v>-0.19917246567613323</v>
      </c>
      <c r="E21" s="248">
        <v>5.2628687578970476E-2</v>
      </c>
    </row>
    <row r="22" spans="2:11" ht="15" thickBot="1" x14ac:dyDescent="0.35">
      <c r="B22" s="170">
        <v>43930.645833333336</v>
      </c>
      <c r="C22" s="169">
        <v>2392.65</v>
      </c>
      <c r="D22" s="247">
        <f t="shared" si="0"/>
        <v>0.13398421763548912</v>
      </c>
      <c r="E22" s="248">
        <v>5.2616528452959638E-2</v>
      </c>
    </row>
    <row r="23" spans="2:11" ht="15" thickBot="1" x14ac:dyDescent="0.35">
      <c r="B23" s="170">
        <v>43901.645833333336</v>
      </c>
      <c r="C23" s="169">
        <v>2109.9499999999998</v>
      </c>
      <c r="D23" s="247">
        <f t="shared" si="0"/>
        <v>9.8417408506429133E-2</v>
      </c>
      <c r="E23" s="248">
        <v>5.2606635071089959E-2</v>
      </c>
    </row>
    <row r="24" spans="2:11" ht="15" thickBot="1" x14ac:dyDescent="0.35">
      <c r="B24" s="170">
        <v>43908.645833333336</v>
      </c>
      <c r="C24" s="169">
        <v>1920.9</v>
      </c>
      <c r="D24" s="247">
        <f t="shared" si="0"/>
        <v>-4.9976507826603005E-2</v>
      </c>
      <c r="E24" s="248">
        <v>5.2605622225875386E-2</v>
      </c>
    </row>
    <row r="25" spans="2:11" ht="15" thickBot="1" x14ac:dyDescent="0.35">
      <c r="B25" s="170">
        <v>43907.645833333336</v>
      </c>
      <c r="C25" s="169">
        <v>2021.95</v>
      </c>
      <c r="D25" s="247">
        <f t="shared" si="0"/>
        <v>-3.7624940504521635E-2</v>
      </c>
      <c r="E25" s="248">
        <v>5.2605549482013611E-2</v>
      </c>
    </row>
    <row r="26" spans="2:11" ht="15" thickBot="1" x14ac:dyDescent="0.35">
      <c r="B26" s="170">
        <v>43903.645833333336</v>
      </c>
      <c r="C26" s="169">
        <v>2101</v>
      </c>
      <c r="D26" s="247">
        <f t="shared" si="0"/>
        <v>-0.58649058237713791</v>
      </c>
      <c r="E26" s="248">
        <v>5.2447026999949929E-2</v>
      </c>
    </row>
    <row r="27" spans="2:11" ht="15" thickBot="1" x14ac:dyDescent="0.35">
      <c r="B27" s="170">
        <v>44518.645833333336</v>
      </c>
      <c r="C27" s="169">
        <v>5080.8999999999996</v>
      </c>
      <c r="D27" s="247">
        <f t="shared" si="0"/>
        <v>3.2632153045813053</v>
      </c>
      <c r="E27" s="248">
        <v>5.2316550338628386E-2</v>
      </c>
    </row>
    <row r="28" spans="2:11" ht="15" thickBot="1" x14ac:dyDescent="0.35">
      <c r="B28" s="170">
        <v>43395.645833333336</v>
      </c>
      <c r="C28" s="169">
        <v>1191.8</v>
      </c>
      <c r="D28" s="247">
        <f t="shared" si="0"/>
        <v>-0.67669040352661913</v>
      </c>
      <c r="E28" s="248">
        <v>5.124812560642137E-2</v>
      </c>
    </row>
    <row r="29" spans="2:11" ht="15" thickBot="1" x14ac:dyDescent="0.35">
      <c r="B29" s="170">
        <v>45667.645833333336</v>
      </c>
      <c r="C29" s="169">
        <v>3686.25</v>
      </c>
      <c r="D29" s="247">
        <f t="shared" si="0"/>
        <v>-4.592747884152492E-2</v>
      </c>
      <c r="E29" s="248">
        <v>5.0977205662233301E-2</v>
      </c>
    </row>
    <row r="30" spans="2:11" ht="15" thickBot="1" x14ac:dyDescent="0.35">
      <c r="B30" s="170">
        <v>44939.645833333336</v>
      </c>
      <c r="C30" s="169">
        <v>3863.7</v>
      </c>
      <c r="D30" s="247">
        <f t="shared" si="0"/>
        <v>0.61101613642997099</v>
      </c>
      <c r="E30" s="248">
        <v>5.0389440917802793E-2</v>
      </c>
    </row>
    <row r="31" spans="2:11" ht="15" thickBot="1" x14ac:dyDescent="0.35">
      <c r="B31" s="170">
        <v>43973.645833333336</v>
      </c>
      <c r="C31" s="169">
        <v>2398.3000000000002</v>
      </c>
      <c r="D31" s="247">
        <f t="shared" si="0"/>
        <v>9.6365714285714374E-2</v>
      </c>
      <c r="E31" s="248">
        <v>5.0388700317529914E-2</v>
      </c>
    </row>
    <row r="32" spans="2:11" ht="15" thickBot="1" x14ac:dyDescent="0.35">
      <c r="B32" s="170">
        <v>43921.645833333336</v>
      </c>
      <c r="C32" s="169">
        <v>2187.5</v>
      </c>
      <c r="D32" s="247">
        <f t="shared" si="0"/>
        <v>-0.47692491630798661</v>
      </c>
      <c r="E32" s="248">
        <v>5.0319297066308249E-2</v>
      </c>
    </row>
    <row r="33" spans="2:5" ht="15" thickBot="1" x14ac:dyDescent="0.35">
      <c r="B33" s="170">
        <v>44910.645833333336</v>
      </c>
      <c r="C33" s="169">
        <v>4182</v>
      </c>
      <c r="D33" s="247">
        <f t="shared" si="0"/>
        <v>0.41870918497158849</v>
      </c>
      <c r="E33" s="248">
        <v>4.8120300751879702E-2</v>
      </c>
    </row>
    <row r="34" spans="2:5" ht="15" thickBot="1" x14ac:dyDescent="0.35">
      <c r="B34" s="170">
        <v>44295.645833333336</v>
      </c>
      <c r="C34" s="169">
        <v>2947.75</v>
      </c>
      <c r="D34" s="247">
        <f t="shared" si="0"/>
        <v>-0.34868588220997165</v>
      </c>
      <c r="E34" s="248">
        <v>4.71952822480372E-2</v>
      </c>
    </row>
    <row r="35" spans="2:5" ht="15" thickBot="1" x14ac:dyDescent="0.35">
      <c r="B35" s="170">
        <v>44819.645833333336</v>
      </c>
      <c r="C35" s="169">
        <v>4525.8500000000004</v>
      </c>
      <c r="D35" s="247">
        <f t="shared" si="0"/>
        <v>0.23831347387717702</v>
      </c>
      <c r="E35" s="248">
        <v>4.5822694134094392E-2</v>
      </c>
    </row>
    <row r="36" spans="2:5" ht="15" thickBot="1" x14ac:dyDescent="0.35">
      <c r="B36" s="170">
        <v>45021.645833333336</v>
      </c>
      <c r="C36" s="169">
        <v>3654.85</v>
      </c>
      <c r="D36" s="247">
        <f t="shared" si="0"/>
        <v>0.63006489307138225</v>
      </c>
      <c r="E36" s="248">
        <v>4.5407740053202139E-2</v>
      </c>
    </row>
    <row r="37" spans="2:5" ht="15" thickBot="1" x14ac:dyDescent="0.35">
      <c r="B37" s="170">
        <v>43896.645833333336</v>
      </c>
      <c r="C37" s="169">
        <v>2242.15</v>
      </c>
      <c r="D37" s="247">
        <f t="shared" si="0"/>
        <v>-5.9362742013298928E-2</v>
      </c>
      <c r="E37" s="248">
        <v>4.4950365847975148E-2</v>
      </c>
    </row>
    <row r="38" spans="2:5" ht="15" thickBot="1" x14ac:dyDescent="0.35">
      <c r="B38" s="170">
        <v>43951.645833333336</v>
      </c>
      <c r="C38" s="169">
        <v>2383.65</v>
      </c>
      <c r="D38" s="247">
        <f t="shared" si="0"/>
        <v>-0.50330794636438458</v>
      </c>
      <c r="E38" s="248">
        <v>4.4864770087230922E-2</v>
      </c>
    </row>
    <row r="39" spans="2:5" ht="15" thickBot="1" x14ac:dyDescent="0.35">
      <c r="B39" s="170">
        <v>44533.645833333336</v>
      </c>
      <c r="C39" s="169">
        <v>4799.05</v>
      </c>
      <c r="D39" s="247">
        <f t="shared" si="0"/>
        <v>0.14441569590671174</v>
      </c>
      <c r="E39" s="248">
        <v>4.4759385646953899E-2</v>
      </c>
    </row>
    <row r="40" spans="2:5" ht="15" thickBot="1" x14ac:dyDescent="0.35">
      <c r="B40" s="170">
        <v>44615.645833333336</v>
      </c>
      <c r="C40" s="169">
        <v>4193.45</v>
      </c>
      <c r="D40" s="247">
        <f t="shared" si="0"/>
        <v>0.14028361273130199</v>
      </c>
      <c r="E40" s="248">
        <v>4.4536883663582064E-2</v>
      </c>
    </row>
    <row r="41" spans="2:5" ht="15" thickBot="1" x14ac:dyDescent="0.35">
      <c r="B41" s="170">
        <v>45058.645833333336</v>
      </c>
      <c r="C41" s="169">
        <v>3677.55</v>
      </c>
      <c r="D41" s="247">
        <f t="shared" si="0"/>
        <v>-0.10376887177550054</v>
      </c>
      <c r="E41" s="248">
        <v>4.3750354770959891E-2</v>
      </c>
    </row>
    <row r="42" spans="2:5" ht="15" thickBot="1" x14ac:dyDescent="0.35">
      <c r="B42" s="170">
        <v>45293.645833333336</v>
      </c>
      <c r="C42" s="169">
        <v>4103.3500000000004</v>
      </c>
      <c r="D42" s="247">
        <f t="shared" si="0"/>
        <v>-0.16979929591712861</v>
      </c>
      <c r="E42" s="248">
        <v>4.348544763309483E-2</v>
      </c>
    </row>
    <row r="43" spans="2:5" ht="15" thickBot="1" x14ac:dyDescent="0.35">
      <c r="B43" s="170">
        <v>45568.645833333336</v>
      </c>
      <c r="C43" s="169">
        <v>4942.6000000000004</v>
      </c>
      <c r="D43" s="247">
        <f t="shared" si="0"/>
        <v>0.10238538657983075</v>
      </c>
      <c r="E43" s="248">
        <v>4.3281865099049126E-2</v>
      </c>
    </row>
    <row r="44" spans="2:5" ht="15" thickBot="1" x14ac:dyDescent="0.35">
      <c r="B44" s="170">
        <v>44581.645833333336</v>
      </c>
      <c r="C44" s="169">
        <v>4483.55</v>
      </c>
      <c r="D44" s="247">
        <f t="shared" si="0"/>
        <v>0.92927988984272492</v>
      </c>
      <c r="E44" s="248">
        <v>4.2734545792827573E-2</v>
      </c>
    </row>
    <row r="45" spans="2:5" ht="15" thickBot="1" x14ac:dyDescent="0.35">
      <c r="B45" s="170">
        <v>43889.645833333336</v>
      </c>
      <c r="C45" s="169">
        <v>2323.9499999999998</v>
      </c>
      <c r="D45" s="247">
        <f t="shared" si="0"/>
        <v>-0.50946164156578833</v>
      </c>
      <c r="E45" s="248">
        <v>4.2620965028376596E-2</v>
      </c>
    </row>
    <row r="46" spans="2:5" ht="15" thickBot="1" x14ac:dyDescent="0.35">
      <c r="B46" s="170">
        <v>45569.645833333336</v>
      </c>
      <c r="C46" s="169">
        <v>4737.55</v>
      </c>
      <c r="D46" s="247">
        <f t="shared" si="0"/>
        <v>1.0842260399023338</v>
      </c>
      <c r="E46" s="248">
        <v>4.2560214781642458E-2</v>
      </c>
    </row>
    <row r="47" spans="2:5" ht="15" thickBot="1" x14ac:dyDescent="0.35">
      <c r="B47" s="170">
        <v>43934.645833333336</v>
      </c>
      <c r="C47" s="169">
        <v>2273.0500000000002</v>
      </c>
      <c r="D47" s="247">
        <f t="shared" si="0"/>
        <v>0.44674283168379852</v>
      </c>
      <c r="E47" s="248">
        <v>4.2253198220918012E-2</v>
      </c>
    </row>
    <row r="48" spans="2:5" ht="15" thickBot="1" x14ac:dyDescent="0.35">
      <c r="B48" s="170">
        <v>43707.645833333336</v>
      </c>
      <c r="C48" s="169">
        <v>1571.15</v>
      </c>
      <c r="D48" s="247">
        <f t="shared" si="0"/>
        <v>-0.57145000272761981</v>
      </c>
      <c r="E48" s="248">
        <v>4.1876657824933744E-2</v>
      </c>
    </row>
    <row r="49" spans="2:5" ht="15" thickBot="1" x14ac:dyDescent="0.35">
      <c r="B49" s="170">
        <v>44687.645833333336</v>
      </c>
      <c r="C49" s="169">
        <v>3666.2</v>
      </c>
      <c r="D49" s="247">
        <f t="shared" si="0"/>
        <v>-0.11492546321443664</v>
      </c>
      <c r="E49" s="248">
        <v>4.1445331363804114E-2</v>
      </c>
    </row>
    <row r="50" spans="2:5" ht="15" thickBot="1" x14ac:dyDescent="0.35">
      <c r="B50" s="170">
        <v>44603.645833333336</v>
      </c>
      <c r="C50" s="169">
        <v>4142.25</v>
      </c>
      <c r="D50" s="247">
        <f t="shared" si="0"/>
        <v>-3.139249386180288E-2</v>
      </c>
      <c r="E50" s="248">
        <v>4.0831710534581317E-2</v>
      </c>
    </row>
    <row r="51" spans="2:5" ht="15" thickBot="1" x14ac:dyDescent="0.35">
      <c r="B51" s="170">
        <v>44623.645833333336</v>
      </c>
      <c r="C51" s="169">
        <v>4276.5</v>
      </c>
      <c r="D51" s="247">
        <f t="shared" si="0"/>
        <v>0.84117621733327608</v>
      </c>
      <c r="E51" s="248">
        <v>4.0460318232689453E-2</v>
      </c>
    </row>
    <row r="52" spans="2:5" ht="15" thickBot="1" x14ac:dyDescent="0.35">
      <c r="B52" s="170">
        <v>44022.645833333336</v>
      </c>
      <c r="C52" s="169">
        <v>2322.6999999999998</v>
      </c>
      <c r="D52" s="247">
        <f t="shared" si="0"/>
        <v>0.73200104395809251</v>
      </c>
      <c r="E52" s="248">
        <v>3.9727836343696143E-2</v>
      </c>
    </row>
    <row r="53" spans="2:5" ht="15" thickBot="1" x14ac:dyDescent="0.35">
      <c r="B53" s="170">
        <v>43609.645833333336</v>
      </c>
      <c r="C53" s="169">
        <v>1341.05</v>
      </c>
      <c r="D53" s="247">
        <f t="shared" si="0"/>
        <v>-0.1002381830990641</v>
      </c>
      <c r="E53" s="248">
        <v>3.9613938524748947E-2</v>
      </c>
    </row>
    <row r="54" spans="2:5" ht="15" thickBot="1" x14ac:dyDescent="0.35">
      <c r="B54" s="170">
        <v>43683.645833333336</v>
      </c>
      <c r="C54" s="169">
        <v>1490.45</v>
      </c>
      <c r="D54" s="247">
        <f t="shared" si="0"/>
        <v>-0.69583273810738566</v>
      </c>
      <c r="E54" s="248">
        <v>3.9148016454019448E-2</v>
      </c>
    </row>
    <row r="55" spans="2:5" ht="15" thickBot="1" x14ac:dyDescent="0.35">
      <c r="B55" s="170">
        <v>45470.645833333336</v>
      </c>
      <c r="C55" s="169">
        <v>4900.1000000000004</v>
      </c>
      <c r="D55" s="247">
        <f t="shared" si="0"/>
        <v>2.4736469003650798</v>
      </c>
      <c r="E55" s="248">
        <v>3.8872104733131997E-2</v>
      </c>
    </row>
    <row r="56" spans="2:5" ht="15" thickBot="1" x14ac:dyDescent="0.35">
      <c r="B56" s="170">
        <v>43571.645833333336</v>
      </c>
      <c r="C56" s="169">
        <v>1410.65</v>
      </c>
      <c r="D56" s="247">
        <f t="shared" si="0"/>
        <v>-0.33894889758429192</v>
      </c>
      <c r="E56" s="248">
        <v>3.8387927861612138E-2</v>
      </c>
    </row>
    <row r="57" spans="2:5" ht="15" thickBot="1" x14ac:dyDescent="0.35">
      <c r="B57" s="170">
        <v>43861.645833333336</v>
      </c>
      <c r="C57" s="169">
        <v>2133.9499999999998</v>
      </c>
      <c r="D57" s="247">
        <f t="shared" si="0"/>
        <v>-6.5389247782765877E-2</v>
      </c>
      <c r="E57" s="248">
        <v>3.8367962629555698E-2</v>
      </c>
    </row>
    <row r="58" spans="2:5" ht="15" thickBot="1" x14ac:dyDescent="0.35">
      <c r="B58" s="170">
        <v>43977.645833333336</v>
      </c>
      <c r="C58" s="169">
        <v>2283.25</v>
      </c>
      <c r="D58" s="247">
        <f t="shared" si="0"/>
        <v>8.5477578573612319E-4</v>
      </c>
      <c r="E58" s="248">
        <v>3.7746568493773378E-2</v>
      </c>
    </row>
    <row r="59" spans="2:5" ht="15" thickBot="1" x14ac:dyDescent="0.35">
      <c r="B59" s="170">
        <v>43955.645833333336</v>
      </c>
      <c r="C59" s="169">
        <v>2281.3000000000002</v>
      </c>
      <c r="D59" s="247">
        <f t="shared" si="0"/>
        <v>-0.53081392359504342</v>
      </c>
      <c r="E59" s="248">
        <v>3.7449691898406225E-2</v>
      </c>
    </row>
    <row r="60" spans="2:5" ht="15" thickBot="1" x14ac:dyDescent="0.35">
      <c r="B60" s="170">
        <v>45448.645833333336</v>
      </c>
      <c r="C60" s="169">
        <v>4862.25</v>
      </c>
      <c r="D60" s="247">
        <f t="shared" si="0"/>
        <v>-6.5890285013790991E-3</v>
      </c>
      <c r="E60" s="248">
        <v>3.7379588440490247E-2</v>
      </c>
    </row>
    <row r="61" spans="2:5" ht="15" thickBot="1" x14ac:dyDescent="0.35">
      <c r="B61" s="170">
        <v>44525.645833333336</v>
      </c>
      <c r="C61" s="169">
        <v>4894.5</v>
      </c>
      <c r="D61" s="247">
        <f t="shared" si="0"/>
        <v>0.970688301491756</v>
      </c>
      <c r="E61" s="248">
        <v>3.724503311258278E-2</v>
      </c>
    </row>
    <row r="62" spans="2:5" ht="15" thickBot="1" x14ac:dyDescent="0.35">
      <c r="B62" s="170">
        <v>43871.645833333336</v>
      </c>
      <c r="C62" s="169">
        <v>2483.65</v>
      </c>
      <c r="D62" s="247">
        <f t="shared" si="0"/>
        <v>-0.423231889274642</v>
      </c>
      <c r="E62" s="248">
        <v>3.7231154729588677E-2</v>
      </c>
    </row>
    <row r="63" spans="2:5" ht="15" thickBot="1" x14ac:dyDescent="0.35">
      <c r="B63" s="170">
        <v>44848.645833333336</v>
      </c>
      <c r="C63" s="169">
        <v>4306.1499999999996</v>
      </c>
      <c r="D63" s="247">
        <f t="shared" si="0"/>
        <v>0.92759461939613685</v>
      </c>
      <c r="E63" s="248">
        <v>3.6764617366285814E-2</v>
      </c>
    </row>
    <row r="64" spans="2:5" ht="15" thickBot="1" x14ac:dyDescent="0.35">
      <c r="B64" s="170">
        <v>44025.645833333336</v>
      </c>
      <c r="C64" s="169">
        <v>2233.9499999999998</v>
      </c>
      <c r="D64" s="247">
        <f t="shared" si="0"/>
        <v>-5.861654832388713E-2</v>
      </c>
      <c r="E64" s="248">
        <v>3.6707891500568447E-2</v>
      </c>
    </row>
    <row r="65" spans="2:5" ht="15" thickBot="1" x14ac:dyDescent="0.35">
      <c r="B65" s="170">
        <v>44161.645833333336</v>
      </c>
      <c r="C65" s="169">
        <v>2373.0500000000002</v>
      </c>
      <c r="D65" s="247">
        <f t="shared" si="0"/>
        <v>-0.2349072267986394</v>
      </c>
      <c r="E65" s="248">
        <v>3.6628516512318875E-2</v>
      </c>
    </row>
    <row r="66" spans="2:5" ht="15" thickBot="1" x14ac:dyDescent="0.35">
      <c r="B66" s="170">
        <v>44246.645833333336</v>
      </c>
      <c r="C66" s="169">
        <v>3101.65</v>
      </c>
      <c r="D66" s="247">
        <f t="shared" si="0"/>
        <v>1.2567302095459836</v>
      </c>
      <c r="E66" s="248">
        <v>3.6439885049789546E-2</v>
      </c>
    </row>
    <row r="67" spans="2:5" ht="15" thickBot="1" x14ac:dyDescent="0.35">
      <c r="B67" s="170">
        <v>43383.645833333336</v>
      </c>
      <c r="C67" s="169">
        <v>1374.4</v>
      </c>
      <c r="D67" s="247">
        <f t="shared" si="0"/>
        <v>1.9017608897127038E-2</v>
      </c>
      <c r="E67" s="248">
        <v>3.6422592564663438E-2</v>
      </c>
    </row>
    <row r="68" spans="2:5" ht="15" thickBot="1" x14ac:dyDescent="0.35">
      <c r="B68" s="170">
        <v>43374.645833333336</v>
      </c>
      <c r="C68" s="169">
        <v>1348.75</v>
      </c>
      <c r="D68" s="247">
        <f t="shared" si="0"/>
        <v>2.3253167437978981E-2</v>
      </c>
      <c r="E68" s="248">
        <v>3.6383894267711624E-2</v>
      </c>
    </row>
    <row r="69" spans="2:5" ht="15" thickBot="1" x14ac:dyDescent="0.35">
      <c r="B69" s="170">
        <v>43605.645833333336</v>
      </c>
      <c r="C69" s="169">
        <v>1318.1</v>
      </c>
      <c r="D69" s="247">
        <f t="shared" ref="D69:D132" si="4">(C69-C70)/C70</f>
        <v>-0.64873615904275872</v>
      </c>
      <c r="E69" s="248">
        <v>3.6160679191887431E-2</v>
      </c>
    </row>
    <row r="70" spans="2:5" ht="15" thickBot="1" x14ac:dyDescent="0.35">
      <c r="B70" s="170">
        <v>45615.645833333336</v>
      </c>
      <c r="C70" s="169">
        <v>3752.45</v>
      </c>
      <c r="D70" s="247">
        <f t="shared" si="4"/>
        <v>2.0402673688474779</v>
      </c>
      <c r="E70" s="248">
        <v>3.5758646388252428E-2</v>
      </c>
    </row>
    <row r="71" spans="2:5" ht="15" thickBot="1" x14ac:dyDescent="0.35">
      <c r="B71" s="170">
        <v>43392.645833333336</v>
      </c>
      <c r="C71" s="169">
        <v>1234.25</v>
      </c>
      <c r="D71" s="247">
        <f t="shared" si="4"/>
        <v>-0.44883559961595998</v>
      </c>
      <c r="E71" s="248">
        <v>3.5618392347709388E-2</v>
      </c>
    </row>
    <row r="72" spans="2:5" ht="15" thickBot="1" x14ac:dyDescent="0.35">
      <c r="B72" s="170">
        <v>44085.645833333336</v>
      </c>
      <c r="C72" s="169">
        <v>2239.35</v>
      </c>
      <c r="D72" s="247">
        <f t="shared" si="4"/>
        <v>0.82231354518452215</v>
      </c>
      <c r="E72" s="248">
        <v>3.5441808850048592E-2</v>
      </c>
    </row>
    <row r="73" spans="2:5" ht="15" thickBot="1" x14ac:dyDescent="0.35">
      <c r="B73" s="170">
        <v>43115.645833333336</v>
      </c>
      <c r="C73" s="169">
        <v>1228.8499999999999</v>
      </c>
      <c r="D73" s="247">
        <f t="shared" si="4"/>
        <v>-0.43754577077993417</v>
      </c>
      <c r="E73" s="248">
        <v>3.5256950294860916E-2</v>
      </c>
    </row>
    <row r="74" spans="2:5" ht="15" thickBot="1" x14ac:dyDescent="0.35">
      <c r="B74" s="170">
        <v>44105.645833333336</v>
      </c>
      <c r="C74" s="169">
        <v>2184.8000000000002</v>
      </c>
      <c r="D74" s="247">
        <f t="shared" si="4"/>
        <v>0.45473915504211493</v>
      </c>
      <c r="E74" s="248">
        <v>3.5229453434101908E-2</v>
      </c>
    </row>
    <row r="75" spans="2:5" ht="15" thickBot="1" x14ac:dyDescent="0.35">
      <c r="B75" s="170">
        <v>43364.645833333336</v>
      </c>
      <c r="C75" s="169">
        <v>1501.85</v>
      </c>
      <c r="D75" s="247">
        <f t="shared" si="4"/>
        <v>7.5862315985529463E-2</v>
      </c>
      <c r="E75" s="248">
        <v>3.5223160434258077E-2</v>
      </c>
    </row>
    <row r="76" spans="2:5" ht="15" thickBot="1" x14ac:dyDescent="0.35">
      <c r="B76" s="170">
        <v>43371.645833333336</v>
      </c>
      <c r="C76" s="169">
        <v>1395.95</v>
      </c>
      <c r="D76" s="247">
        <f t="shared" si="4"/>
        <v>-0.65624615233076411</v>
      </c>
      <c r="E76" s="248">
        <v>3.4995366079703466E-2</v>
      </c>
    </row>
    <row r="77" spans="2:5" ht="15" thickBot="1" x14ac:dyDescent="0.35">
      <c r="B77" s="170">
        <v>44929.645833333336</v>
      </c>
      <c r="C77" s="169">
        <v>4060.9</v>
      </c>
      <c r="D77" s="247">
        <f t="shared" si="4"/>
        <v>-3.3096026095859321E-2</v>
      </c>
      <c r="E77" s="248">
        <v>3.4835125630701867E-2</v>
      </c>
    </row>
    <row r="78" spans="2:5" ht="15" thickBot="1" x14ac:dyDescent="0.35">
      <c r="B78" s="170">
        <v>45777.645833333336</v>
      </c>
      <c r="C78" s="168">
        <v>4199.8999999999996</v>
      </c>
      <c r="D78" s="247">
        <f t="shared" si="4"/>
        <v>0.10123761078189718</v>
      </c>
      <c r="E78" s="248">
        <v>3.4662002364997987E-2</v>
      </c>
    </row>
    <row r="79" spans="2:5" ht="15" thickBot="1" x14ac:dyDescent="0.35">
      <c r="B79" s="170">
        <v>45666.645833333336</v>
      </c>
      <c r="C79" s="169">
        <v>3813.8</v>
      </c>
      <c r="D79" s="247">
        <f t="shared" si="4"/>
        <v>2.2477220471770418</v>
      </c>
      <c r="E79" s="248">
        <v>3.460155985079693E-2</v>
      </c>
    </row>
    <row r="80" spans="2:5" ht="15" thickBot="1" x14ac:dyDescent="0.35">
      <c r="B80" s="170">
        <v>43132.645833333336</v>
      </c>
      <c r="C80" s="169">
        <v>1174.3</v>
      </c>
      <c r="D80" s="247">
        <f t="shared" si="4"/>
        <v>-0.75301553248993069</v>
      </c>
      <c r="E80" s="248">
        <v>3.4534402255307947E-2</v>
      </c>
    </row>
    <row r="81" spans="2:5" ht="15" thickBot="1" x14ac:dyDescent="0.35">
      <c r="B81" s="170">
        <v>44488.645833333336</v>
      </c>
      <c r="C81" s="169">
        <v>4754.55</v>
      </c>
      <c r="D81" s="247">
        <f t="shared" si="4"/>
        <v>1.2636941462137266</v>
      </c>
      <c r="E81" s="248">
        <v>3.4407362283526359E-2</v>
      </c>
    </row>
    <row r="82" spans="2:5" ht="15" thickBot="1" x14ac:dyDescent="0.35">
      <c r="B82" s="170">
        <v>44035.645833333336</v>
      </c>
      <c r="C82" s="169">
        <v>2100.35</v>
      </c>
      <c r="D82" s="247">
        <f t="shared" si="4"/>
        <v>0.37972147408526569</v>
      </c>
      <c r="E82" s="248">
        <v>3.3942108890420306E-2</v>
      </c>
    </row>
    <row r="83" spans="2:5" ht="15" thickBot="1" x14ac:dyDescent="0.35">
      <c r="B83" s="170">
        <v>43565.645833333336</v>
      </c>
      <c r="C83" s="169">
        <v>1522.3</v>
      </c>
      <c r="D83" s="247">
        <f t="shared" si="4"/>
        <v>-0.60343861934223375</v>
      </c>
      <c r="E83" s="248">
        <v>3.3749830232242324E-2</v>
      </c>
    </row>
    <row r="84" spans="2:5" ht="15" thickBot="1" x14ac:dyDescent="0.35">
      <c r="B84" s="170">
        <v>45121.645833333336</v>
      </c>
      <c r="C84" s="169">
        <v>3838.75</v>
      </c>
      <c r="D84" s="247">
        <f t="shared" si="4"/>
        <v>-8.7489303033184404E-2</v>
      </c>
      <c r="E84" s="248">
        <v>3.3714370346433951E-2</v>
      </c>
    </row>
    <row r="85" spans="2:5" ht="15" thickBot="1" x14ac:dyDescent="0.35">
      <c r="B85" s="170">
        <v>45796.645833333336</v>
      </c>
      <c r="C85" s="168">
        <v>4206.8</v>
      </c>
      <c r="D85" s="247">
        <f t="shared" si="4"/>
        <v>-5.3577655541682055E-2</v>
      </c>
      <c r="E85" s="248">
        <v>3.3230995947439564E-2</v>
      </c>
    </row>
    <row r="86" spans="2:5" ht="15" thickBot="1" x14ac:dyDescent="0.35">
      <c r="B86" s="170">
        <v>45442.645833333336</v>
      </c>
      <c r="C86" s="169">
        <v>4444.95</v>
      </c>
      <c r="D86" s="247">
        <f t="shared" si="4"/>
        <v>-5.1136727505603628E-2</v>
      </c>
      <c r="E86" s="248">
        <v>3.3192705972595146E-2</v>
      </c>
    </row>
    <row r="87" spans="2:5" ht="15" thickBot="1" x14ac:dyDescent="0.35">
      <c r="B87" s="170">
        <v>45436.645833333336</v>
      </c>
      <c r="C87" s="169">
        <v>4684.5</v>
      </c>
      <c r="D87" s="247">
        <f t="shared" si="4"/>
        <v>-7.3815949464693567E-2</v>
      </c>
      <c r="E87" s="248">
        <v>3.2430824159476263E-2</v>
      </c>
    </row>
    <row r="88" spans="2:5" ht="15" thickBot="1" x14ac:dyDescent="0.35">
      <c r="B88" s="170">
        <v>45526.645833333336</v>
      </c>
      <c r="C88" s="169">
        <v>5057.8500000000004</v>
      </c>
      <c r="D88" s="247">
        <f t="shared" si="4"/>
        <v>0.63726854849151904</v>
      </c>
      <c r="E88" s="248">
        <v>3.1898398449454322E-2</v>
      </c>
    </row>
    <row r="89" spans="2:5" ht="15" thickBot="1" x14ac:dyDescent="0.35">
      <c r="B89" s="170">
        <v>44252.645833333336</v>
      </c>
      <c r="C89" s="169">
        <v>3089.2</v>
      </c>
      <c r="D89" s="247">
        <f t="shared" si="4"/>
        <v>-0.20086918281294464</v>
      </c>
      <c r="E89" s="248">
        <v>3.1728007481130187E-2</v>
      </c>
    </row>
    <row r="90" spans="2:5" ht="15" thickBot="1" x14ac:dyDescent="0.35">
      <c r="B90" s="170">
        <v>45693.645833333336</v>
      </c>
      <c r="C90" s="169">
        <v>3865.7</v>
      </c>
      <c r="D90" s="247">
        <f t="shared" si="4"/>
        <v>-0.11782291191236882</v>
      </c>
      <c r="E90" s="248">
        <v>3.1279595566167349E-2</v>
      </c>
    </row>
    <row r="91" spans="2:5" ht="15" thickBot="1" x14ac:dyDescent="0.35">
      <c r="B91" s="170">
        <v>44792.645833333336</v>
      </c>
      <c r="C91" s="169">
        <v>4382</v>
      </c>
      <c r="D91" s="247">
        <f t="shared" si="4"/>
        <v>0.24478027440843103</v>
      </c>
      <c r="E91" s="248">
        <v>3.0876904075751339E-2</v>
      </c>
    </row>
    <row r="92" spans="2:5" ht="15" thickBot="1" x14ac:dyDescent="0.35">
      <c r="B92" s="170">
        <v>44690.645833333336</v>
      </c>
      <c r="C92" s="169">
        <v>3520.3</v>
      </c>
      <c r="D92" s="247">
        <f t="shared" si="4"/>
        <v>1.665985080843652</v>
      </c>
      <c r="E92" s="248">
        <v>3.0849646407707394E-2</v>
      </c>
    </row>
    <row r="93" spans="2:5" ht="15" thickBot="1" x14ac:dyDescent="0.35">
      <c r="B93" s="170">
        <v>43181.645833333336</v>
      </c>
      <c r="C93" s="169">
        <v>1320.45</v>
      </c>
      <c r="D93" s="247">
        <f t="shared" si="4"/>
        <v>-0.46380931110795282</v>
      </c>
      <c r="E93" s="248">
        <v>3.071579111700893E-2</v>
      </c>
    </row>
    <row r="94" spans="2:5" ht="15" thickBot="1" x14ac:dyDescent="0.35">
      <c r="B94" s="170">
        <v>43881.645833333336</v>
      </c>
      <c r="C94" s="169">
        <v>2462.65</v>
      </c>
      <c r="D94" s="247">
        <f t="shared" si="4"/>
        <v>-0.29783017791970795</v>
      </c>
      <c r="E94" s="248">
        <v>3.0526844373770883E-2</v>
      </c>
    </row>
    <row r="95" spans="2:5" ht="15" thickBot="1" x14ac:dyDescent="0.35">
      <c r="B95" s="170">
        <v>45715.645833333336</v>
      </c>
      <c r="C95" s="169">
        <v>3507.2</v>
      </c>
      <c r="D95" s="247">
        <f t="shared" si="4"/>
        <v>0.51211520220746731</v>
      </c>
      <c r="E95" s="248">
        <v>3.0332407937836925E-2</v>
      </c>
    </row>
    <row r="96" spans="2:5" ht="15" thickBot="1" x14ac:dyDescent="0.35">
      <c r="B96" s="170">
        <v>44071.645833333336</v>
      </c>
      <c r="C96" s="169">
        <v>2319.4</v>
      </c>
      <c r="D96" s="247">
        <f t="shared" si="4"/>
        <v>0.59600894546705663</v>
      </c>
      <c r="E96" s="248">
        <v>3.0272071071626914E-2</v>
      </c>
    </row>
    <row r="97" spans="2:5" ht="15" thickBot="1" x14ac:dyDescent="0.35">
      <c r="B97" s="170">
        <v>43570.645833333336</v>
      </c>
      <c r="C97" s="169">
        <v>1453.25</v>
      </c>
      <c r="D97" s="247">
        <f t="shared" si="4"/>
        <v>-0.69708497045366902</v>
      </c>
      <c r="E97" s="248">
        <v>3.019884450430646E-2</v>
      </c>
    </row>
    <row r="98" spans="2:5" ht="15" thickBot="1" x14ac:dyDescent="0.35">
      <c r="B98" s="170">
        <v>45406.645833333336</v>
      </c>
      <c r="C98" s="169">
        <v>4797.55</v>
      </c>
      <c r="D98" s="247">
        <f t="shared" si="4"/>
        <v>2.6213390700483092</v>
      </c>
      <c r="E98" s="248">
        <v>3.015825299005815E-2</v>
      </c>
    </row>
    <row r="99" spans="2:5" ht="15" thickBot="1" x14ac:dyDescent="0.35">
      <c r="B99" s="170">
        <v>43577.645833333336</v>
      </c>
      <c r="C99" s="169">
        <v>1324.8</v>
      </c>
      <c r="D99" s="247">
        <f t="shared" si="4"/>
        <v>-0.72951120911429623</v>
      </c>
      <c r="E99" s="248">
        <v>3.0131021344426735E-2</v>
      </c>
    </row>
    <row r="100" spans="2:5" ht="15" thickBot="1" x14ac:dyDescent="0.35">
      <c r="B100" s="170">
        <v>44487.645833333336</v>
      </c>
      <c r="C100" s="169">
        <v>4897.8</v>
      </c>
      <c r="D100" s="247">
        <f t="shared" si="4"/>
        <v>2.1988766246489457</v>
      </c>
      <c r="E100" s="248">
        <v>3.0129034293466257E-2</v>
      </c>
    </row>
    <row r="101" spans="2:5" ht="15" thickBot="1" x14ac:dyDescent="0.35">
      <c r="B101" s="170">
        <v>43252.645833333336</v>
      </c>
      <c r="C101" s="169">
        <v>1531.1</v>
      </c>
      <c r="D101" s="247">
        <f t="shared" si="4"/>
        <v>-7.4836097767304224E-2</v>
      </c>
      <c r="E101" s="248">
        <v>3.0072658772873934E-2</v>
      </c>
    </row>
    <row r="102" spans="2:5" ht="15" thickBot="1" x14ac:dyDescent="0.35">
      <c r="B102" s="170">
        <v>43462.645833333336</v>
      </c>
      <c r="C102" s="169">
        <v>1654.95</v>
      </c>
      <c r="D102" s="247">
        <f t="shared" si="4"/>
        <v>-0.5845331191082882</v>
      </c>
      <c r="E102" s="248">
        <v>3.0062552516104908E-2</v>
      </c>
    </row>
    <row r="103" spans="2:5" ht="15" thickBot="1" x14ac:dyDescent="0.35">
      <c r="B103" s="170">
        <v>44683.645833333336</v>
      </c>
      <c r="C103" s="169">
        <v>3983.35</v>
      </c>
      <c r="D103" s="247">
        <f t="shared" si="4"/>
        <v>0.61252909624531926</v>
      </c>
      <c r="E103" s="248">
        <v>3.0047968141913246E-2</v>
      </c>
    </row>
    <row r="104" spans="2:5" ht="15" thickBot="1" x14ac:dyDescent="0.35">
      <c r="B104" s="170">
        <v>43972.645833333336</v>
      </c>
      <c r="C104" s="169">
        <v>2470.25</v>
      </c>
      <c r="D104" s="247">
        <f t="shared" si="4"/>
        <v>0.33994195980580949</v>
      </c>
      <c r="E104" s="248">
        <v>3.0000416962014682E-2</v>
      </c>
    </row>
    <row r="105" spans="2:5" ht="15" thickBot="1" x14ac:dyDescent="0.35">
      <c r="B105" s="170">
        <v>43833.645833333336</v>
      </c>
      <c r="C105" s="169">
        <v>1843.55</v>
      </c>
      <c r="D105" s="247">
        <f t="shared" si="4"/>
        <v>-0.43898542345029062</v>
      </c>
      <c r="E105" s="248">
        <v>2.9973741549807174E-2</v>
      </c>
    </row>
    <row r="106" spans="2:5" ht="15" thickBot="1" x14ac:dyDescent="0.35">
      <c r="B106" s="170">
        <v>44260.645833333336</v>
      </c>
      <c r="C106" s="169">
        <v>3286.1</v>
      </c>
      <c r="D106" s="247">
        <f t="shared" si="4"/>
        <v>-0.20050119215609943</v>
      </c>
      <c r="E106" s="248">
        <v>2.9754163859423661E-2</v>
      </c>
    </row>
    <row r="107" spans="2:5" ht="15" thickBot="1" x14ac:dyDescent="0.35">
      <c r="B107" s="170">
        <v>44624.645833333336</v>
      </c>
      <c r="C107" s="169">
        <v>4110.2</v>
      </c>
      <c r="D107" s="247">
        <f t="shared" si="4"/>
        <v>0.91792072046849094</v>
      </c>
      <c r="E107" s="248">
        <v>2.9699497701451711E-2</v>
      </c>
    </row>
    <row r="108" spans="2:5" ht="15" thickBot="1" x14ac:dyDescent="0.35">
      <c r="B108" s="170">
        <v>44124.645833333336</v>
      </c>
      <c r="C108" s="169">
        <v>2143.0500000000002</v>
      </c>
      <c r="D108" s="247">
        <f t="shared" si="4"/>
        <v>-0.52973382194816876</v>
      </c>
      <c r="E108" s="248">
        <v>2.9644221298676471E-2</v>
      </c>
    </row>
    <row r="109" spans="2:5" ht="15" thickBot="1" x14ac:dyDescent="0.35">
      <c r="B109" s="170">
        <v>44810.645833333336</v>
      </c>
      <c r="C109" s="169">
        <v>4557.1000000000004</v>
      </c>
      <c r="D109" s="247">
        <f t="shared" si="4"/>
        <v>0.52197581991850928</v>
      </c>
      <c r="E109" s="248">
        <v>2.9550640489799648E-2</v>
      </c>
    </row>
    <row r="110" spans="2:5" ht="15" thickBot="1" x14ac:dyDescent="0.35">
      <c r="B110" s="170">
        <v>44253.645833333336</v>
      </c>
      <c r="C110" s="169">
        <v>2994.2</v>
      </c>
      <c r="D110" s="247">
        <f t="shared" si="4"/>
        <v>0.24325783212572921</v>
      </c>
      <c r="E110" s="248">
        <v>2.9483057986212591E-2</v>
      </c>
    </row>
    <row r="111" spans="2:5" ht="15" thickBot="1" x14ac:dyDescent="0.35">
      <c r="B111" s="170">
        <v>43875.645833333336</v>
      </c>
      <c r="C111" s="169">
        <v>2408.35</v>
      </c>
      <c r="D111" s="247">
        <f t="shared" si="4"/>
        <v>-0.36902984097042107</v>
      </c>
      <c r="E111" s="248">
        <v>2.9451366774241851E-2</v>
      </c>
    </row>
    <row r="112" spans="2:5" ht="15" thickBot="1" x14ac:dyDescent="0.35">
      <c r="B112" s="170">
        <v>45636.645833333336</v>
      </c>
      <c r="C112" s="169">
        <v>3816.9</v>
      </c>
      <c r="D112" s="247">
        <f t="shared" si="4"/>
        <v>-8.1990475732358473E-2</v>
      </c>
      <c r="E112" s="248">
        <v>2.9285656500283124E-2</v>
      </c>
    </row>
    <row r="113" spans="2:5" ht="15" thickBot="1" x14ac:dyDescent="0.35">
      <c r="B113" s="170">
        <v>45750.645833333336</v>
      </c>
      <c r="C113" s="168">
        <v>4157.8</v>
      </c>
      <c r="D113" s="247">
        <f t="shared" si="4"/>
        <v>0.69050620044724542</v>
      </c>
      <c r="E113" s="248">
        <v>2.9183890690363645E-2</v>
      </c>
    </row>
    <row r="114" spans="2:5" ht="15" thickBot="1" x14ac:dyDescent="0.35">
      <c r="B114" s="170">
        <v>43990.645833333336</v>
      </c>
      <c r="C114" s="169">
        <v>2459.5</v>
      </c>
      <c r="D114" s="247">
        <f t="shared" si="4"/>
        <v>-0.36703811411071363</v>
      </c>
      <c r="E114" s="248">
        <v>2.9036441989874939E-2</v>
      </c>
    </row>
    <row r="115" spans="2:5" ht="15" thickBot="1" x14ac:dyDescent="0.35">
      <c r="B115" s="170">
        <v>45607.645833333336</v>
      </c>
      <c r="C115" s="169">
        <v>3885.7</v>
      </c>
      <c r="D115" s="247">
        <f t="shared" si="4"/>
        <v>-0.23754488550517047</v>
      </c>
      <c r="E115" s="248">
        <v>2.8779454593592751E-2</v>
      </c>
    </row>
    <row r="116" spans="2:5" ht="15" thickBot="1" x14ac:dyDescent="0.35">
      <c r="B116" s="170">
        <v>45565.645833333336</v>
      </c>
      <c r="C116" s="169">
        <v>5096.3</v>
      </c>
      <c r="D116" s="247">
        <f t="shared" si="4"/>
        <v>9.9869430566196543E-2</v>
      </c>
      <c r="E116" s="248">
        <v>2.8651589007639713E-2</v>
      </c>
    </row>
    <row r="117" spans="2:5" ht="15" thickBot="1" x14ac:dyDescent="0.35">
      <c r="B117" s="170">
        <v>44571.645833333336</v>
      </c>
      <c r="C117" s="169">
        <v>4633.55</v>
      </c>
      <c r="D117" s="247">
        <f t="shared" si="4"/>
        <v>2.9952431759580331E-2</v>
      </c>
      <c r="E117" s="248">
        <v>2.8557792625807578E-2</v>
      </c>
    </row>
    <row r="118" spans="2:5" ht="15" thickBot="1" x14ac:dyDescent="0.35">
      <c r="B118" s="170">
        <v>45771.645833333336</v>
      </c>
      <c r="C118" s="168">
        <v>4498.8</v>
      </c>
      <c r="D118" s="247">
        <f t="shared" si="4"/>
        <v>1.4481266835360378</v>
      </c>
      <c r="E118" s="248">
        <v>2.8250137136588124E-2</v>
      </c>
    </row>
    <row r="119" spans="2:5" ht="15" thickBot="1" x14ac:dyDescent="0.35">
      <c r="B119" s="170">
        <v>43794.645833333336</v>
      </c>
      <c r="C119" s="169">
        <v>1837.65</v>
      </c>
      <c r="D119" s="247">
        <f t="shared" si="4"/>
        <v>-0.53115193264446992</v>
      </c>
      <c r="E119" s="248">
        <v>2.8228513876454815E-2</v>
      </c>
    </row>
    <row r="120" spans="2:5" ht="15" thickBot="1" x14ac:dyDescent="0.35">
      <c r="B120" s="170">
        <v>45098.645833333336</v>
      </c>
      <c r="C120" s="169">
        <v>3919.5</v>
      </c>
      <c r="D120" s="247">
        <f t="shared" si="4"/>
        <v>2.3576048314558617</v>
      </c>
      <c r="E120" s="248">
        <v>2.8159962226040398E-2</v>
      </c>
    </row>
    <row r="121" spans="2:5" ht="15" thickBot="1" x14ac:dyDescent="0.35">
      <c r="B121" s="170">
        <v>43117.645833333336</v>
      </c>
      <c r="C121" s="169">
        <v>1167.3499999999999</v>
      </c>
      <c r="D121" s="247">
        <f t="shared" si="4"/>
        <v>-0.7071999197361325</v>
      </c>
      <c r="E121" s="248">
        <v>2.8094588048791107E-2</v>
      </c>
    </row>
    <row r="122" spans="2:5" ht="15" thickBot="1" x14ac:dyDescent="0.35">
      <c r="B122" s="170">
        <v>44753.645833333336</v>
      </c>
      <c r="C122" s="169">
        <v>3986.85</v>
      </c>
      <c r="D122" s="247">
        <f t="shared" si="4"/>
        <v>0.34677228659257497</v>
      </c>
      <c r="E122" s="248">
        <v>2.7962561881188071E-2</v>
      </c>
    </row>
    <row r="123" spans="2:5" ht="15" thickBot="1" x14ac:dyDescent="0.35">
      <c r="B123" s="170">
        <v>44274.645833333336</v>
      </c>
      <c r="C123" s="169">
        <v>2960.3</v>
      </c>
      <c r="D123" s="247">
        <f t="shared" si="4"/>
        <v>0.48717691090402165</v>
      </c>
      <c r="E123" s="248">
        <v>2.7846255338356402E-2</v>
      </c>
    </row>
    <row r="124" spans="2:5" ht="15" thickBot="1" x14ac:dyDescent="0.35">
      <c r="B124" s="170">
        <v>43847.645833333336</v>
      </c>
      <c r="C124" s="169">
        <v>1990.55</v>
      </c>
      <c r="D124" s="247">
        <f t="shared" si="4"/>
        <v>-0.24228697588549902</v>
      </c>
      <c r="E124" s="248">
        <v>2.7831564815531902E-2</v>
      </c>
    </row>
    <row r="125" spans="2:5" ht="15" thickBot="1" x14ac:dyDescent="0.35">
      <c r="B125" s="170">
        <v>44181.645833333336</v>
      </c>
      <c r="C125" s="169">
        <v>2627.05</v>
      </c>
      <c r="D125" s="247">
        <f t="shared" si="4"/>
        <v>-6.8735709601375303E-2</v>
      </c>
      <c r="E125" s="248">
        <v>2.7777234404647796E-2</v>
      </c>
    </row>
    <row r="126" spans="2:5" ht="15" thickBot="1" x14ac:dyDescent="0.35">
      <c r="B126" s="170">
        <v>44211.645833333336</v>
      </c>
      <c r="C126" s="169">
        <v>2820.95</v>
      </c>
      <c r="D126" s="247">
        <f t="shared" si="4"/>
        <v>-0.30953837869590761</v>
      </c>
      <c r="E126" s="248">
        <v>2.7705927356187737E-2</v>
      </c>
    </row>
    <row r="127" spans="2:5" ht="15" thickBot="1" x14ac:dyDescent="0.35">
      <c r="B127" s="170">
        <v>45093.645833333336</v>
      </c>
      <c r="C127" s="169">
        <v>4085.6</v>
      </c>
      <c r="D127" s="247">
        <f t="shared" si="4"/>
        <v>0.98561430793157079</v>
      </c>
      <c r="E127" s="248">
        <v>2.7642930804638199E-2</v>
      </c>
    </row>
    <row r="128" spans="2:5" ht="15" thickBot="1" x14ac:dyDescent="0.35">
      <c r="B128" s="170">
        <v>44113.645833333336</v>
      </c>
      <c r="C128" s="169">
        <v>2057.6</v>
      </c>
      <c r="D128" s="247">
        <f t="shared" si="4"/>
        <v>-0.54492474759203358</v>
      </c>
      <c r="E128" s="248">
        <v>2.7464296414660944E-2</v>
      </c>
    </row>
    <row r="129" spans="2:5" ht="15" thickBot="1" x14ac:dyDescent="0.35">
      <c r="B129" s="170">
        <v>44491.645833333336</v>
      </c>
      <c r="C129" s="169">
        <v>4521.45</v>
      </c>
      <c r="D129" s="247">
        <f t="shared" si="4"/>
        <v>0.11915694112696615</v>
      </c>
      <c r="E129" s="248">
        <v>2.7462164250329373E-2</v>
      </c>
    </row>
    <row r="130" spans="2:5" ht="15" thickBot="1" x14ac:dyDescent="0.35">
      <c r="B130" s="170">
        <v>44767.645833333336</v>
      </c>
      <c r="C130" s="169">
        <v>4040.05</v>
      </c>
      <c r="D130" s="247">
        <f t="shared" si="4"/>
        <v>0.37714110408535445</v>
      </c>
      <c r="E130" s="248">
        <v>2.7375139863696493E-2</v>
      </c>
    </row>
    <row r="131" spans="2:5" ht="15" thickBot="1" x14ac:dyDescent="0.35">
      <c r="B131" s="170">
        <v>44278.645833333336</v>
      </c>
      <c r="C131" s="169">
        <v>2933.65</v>
      </c>
      <c r="D131" s="247">
        <f t="shared" si="4"/>
        <v>-0.25442531291695786</v>
      </c>
      <c r="E131" s="248">
        <v>2.7332259420086911E-2</v>
      </c>
    </row>
    <row r="132" spans="2:5" ht="15" thickBot="1" x14ac:dyDescent="0.35">
      <c r="B132" s="170">
        <v>45663.645833333336</v>
      </c>
      <c r="C132" s="169">
        <v>3934.75</v>
      </c>
      <c r="D132" s="247">
        <f t="shared" si="4"/>
        <v>0.63705768550685427</v>
      </c>
      <c r="E132" s="248">
        <v>2.726940448528831E-2</v>
      </c>
    </row>
    <row r="133" spans="2:5" ht="15" thickBot="1" x14ac:dyDescent="0.35">
      <c r="B133" s="170">
        <v>43998.645833333336</v>
      </c>
      <c r="C133" s="169">
        <v>2403.5500000000002</v>
      </c>
      <c r="D133" s="247">
        <f t="shared" ref="D133:D196" si="5">(C133-C134)/C134</f>
        <v>-0.42475408659024005</v>
      </c>
      <c r="E133" s="248">
        <v>2.6982567082550028E-2</v>
      </c>
    </row>
    <row r="134" spans="2:5" ht="15" thickBot="1" x14ac:dyDescent="0.35">
      <c r="B134" s="170">
        <v>44924.645833333336</v>
      </c>
      <c r="C134" s="169">
        <v>4178.3</v>
      </c>
      <c r="D134" s="247">
        <f t="shared" si="5"/>
        <v>1.6576980568011959</v>
      </c>
      <c r="E134" s="248">
        <v>2.6924731182795744E-2</v>
      </c>
    </row>
    <row r="135" spans="2:5" ht="15" thickBot="1" x14ac:dyDescent="0.35">
      <c r="B135" s="170">
        <v>43251.645833333336</v>
      </c>
      <c r="C135" s="169">
        <v>1572.15</v>
      </c>
      <c r="D135" s="247">
        <f t="shared" si="5"/>
        <v>9.2225927469779062E-2</v>
      </c>
      <c r="E135" s="248">
        <v>2.681078962837188E-2</v>
      </c>
    </row>
    <row r="136" spans="2:5" ht="15" thickBot="1" x14ac:dyDescent="0.35">
      <c r="B136" s="170">
        <v>43664.645833333336</v>
      </c>
      <c r="C136" s="169">
        <v>1439.4</v>
      </c>
      <c r="D136" s="247">
        <f t="shared" si="5"/>
        <v>-0.39542600331814259</v>
      </c>
      <c r="E136" s="248">
        <v>2.6639563496309075E-2</v>
      </c>
    </row>
    <row r="137" spans="2:5" ht="15" thickBot="1" x14ac:dyDescent="0.35">
      <c r="B137" s="170">
        <v>44070.645833333336</v>
      </c>
      <c r="C137" s="169">
        <v>2380.85</v>
      </c>
      <c r="D137" s="247">
        <f t="shared" si="5"/>
        <v>-0.1777555214035331</v>
      </c>
      <c r="E137" s="248">
        <v>2.6493920841596887E-2</v>
      </c>
    </row>
    <row r="138" spans="2:5" ht="15" thickBot="1" x14ac:dyDescent="0.35">
      <c r="B138" s="170">
        <v>44210.645833333336</v>
      </c>
      <c r="C138" s="169">
        <v>2895.55</v>
      </c>
      <c r="D138" s="247">
        <f t="shared" si="5"/>
        <v>-0.17226248159741575</v>
      </c>
      <c r="E138" s="248">
        <v>2.6444991935341063E-2</v>
      </c>
    </row>
    <row r="139" spans="2:5" ht="15" thickBot="1" x14ac:dyDescent="0.35">
      <c r="B139" s="170">
        <v>45645.645833333336</v>
      </c>
      <c r="C139" s="169">
        <v>3498.15</v>
      </c>
      <c r="D139" s="247">
        <f t="shared" si="5"/>
        <v>0.82195312500000006</v>
      </c>
      <c r="E139" s="248">
        <v>2.6362116010914503E-2</v>
      </c>
    </row>
    <row r="140" spans="2:5" ht="15" thickBot="1" x14ac:dyDescent="0.35">
      <c r="B140" s="170">
        <v>43783.645833333336</v>
      </c>
      <c r="C140" s="169">
        <v>1920</v>
      </c>
      <c r="D140" s="247">
        <f t="shared" si="5"/>
        <v>-0.55452436194895594</v>
      </c>
      <c r="E140" s="248">
        <v>2.6271480877675973E-2</v>
      </c>
    </row>
    <row r="141" spans="2:5" ht="15" thickBot="1" x14ac:dyDescent="0.35">
      <c r="B141" s="170">
        <v>45776.645833333336</v>
      </c>
      <c r="C141" s="168">
        <v>4310</v>
      </c>
      <c r="D141" s="247">
        <f t="shared" si="5"/>
        <v>0.44091737291677108</v>
      </c>
      <c r="E141" s="248">
        <v>2.6214909878806727E-2</v>
      </c>
    </row>
    <row r="142" spans="2:5" ht="15" thickBot="1" x14ac:dyDescent="0.35">
      <c r="B142" s="170">
        <v>44201.645833333336</v>
      </c>
      <c r="C142" s="169">
        <v>2991.15</v>
      </c>
      <c r="D142" s="247">
        <f t="shared" si="5"/>
        <v>4.9250197316495693E-2</v>
      </c>
      <c r="E142" s="248">
        <v>2.6141100190397872E-2</v>
      </c>
    </row>
    <row r="143" spans="2:5" ht="15" thickBot="1" x14ac:dyDescent="0.35">
      <c r="B143" s="170">
        <v>44305.645833333336</v>
      </c>
      <c r="C143" s="169">
        <v>2850.75</v>
      </c>
      <c r="D143" s="247">
        <f t="shared" si="5"/>
        <v>0.87100055787090203</v>
      </c>
      <c r="E143" s="248">
        <v>2.6095563754161794E-2</v>
      </c>
    </row>
    <row r="144" spans="2:5" ht="15" thickBot="1" x14ac:dyDescent="0.35">
      <c r="B144" s="170">
        <v>43269.645833333336</v>
      </c>
      <c r="C144" s="169">
        <v>1523.65</v>
      </c>
      <c r="D144" s="247">
        <f t="shared" si="5"/>
        <v>0.13017839261209804</v>
      </c>
      <c r="E144" s="248">
        <v>2.5992390828591724E-2</v>
      </c>
    </row>
    <row r="145" spans="2:5" ht="15" thickBot="1" x14ac:dyDescent="0.35">
      <c r="B145" s="170">
        <v>43159.645833333336</v>
      </c>
      <c r="C145" s="169">
        <v>1348.15</v>
      </c>
      <c r="D145" s="247">
        <f t="shared" si="5"/>
        <v>-0.67662508994962822</v>
      </c>
      <c r="E145" s="248">
        <v>2.5794179189651961E-2</v>
      </c>
    </row>
    <row r="146" spans="2:5" ht="15" thickBot="1" x14ac:dyDescent="0.35">
      <c r="B146" s="170">
        <v>45848.645833333336</v>
      </c>
      <c r="C146" s="168">
        <v>4169</v>
      </c>
      <c r="D146" s="247">
        <f t="shared" si="5"/>
        <v>0.11006084166522437</v>
      </c>
      <c r="E146" s="248">
        <v>2.5786132572215979E-2</v>
      </c>
    </row>
    <row r="147" spans="2:5" ht="15" thickBot="1" x14ac:dyDescent="0.35">
      <c r="B147" s="170">
        <v>44722.645833333336</v>
      </c>
      <c r="C147" s="169">
        <v>3755.65</v>
      </c>
      <c r="D147" s="247">
        <f t="shared" si="5"/>
        <v>0.9822394637531997</v>
      </c>
      <c r="E147" s="248">
        <v>2.5685492680795331E-2</v>
      </c>
    </row>
    <row r="148" spans="2:5" ht="15" thickBot="1" x14ac:dyDescent="0.35">
      <c r="B148" s="170">
        <v>43742.645833333336</v>
      </c>
      <c r="C148" s="169">
        <v>1894.65</v>
      </c>
      <c r="D148" s="247">
        <f t="shared" si="5"/>
        <v>0.42390650834210147</v>
      </c>
      <c r="E148" s="248">
        <v>2.5632003464515853E-2</v>
      </c>
    </row>
    <row r="149" spans="2:5" ht="15" thickBot="1" x14ac:dyDescent="0.35">
      <c r="B149" s="170">
        <v>43630.645833333336</v>
      </c>
      <c r="C149" s="169">
        <v>1330.6</v>
      </c>
      <c r="D149" s="247">
        <f t="shared" si="5"/>
        <v>-0.66507249295207416</v>
      </c>
      <c r="E149" s="248">
        <v>2.5510597302504746E-2</v>
      </c>
    </row>
    <row r="150" spans="2:5" ht="15" thickBot="1" x14ac:dyDescent="0.35">
      <c r="B150" s="170">
        <v>44712.645833333336</v>
      </c>
      <c r="C150" s="169">
        <v>3972.8</v>
      </c>
      <c r="D150" s="247">
        <f t="shared" si="5"/>
        <v>1.9244019138755981</v>
      </c>
      <c r="E150" s="248">
        <v>2.5490120158490469E-2</v>
      </c>
    </row>
    <row r="151" spans="2:5" ht="15" thickBot="1" x14ac:dyDescent="0.35">
      <c r="B151" s="170">
        <v>43573.645833333336</v>
      </c>
      <c r="C151" s="169">
        <v>1358.5</v>
      </c>
      <c r="D151" s="247">
        <f t="shared" si="5"/>
        <v>-0.66766152114881228</v>
      </c>
      <c r="E151" s="248">
        <v>2.5437801932367186E-2</v>
      </c>
    </row>
    <row r="152" spans="2:5" ht="15" thickBot="1" x14ac:dyDescent="0.35">
      <c r="B152" s="170">
        <v>45582.645833333336</v>
      </c>
      <c r="C152" s="169">
        <v>4087.7</v>
      </c>
      <c r="D152" s="247">
        <f t="shared" si="5"/>
        <v>1.2957513127966076</v>
      </c>
      <c r="E152" s="248">
        <v>2.5334236335816593E-2</v>
      </c>
    </row>
    <row r="153" spans="2:5" ht="15" thickBot="1" x14ac:dyDescent="0.35">
      <c r="B153" s="170">
        <v>43808.645833333336</v>
      </c>
      <c r="C153" s="169">
        <v>1780.55</v>
      </c>
      <c r="D153" s="247">
        <f t="shared" si="5"/>
        <v>-0.41325051077572</v>
      </c>
      <c r="E153" s="248">
        <v>2.5308073246573793E-2</v>
      </c>
    </row>
    <row r="154" spans="2:5" ht="15" thickBot="1" x14ac:dyDescent="0.35">
      <c r="B154" s="170">
        <v>44273.645833333336</v>
      </c>
      <c r="C154" s="169">
        <v>3034.6</v>
      </c>
      <c r="D154" s="247">
        <f t="shared" si="5"/>
        <v>0.26986651044064114</v>
      </c>
      <c r="E154" s="248">
        <v>2.5098807553288423E-2</v>
      </c>
    </row>
    <row r="155" spans="2:5" ht="15" thickBot="1" x14ac:dyDescent="0.35">
      <c r="B155" s="170">
        <v>43885.645833333336</v>
      </c>
      <c r="C155" s="169">
        <v>2389.6999999999998</v>
      </c>
      <c r="D155" s="247">
        <f t="shared" si="5"/>
        <v>-0.20295510639717165</v>
      </c>
      <c r="E155" s="248">
        <v>2.4852578535434683E-2</v>
      </c>
    </row>
    <row r="156" spans="2:5" ht="15" thickBot="1" x14ac:dyDescent="0.35">
      <c r="B156" s="170">
        <v>44208.645833333336</v>
      </c>
      <c r="C156" s="169">
        <v>2998.2</v>
      </c>
      <c r="D156" s="247">
        <f t="shared" si="5"/>
        <v>0.39512807984923548</v>
      </c>
      <c r="E156" s="248">
        <v>2.4640306209630536E-2</v>
      </c>
    </row>
    <row r="157" spans="2:5" ht="15" thickBot="1" x14ac:dyDescent="0.35">
      <c r="B157" s="170">
        <v>44092.645833333336</v>
      </c>
      <c r="C157" s="169">
        <v>2149.0500000000002</v>
      </c>
      <c r="D157" s="247">
        <f t="shared" si="5"/>
        <v>0.14095723500836199</v>
      </c>
      <c r="E157" s="248">
        <v>2.4601301580490773E-2</v>
      </c>
    </row>
    <row r="158" spans="2:5" ht="15" thickBot="1" x14ac:dyDescent="0.35">
      <c r="B158" s="170">
        <v>43829.645833333336</v>
      </c>
      <c r="C158" s="169">
        <v>1883.55</v>
      </c>
      <c r="D158" s="247">
        <f t="shared" si="5"/>
        <v>-0.54929290995668922</v>
      </c>
      <c r="E158" s="248">
        <v>2.4587265754616939E-2</v>
      </c>
    </row>
    <row r="159" spans="2:5" ht="15" thickBot="1" x14ac:dyDescent="0.35">
      <c r="B159" s="170">
        <v>45817.645833333336</v>
      </c>
      <c r="C159" s="168">
        <v>4179.1000000000004</v>
      </c>
      <c r="D159" s="247">
        <f t="shared" si="5"/>
        <v>0.43124764546731059</v>
      </c>
      <c r="E159" s="248">
        <v>2.4289215686274599E-2</v>
      </c>
    </row>
    <row r="160" spans="2:5" ht="15" thickBot="1" x14ac:dyDescent="0.35">
      <c r="B160" s="170">
        <v>44302.645833333336</v>
      </c>
      <c r="C160" s="169">
        <v>2919.9</v>
      </c>
      <c r="D160" s="247">
        <f t="shared" si="5"/>
        <v>0.97484021507558094</v>
      </c>
      <c r="E160" s="248">
        <v>2.425677453301766E-2</v>
      </c>
    </row>
    <row r="161" spans="2:5" ht="15" thickBot="1" x14ac:dyDescent="0.35">
      <c r="B161" s="170">
        <v>43558.645833333336</v>
      </c>
      <c r="C161" s="169">
        <v>1478.55</v>
      </c>
      <c r="D161" s="247">
        <f t="shared" si="5"/>
        <v>-0.63845655389957323</v>
      </c>
      <c r="E161" s="248">
        <v>2.4210307564422311E-2</v>
      </c>
    </row>
    <row r="162" spans="2:5" ht="15" thickBot="1" x14ac:dyDescent="0.35">
      <c r="B162" s="170">
        <v>44915.645833333336</v>
      </c>
      <c r="C162" s="169">
        <v>4089.55</v>
      </c>
      <c r="D162" s="247">
        <f t="shared" si="5"/>
        <v>0.68145468001562404</v>
      </c>
      <c r="E162" s="248">
        <v>2.4128518481418504E-2</v>
      </c>
    </row>
    <row r="163" spans="2:5" ht="15" thickBot="1" x14ac:dyDescent="0.35">
      <c r="B163" s="170">
        <v>44152.645833333336</v>
      </c>
      <c r="C163" s="169">
        <v>2432.15</v>
      </c>
      <c r="D163" s="247">
        <f t="shared" si="5"/>
        <v>0.87738324971053649</v>
      </c>
      <c r="E163" s="248">
        <v>2.4041599124228923E-2</v>
      </c>
    </row>
    <row r="164" spans="2:5" ht="15" thickBot="1" x14ac:dyDescent="0.35">
      <c r="B164" s="170">
        <v>43585.645833333336</v>
      </c>
      <c r="C164" s="169">
        <v>1295.5</v>
      </c>
      <c r="D164" s="247">
        <f t="shared" si="5"/>
        <v>-0.75971213680920713</v>
      </c>
      <c r="E164" s="248">
        <v>2.3948782801138123E-2</v>
      </c>
    </row>
    <row r="165" spans="2:5" ht="15" thickBot="1" x14ac:dyDescent="0.35">
      <c r="B165" s="170">
        <v>45559.645833333336</v>
      </c>
      <c r="C165" s="169">
        <v>5391.45</v>
      </c>
      <c r="D165" s="247">
        <f t="shared" si="5"/>
        <v>0.28589827678731139</v>
      </c>
      <c r="E165" s="248">
        <v>2.3919855664229384E-2</v>
      </c>
    </row>
    <row r="166" spans="2:5" ht="15" thickBot="1" x14ac:dyDescent="0.35">
      <c r="B166" s="170">
        <v>44637.645833333336</v>
      </c>
      <c r="C166" s="169">
        <v>4192.75</v>
      </c>
      <c r="D166" s="247">
        <f t="shared" si="5"/>
        <v>2.5859989736572015</v>
      </c>
      <c r="E166" s="248">
        <v>2.3820570423910965E-2</v>
      </c>
    </row>
    <row r="167" spans="2:5" ht="15" thickBot="1" x14ac:dyDescent="0.35">
      <c r="B167" s="170">
        <v>43123.645833333336</v>
      </c>
      <c r="C167" s="169">
        <v>1169.2</v>
      </c>
      <c r="D167" s="247">
        <f t="shared" si="5"/>
        <v>-0.71867856885060521</v>
      </c>
      <c r="E167" s="248">
        <v>2.3683404106290724E-2</v>
      </c>
    </row>
    <row r="168" spans="2:5" ht="15" thickBot="1" x14ac:dyDescent="0.35">
      <c r="B168" s="170">
        <v>45588.645833333336</v>
      </c>
      <c r="C168" s="169">
        <v>4156.1000000000004</v>
      </c>
      <c r="D168" s="247">
        <f t="shared" si="5"/>
        <v>2.0050251256281411</v>
      </c>
      <c r="E168" s="248">
        <v>2.3644737814339661E-2</v>
      </c>
    </row>
    <row r="169" spans="2:5" ht="15" thickBot="1" x14ac:dyDescent="0.35">
      <c r="B169" s="170">
        <v>43483.645833333336</v>
      </c>
      <c r="C169" s="169">
        <v>1383.05</v>
      </c>
      <c r="D169" s="247">
        <f t="shared" si="5"/>
        <v>-0.34060406684307132</v>
      </c>
      <c r="E169" s="248">
        <v>2.3495892843928071E-2</v>
      </c>
    </row>
    <row r="170" spans="2:5" ht="15" thickBot="1" x14ac:dyDescent="0.35">
      <c r="B170" s="170">
        <v>44095.645833333336</v>
      </c>
      <c r="C170" s="169">
        <v>2097.4499999999998</v>
      </c>
      <c r="D170" s="247">
        <f t="shared" si="5"/>
        <v>-0.42513566847557971</v>
      </c>
      <c r="E170" s="248">
        <v>2.3495827843653751E-2</v>
      </c>
    </row>
    <row r="171" spans="2:5" ht="15" thickBot="1" x14ac:dyDescent="0.35">
      <c r="B171" s="170">
        <v>44944.645833333336</v>
      </c>
      <c r="C171" s="169">
        <v>3648.6</v>
      </c>
      <c r="D171" s="247">
        <f t="shared" si="5"/>
        <v>0.17841224727084817</v>
      </c>
      <c r="E171" s="248">
        <v>2.3421502903144372E-2</v>
      </c>
    </row>
    <row r="172" spans="2:5" ht="15" thickBot="1" x14ac:dyDescent="0.35">
      <c r="B172" s="170">
        <v>44342.645833333336</v>
      </c>
      <c r="C172" s="169">
        <v>3096.2</v>
      </c>
      <c r="D172" s="247">
        <f t="shared" si="5"/>
        <v>-0.26918673952297212</v>
      </c>
      <c r="E172" s="248">
        <v>2.3368038340770062E-2</v>
      </c>
    </row>
    <row r="173" spans="2:5" ht="15" thickBot="1" x14ac:dyDescent="0.35">
      <c r="B173" s="170">
        <v>44594.645833333336</v>
      </c>
      <c r="C173" s="169">
        <v>4236.6499999999996</v>
      </c>
      <c r="D173" s="247">
        <f t="shared" si="5"/>
        <v>-0.11617694610466159</v>
      </c>
      <c r="E173" s="248">
        <v>2.3345410628019234E-2</v>
      </c>
    </row>
    <row r="174" spans="2:5" ht="15" thickBot="1" x14ac:dyDescent="0.35">
      <c r="B174" s="170">
        <v>45435.645833333336</v>
      </c>
      <c r="C174" s="169">
        <v>4793.55</v>
      </c>
      <c r="D174" s="247">
        <f t="shared" si="5"/>
        <v>0.37775382625565862</v>
      </c>
      <c r="E174" s="248">
        <v>2.3278898495036861E-2</v>
      </c>
    </row>
    <row r="175" spans="2:5" ht="15" thickBot="1" x14ac:dyDescent="0.35">
      <c r="B175" s="170">
        <v>45062.645833333336</v>
      </c>
      <c r="C175" s="169">
        <v>3479.25</v>
      </c>
      <c r="D175" s="247">
        <f t="shared" si="5"/>
        <v>1.3173371519914745</v>
      </c>
      <c r="E175" s="248">
        <v>2.3248632433386325E-2</v>
      </c>
    </row>
    <row r="176" spans="2:5" ht="15" thickBot="1" x14ac:dyDescent="0.35">
      <c r="B176" s="170">
        <v>43537.645833333336</v>
      </c>
      <c r="C176" s="169">
        <v>1501.4</v>
      </c>
      <c r="D176" s="247">
        <f t="shared" si="5"/>
        <v>-0.57270722162931342</v>
      </c>
      <c r="E176" s="248">
        <v>2.3239964560757949E-2</v>
      </c>
    </row>
    <row r="177" spans="2:5" ht="15" thickBot="1" x14ac:dyDescent="0.35">
      <c r="B177" s="170">
        <v>44946.645833333336</v>
      </c>
      <c r="C177" s="169">
        <v>3513.75</v>
      </c>
      <c r="D177" s="247">
        <f t="shared" si="5"/>
        <v>0.20635492841693281</v>
      </c>
      <c r="E177" s="248">
        <v>2.3223645894001166E-2</v>
      </c>
    </row>
    <row r="178" spans="2:5" ht="15" thickBot="1" x14ac:dyDescent="0.35">
      <c r="B178" s="170">
        <v>44287.645833333336</v>
      </c>
      <c r="C178" s="169">
        <v>2912.7</v>
      </c>
      <c r="D178" s="247">
        <f t="shared" si="5"/>
        <v>-0.27638378217231441</v>
      </c>
      <c r="E178" s="248">
        <v>2.3094891023727148E-2</v>
      </c>
    </row>
    <row r="179" spans="2:5" ht="15" thickBot="1" x14ac:dyDescent="0.35">
      <c r="B179" s="170">
        <v>45660.645833333336</v>
      </c>
      <c r="C179" s="169">
        <v>4025.2</v>
      </c>
      <c r="D179" s="247">
        <f t="shared" si="5"/>
        <v>1.9701889020070837</v>
      </c>
      <c r="E179" s="248">
        <v>2.2987483321684939E-2</v>
      </c>
    </row>
    <row r="180" spans="2:5" ht="15" thickBot="1" x14ac:dyDescent="0.35">
      <c r="B180" s="170">
        <v>43186.645833333336</v>
      </c>
      <c r="C180" s="169">
        <v>1355.2</v>
      </c>
      <c r="D180" s="247">
        <f t="shared" si="5"/>
        <v>-0.42536095151271014</v>
      </c>
      <c r="E180" s="248">
        <v>2.2946859903381713E-2</v>
      </c>
    </row>
    <row r="181" spans="2:5" ht="15" thickBot="1" x14ac:dyDescent="0.35">
      <c r="B181" s="170">
        <v>44006.645833333336</v>
      </c>
      <c r="C181" s="169">
        <v>2358.35</v>
      </c>
      <c r="D181" s="247">
        <f t="shared" si="5"/>
        <v>-0.38264705112431613</v>
      </c>
      <c r="E181" s="248">
        <v>2.2901260003036033E-2</v>
      </c>
    </row>
    <row r="182" spans="2:5" ht="15" thickBot="1" x14ac:dyDescent="0.35">
      <c r="B182" s="170">
        <v>44715.645833333336</v>
      </c>
      <c r="C182" s="169">
        <v>3820.1</v>
      </c>
      <c r="D182" s="247">
        <f t="shared" si="5"/>
        <v>-0.17972558029675129</v>
      </c>
      <c r="E182" s="248">
        <v>2.2852935270098376E-2</v>
      </c>
    </row>
    <row r="183" spans="2:5" ht="15" thickBot="1" x14ac:dyDescent="0.35">
      <c r="B183" s="170">
        <v>45407.645833333336</v>
      </c>
      <c r="C183" s="169">
        <v>4657.1000000000004</v>
      </c>
      <c r="D183" s="247">
        <f t="shared" si="5"/>
        <v>0.28514266791765552</v>
      </c>
      <c r="E183" s="248">
        <v>2.2830348220462919E-2</v>
      </c>
    </row>
    <row r="184" spans="2:5" ht="15" thickBot="1" x14ac:dyDescent="0.35">
      <c r="B184" s="170">
        <v>45642.645833333336</v>
      </c>
      <c r="C184" s="169">
        <v>3623.8</v>
      </c>
      <c r="D184" s="247">
        <f t="shared" si="5"/>
        <v>1.3211632077888806</v>
      </c>
      <c r="E184" s="248">
        <v>2.2819966412170753E-2</v>
      </c>
    </row>
    <row r="185" spans="2:5" ht="15" thickBot="1" x14ac:dyDescent="0.35">
      <c r="B185" s="170">
        <v>43350.645833333336</v>
      </c>
      <c r="C185" s="169">
        <v>1561.2</v>
      </c>
      <c r="D185" s="247">
        <f t="shared" si="5"/>
        <v>-0.16551300211133971</v>
      </c>
      <c r="E185" s="248">
        <v>2.2798742138364747E-2</v>
      </c>
    </row>
    <row r="186" spans="2:5" ht="15" thickBot="1" x14ac:dyDescent="0.35">
      <c r="B186" s="170">
        <v>43784.645833333336</v>
      </c>
      <c r="C186" s="169">
        <v>1870.85</v>
      </c>
      <c r="D186" s="247">
        <f t="shared" si="5"/>
        <v>-0.45215888958842737</v>
      </c>
      <c r="E186" s="248">
        <v>2.2629752111290202E-2</v>
      </c>
    </row>
    <row r="187" spans="2:5" ht="15" thickBot="1" x14ac:dyDescent="0.35">
      <c r="B187" s="170">
        <v>44691.645833333336</v>
      </c>
      <c r="C187" s="169">
        <v>3414.95</v>
      </c>
      <c r="D187" s="247">
        <f t="shared" si="5"/>
        <v>1.2974636706135627</v>
      </c>
      <c r="E187" s="248">
        <v>2.2531963948857682E-2</v>
      </c>
    </row>
    <row r="188" spans="2:5" ht="15" thickBot="1" x14ac:dyDescent="0.35">
      <c r="B188" s="170">
        <v>43255.645833333336</v>
      </c>
      <c r="C188" s="169">
        <v>1486.4</v>
      </c>
      <c r="D188" s="247">
        <f t="shared" si="5"/>
        <v>-0.65136624838747503</v>
      </c>
      <c r="E188" s="248">
        <v>2.2459157351676761E-2</v>
      </c>
    </row>
    <row r="189" spans="2:5" ht="15" thickBot="1" x14ac:dyDescent="0.35">
      <c r="B189" s="170">
        <v>45876.645833333336</v>
      </c>
      <c r="C189" s="168">
        <v>4263.5</v>
      </c>
      <c r="D189" s="247">
        <f t="shared" si="5"/>
        <v>0.53459911814991457</v>
      </c>
      <c r="E189" s="248">
        <v>2.2397544423395033E-2</v>
      </c>
    </row>
    <row r="190" spans="2:5" ht="15" thickBot="1" x14ac:dyDescent="0.35">
      <c r="B190" s="170">
        <v>44306.645833333336</v>
      </c>
      <c r="C190" s="169">
        <v>2778.25</v>
      </c>
      <c r="D190" s="247">
        <f t="shared" si="5"/>
        <v>0.44283451481394931</v>
      </c>
      <c r="E190" s="248">
        <v>2.2317486017073923E-2</v>
      </c>
    </row>
    <row r="191" spans="2:5" ht="15" thickBot="1" x14ac:dyDescent="0.35">
      <c r="B191" s="170">
        <v>43826.645833333336</v>
      </c>
      <c r="C191" s="169">
        <v>1925.55</v>
      </c>
      <c r="D191" s="247">
        <f t="shared" si="5"/>
        <v>-0.52091808173166632</v>
      </c>
      <c r="E191" s="248">
        <v>2.2298319662339732E-2</v>
      </c>
    </row>
    <row r="192" spans="2:5" ht="15" thickBot="1" x14ac:dyDescent="0.35">
      <c r="B192" s="170">
        <v>45365.645833333336</v>
      </c>
      <c r="C192" s="169">
        <v>4019.25</v>
      </c>
      <c r="D192" s="247">
        <f t="shared" si="5"/>
        <v>1.672906829819778</v>
      </c>
      <c r="E192" s="248">
        <v>2.2163729304951578E-2</v>
      </c>
    </row>
    <row r="193" spans="2:5" ht="15" thickBot="1" x14ac:dyDescent="0.35">
      <c r="B193" s="170">
        <v>43546.645833333336</v>
      </c>
      <c r="C193" s="169">
        <v>1503.7</v>
      </c>
      <c r="D193" s="247">
        <f t="shared" si="5"/>
        <v>-0.68652018012008009</v>
      </c>
      <c r="E193" s="248">
        <v>2.2090810222947253E-2</v>
      </c>
    </row>
    <row r="194" spans="2:5" ht="15" thickBot="1" x14ac:dyDescent="0.35">
      <c r="B194" s="170">
        <v>45422.645833333336</v>
      </c>
      <c r="C194" s="169">
        <v>4796.8</v>
      </c>
      <c r="D194" s="247">
        <f t="shared" si="5"/>
        <v>0.27931724229897326</v>
      </c>
      <c r="E194" s="248">
        <v>2.1965613481901351E-2</v>
      </c>
    </row>
    <row r="195" spans="2:5" ht="15" thickBot="1" x14ac:dyDescent="0.35">
      <c r="B195" s="170">
        <v>45219.645833333336</v>
      </c>
      <c r="C195" s="169">
        <v>3749.5</v>
      </c>
      <c r="D195" s="247">
        <f t="shared" si="5"/>
        <v>1.8252269901668987</v>
      </c>
      <c r="E195" s="248">
        <v>2.1954510145954616E-2</v>
      </c>
    </row>
    <row r="196" spans="2:5" ht="15" thickBot="1" x14ac:dyDescent="0.35">
      <c r="B196" s="170">
        <v>43165.645833333336</v>
      </c>
      <c r="C196" s="169">
        <v>1327.15</v>
      </c>
      <c r="D196" s="247">
        <f t="shared" si="5"/>
        <v>-0.61986938962564087</v>
      </c>
      <c r="E196" s="248">
        <v>2.1827841084077718E-2</v>
      </c>
    </row>
    <row r="197" spans="2:5" ht="15" thickBot="1" x14ac:dyDescent="0.35">
      <c r="B197" s="170">
        <v>44984.645833333336</v>
      </c>
      <c r="C197" s="169">
        <v>3491.3</v>
      </c>
      <c r="D197" s="247">
        <f t="shared" ref="D197:D260" si="6">(C197-C198)/C198</f>
        <v>1.3842791777641197</v>
      </c>
      <c r="E197" s="248">
        <v>2.1759171190681856E-2</v>
      </c>
    </row>
    <row r="198" spans="2:5" ht="15" thickBot="1" x14ac:dyDescent="0.35">
      <c r="B198" s="170">
        <v>43511.645833333336</v>
      </c>
      <c r="C198" s="169">
        <v>1464.3</v>
      </c>
      <c r="D198" s="247">
        <f t="shared" si="6"/>
        <v>9.5254123190844767E-2</v>
      </c>
      <c r="E198" s="248">
        <v>2.1628409963022396E-2</v>
      </c>
    </row>
    <row r="199" spans="2:5" ht="15" thickBot="1" x14ac:dyDescent="0.35">
      <c r="B199" s="170">
        <v>43389.645833333336</v>
      </c>
      <c r="C199" s="169">
        <v>1336.95</v>
      </c>
      <c r="D199" s="247">
        <f t="shared" si="6"/>
        <v>-0.14762511954096266</v>
      </c>
      <c r="E199" s="248">
        <v>2.162533908990177E-2</v>
      </c>
    </row>
    <row r="200" spans="2:5" ht="15" thickBot="1" x14ac:dyDescent="0.35">
      <c r="B200" s="170">
        <v>43265.645833333336</v>
      </c>
      <c r="C200" s="169">
        <v>1568.5</v>
      </c>
      <c r="D200" s="247">
        <f t="shared" si="6"/>
        <v>-0.41526245153593799</v>
      </c>
      <c r="E200" s="248">
        <v>2.1591168137558271E-2</v>
      </c>
    </row>
    <row r="201" spans="2:5" ht="15" thickBot="1" x14ac:dyDescent="0.35">
      <c r="B201" s="170">
        <v>44186.645833333336</v>
      </c>
      <c r="C201" s="169">
        <v>2682.4</v>
      </c>
      <c r="D201" s="247">
        <f t="shared" si="6"/>
        <v>-0.38692203963156813</v>
      </c>
      <c r="E201" s="248">
        <v>2.1574788155765055E-2</v>
      </c>
    </row>
    <row r="202" spans="2:5" ht="15" thickBot="1" x14ac:dyDescent="0.35">
      <c r="B202" s="170">
        <v>44830.645833333336</v>
      </c>
      <c r="C202" s="169">
        <v>4375.3</v>
      </c>
      <c r="D202" s="247">
        <f t="shared" si="6"/>
        <v>0.29364457519625092</v>
      </c>
      <c r="E202" s="248">
        <v>2.1502614867388956E-2</v>
      </c>
    </row>
    <row r="203" spans="2:5" ht="15" thickBot="1" x14ac:dyDescent="0.35">
      <c r="B203" s="170">
        <v>45001.645833333336</v>
      </c>
      <c r="C203" s="169">
        <v>3382.15</v>
      </c>
      <c r="D203" s="247">
        <f t="shared" si="6"/>
        <v>-0.32884527612962117</v>
      </c>
      <c r="E203" s="248">
        <v>2.1396430404976869E-2</v>
      </c>
    </row>
    <row r="204" spans="2:5" ht="15" thickBot="1" x14ac:dyDescent="0.35">
      <c r="B204" s="170">
        <v>45461.645833333336</v>
      </c>
      <c r="C204" s="169">
        <v>5039.3</v>
      </c>
      <c r="D204" s="247">
        <f t="shared" si="6"/>
        <v>0.7647079422888361</v>
      </c>
      <c r="E204" s="248">
        <v>2.1362411074403728E-2</v>
      </c>
    </row>
    <row r="205" spans="2:5" ht="15" thickBot="1" x14ac:dyDescent="0.35">
      <c r="B205" s="170">
        <v>44279.645833333336</v>
      </c>
      <c r="C205" s="169">
        <v>2855.6</v>
      </c>
      <c r="D205" s="247">
        <f t="shared" si="6"/>
        <v>-0.14495313950354821</v>
      </c>
      <c r="E205" s="248">
        <v>2.1316165951359052E-2</v>
      </c>
    </row>
    <row r="206" spans="2:5" ht="15" thickBot="1" x14ac:dyDescent="0.35">
      <c r="B206" s="170">
        <v>44692.645833333336</v>
      </c>
      <c r="C206" s="169">
        <v>3339.7</v>
      </c>
      <c r="D206" s="247">
        <f t="shared" si="6"/>
        <v>-0.29413380958922936</v>
      </c>
      <c r="E206" s="248">
        <v>2.1174456114601968E-2</v>
      </c>
    </row>
    <row r="207" spans="2:5" ht="15" thickBot="1" x14ac:dyDescent="0.35">
      <c r="B207" s="170">
        <v>44568.645833333336</v>
      </c>
      <c r="C207" s="169">
        <v>4731.3500000000004</v>
      </c>
      <c r="D207" s="247">
        <f t="shared" si="6"/>
        <v>0.13358330538118746</v>
      </c>
      <c r="E207" s="248">
        <v>2.1106926654509001E-2</v>
      </c>
    </row>
    <row r="208" spans="2:5" ht="15" thickBot="1" x14ac:dyDescent="0.35">
      <c r="B208" s="170">
        <v>45581.645833333336</v>
      </c>
      <c r="C208" s="169">
        <v>4173.8</v>
      </c>
      <c r="D208" s="247">
        <f t="shared" si="6"/>
        <v>-0.11076549417304038</v>
      </c>
      <c r="E208" s="248">
        <v>2.1063189568706207E-2</v>
      </c>
    </row>
    <row r="209" spans="2:5" ht="15" thickBot="1" x14ac:dyDescent="0.35">
      <c r="B209" s="170">
        <v>45425.645833333336</v>
      </c>
      <c r="C209" s="169">
        <v>4693.7</v>
      </c>
      <c r="D209" s="247">
        <f t="shared" si="6"/>
        <v>1.9566614173228345</v>
      </c>
      <c r="E209" s="248">
        <v>2.1024352573933203E-2</v>
      </c>
    </row>
    <row r="210" spans="2:5" ht="15" thickBot="1" x14ac:dyDescent="0.35">
      <c r="B210" s="170">
        <v>43333.645833333336</v>
      </c>
      <c r="C210" s="169">
        <v>1587.5</v>
      </c>
      <c r="D210" s="247">
        <f t="shared" si="6"/>
        <v>-0.19003035791729384</v>
      </c>
      <c r="E210" s="248">
        <v>2.0998810174614975E-2</v>
      </c>
    </row>
    <row r="211" spans="2:5" ht="15" thickBot="1" x14ac:dyDescent="0.35">
      <c r="B211" s="170">
        <v>43782.645833333336</v>
      </c>
      <c r="C211" s="169">
        <v>1959.95</v>
      </c>
      <c r="D211" s="247">
        <f t="shared" si="6"/>
        <v>-0.56170403086040144</v>
      </c>
      <c r="E211" s="248">
        <v>2.0807291666666689E-2</v>
      </c>
    </row>
    <row r="212" spans="2:5" ht="15" thickBot="1" x14ac:dyDescent="0.35">
      <c r="B212" s="170">
        <v>44844.645833333336</v>
      </c>
      <c r="C212" s="169">
        <v>4471.75</v>
      </c>
      <c r="D212" s="247">
        <f t="shared" si="6"/>
        <v>2.3671548510974736</v>
      </c>
      <c r="E212" s="248">
        <v>2.0691150624272358E-2</v>
      </c>
    </row>
    <row r="213" spans="2:5" ht="15" thickBot="1" x14ac:dyDescent="0.35">
      <c r="B213" s="170">
        <v>43580.645833333336</v>
      </c>
      <c r="C213" s="169">
        <v>1328.05</v>
      </c>
      <c r="D213" s="247">
        <f t="shared" si="6"/>
        <v>-0.69460988341343388</v>
      </c>
      <c r="E213" s="248">
        <v>2.0674019136917236E-2</v>
      </c>
    </row>
    <row r="214" spans="2:5" ht="15" thickBot="1" x14ac:dyDescent="0.35">
      <c r="B214" s="170">
        <v>45841.645833333336</v>
      </c>
      <c r="C214" s="168">
        <v>4348.7</v>
      </c>
      <c r="D214" s="247">
        <f t="shared" si="6"/>
        <v>0.10489474954584141</v>
      </c>
      <c r="E214" s="248">
        <v>2.0558071859378902E-2</v>
      </c>
    </row>
    <row r="215" spans="2:5" ht="15" thickBot="1" x14ac:dyDescent="0.35">
      <c r="B215" s="170">
        <v>45212.645833333336</v>
      </c>
      <c r="C215" s="169">
        <v>3935.85</v>
      </c>
      <c r="D215" s="247">
        <f t="shared" si="6"/>
        <v>-2.2039731150066535E-2</v>
      </c>
      <c r="E215" s="248">
        <v>2.0496266334785244E-2</v>
      </c>
    </row>
    <row r="216" spans="2:5" ht="15" thickBot="1" x14ac:dyDescent="0.35">
      <c r="B216" s="170">
        <v>44679.645833333336</v>
      </c>
      <c r="C216" s="169">
        <v>4024.55</v>
      </c>
      <c r="D216" s="247">
        <f t="shared" si="6"/>
        <v>0.34852901755796811</v>
      </c>
      <c r="E216" s="248">
        <v>2.0358750079229306E-2</v>
      </c>
    </row>
    <row r="217" spans="2:5" ht="15" thickBot="1" x14ac:dyDescent="0.35">
      <c r="B217" s="170">
        <v>44235.645833333336</v>
      </c>
      <c r="C217" s="169">
        <v>2984.4</v>
      </c>
      <c r="D217" s="247">
        <f t="shared" si="6"/>
        <v>-0.28459104420366288</v>
      </c>
      <c r="E217" s="248">
        <v>2.0307692307692339E-2</v>
      </c>
    </row>
    <row r="218" spans="2:5" ht="15" thickBot="1" x14ac:dyDescent="0.35">
      <c r="B218" s="170">
        <v>44662.645833333336</v>
      </c>
      <c r="C218" s="169">
        <v>4171.6000000000004</v>
      </c>
      <c r="D218" s="247">
        <f t="shared" si="6"/>
        <v>2.1337139423076925</v>
      </c>
      <c r="E218" s="248">
        <v>2.0275393156749224E-2</v>
      </c>
    </row>
    <row r="219" spans="2:5" ht="15" thickBot="1" x14ac:dyDescent="0.35">
      <c r="B219" s="170">
        <v>43378.645833333336</v>
      </c>
      <c r="C219" s="169">
        <v>1331.2</v>
      </c>
      <c r="D219" s="247">
        <f t="shared" si="6"/>
        <v>-8.4393699704243791E-2</v>
      </c>
      <c r="E219" s="248">
        <v>2.0154801134186492E-2</v>
      </c>
    </row>
    <row r="220" spans="2:5" ht="15" thickBot="1" x14ac:dyDescent="0.35">
      <c r="B220" s="170">
        <v>43231.645833333336</v>
      </c>
      <c r="C220" s="169">
        <v>1453.9</v>
      </c>
      <c r="D220" s="247">
        <f t="shared" si="6"/>
        <v>-0.3333486175432161</v>
      </c>
      <c r="E220" s="248">
        <v>2.013752455795681E-2</v>
      </c>
    </row>
    <row r="221" spans="2:5" ht="15" thickBot="1" x14ac:dyDescent="0.35">
      <c r="B221" s="170">
        <v>43936.645833333336</v>
      </c>
      <c r="C221" s="169">
        <v>2180.9</v>
      </c>
      <c r="D221" s="247">
        <f t="shared" si="6"/>
        <v>0.44939190536319534</v>
      </c>
      <c r="E221" s="248">
        <v>2.0137053581869721E-2</v>
      </c>
    </row>
    <row r="222" spans="2:5" ht="15" thickBot="1" x14ac:dyDescent="0.35">
      <c r="B222" s="170">
        <v>43696.645833333336</v>
      </c>
      <c r="C222" s="169">
        <v>1504.7</v>
      </c>
      <c r="D222" s="247">
        <f t="shared" si="6"/>
        <v>-0.65295908482863607</v>
      </c>
      <c r="E222" s="248">
        <v>2.0135593220339015E-2</v>
      </c>
    </row>
    <row r="223" spans="2:5" ht="15" thickBot="1" x14ac:dyDescent="0.35">
      <c r="B223" s="170">
        <v>45831.645833333336</v>
      </c>
      <c r="C223" s="168">
        <v>4335.8</v>
      </c>
      <c r="D223" s="247">
        <f t="shared" si="6"/>
        <v>0.35907844212835988</v>
      </c>
      <c r="E223" s="248">
        <v>2.0044229050016425E-2</v>
      </c>
    </row>
    <row r="224" spans="2:5" ht="15" thickBot="1" x14ac:dyDescent="0.35">
      <c r="B224" s="170">
        <v>44244.645833333336</v>
      </c>
      <c r="C224" s="169">
        <v>3190.25</v>
      </c>
      <c r="D224" s="247">
        <f t="shared" si="6"/>
        <v>-0.16711266594436539</v>
      </c>
      <c r="E224" s="248">
        <v>1.9982415474382544E-2</v>
      </c>
    </row>
    <row r="225" spans="2:5" ht="15" thickBot="1" x14ac:dyDescent="0.35">
      <c r="B225" s="170">
        <v>44721.645833333336</v>
      </c>
      <c r="C225" s="169">
        <v>3830.35</v>
      </c>
      <c r="D225" s="247">
        <f t="shared" si="6"/>
        <v>-6.1924471003134779E-2</v>
      </c>
      <c r="E225" s="248">
        <v>1.989003235125739E-2</v>
      </c>
    </row>
    <row r="226" spans="2:5" ht="15" thickBot="1" x14ac:dyDescent="0.35">
      <c r="B226" s="170">
        <v>45744.645833333336</v>
      </c>
      <c r="C226" s="169">
        <v>4083.2</v>
      </c>
      <c r="D226" s="247">
        <f t="shared" si="6"/>
        <v>1.5446047424672045</v>
      </c>
      <c r="E226" s="248">
        <v>1.9882106104505921E-2</v>
      </c>
    </row>
    <row r="227" spans="2:5" ht="15" thickBot="1" x14ac:dyDescent="0.35">
      <c r="B227" s="170">
        <v>43346.645833333336</v>
      </c>
      <c r="C227" s="169">
        <v>1604.65</v>
      </c>
      <c r="D227" s="247">
        <f t="shared" si="6"/>
        <v>-0.68970384909162985</v>
      </c>
      <c r="E227" s="248">
        <v>1.9861446548875047E-2</v>
      </c>
    </row>
    <row r="228" spans="2:5" ht="15" thickBot="1" x14ac:dyDescent="0.35">
      <c r="B228" s="170">
        <v>45498.645833333336</v>
      </c>
      <c r="C228" s="169">
        <v>5171.3500000000004</v>
      </c>
      <c r="D228" s="247">
        <f t="shared" si="6"/>
        <v>0.41419293088124709</v>
      </c>
      <c r="E228" s="248">
        <v>1.9668349238898965E-2</v>
      </c>
    </row>
    <row r="229" spans="2:5" ht="15" thickBot="1" x14ac:dyDescent="0.35">
      <c r="B229" s="170">
        <v>44705.645833333336</v>
      </c>
      <c r="C229" s="169">
        <v>3656.75</v>
      </c>
      <c r="D229" s="247">
        <f t="shared" si="6"/>
        <v>1.3564570176569144</v>
      </c>
      <c r="E229" s="248">
        <v>1.9601555856069423E-2</v>
      </c>
    </row>
    <row r="230" spans="2:5" ht="15" thickBot="1" x14ac:dyDescent="0.35">
      <c r="B230" s="170">
        <v>43299.645833333336</v>
      </c>
      <c r="C230" s="169">
        <v>1551.8</v>
      </c>
      <c r="D230" s="247">
        <f t="shared" si="6"/>
        <v>-2.4485305673424513E-2</v>
      </c>
      <c r="E230" s="248">
        <v>1.9579500657030194E-2</v>
      </c>
    </row>
    <row r="231" spans="2:5" ht="15" thickBot="1" x14ac:dyDescent="0.35">
      <c r="B231" s="170">
        <v>43466.645833333336</v>
      </c>
      <c r="C231" s="169">
        <v>1590.75</v>
      </c>
      <c r="D231" s="247">
        <f t="shared" si="6"/>
        <v>-0.17018779342723006</v>
      </c>
      <c r="E231" s="248">
        <v>1.954814933504246E-2</v>
      </c>
    </row>
    <row r="232" spans="2:5" ht="15" thickBot="1" x14ac:dyDescent="0.35">
      <c r="B232" s="170">
        <v>43731.645833333336</v>
      </c>
      <c r="C232" s="169">
        <v>1917</v>
      </c>
      <c r="D232" s="247">
        <f t="shared" si="6"/>
        <v>0.34620786516853935</v>
      </c>
      <c r="E232" s="248">
        <v>1.9545273234942161E-2</v>
      </c>
    </row>
    <row r="233" spans="2:5" ht="15" thickBot="1" x14ac:dyDescent="0.35">
      <c r="B233" s="170">
        <v>43410.645833333336</v>
      </c>
      <c r="C233" s="169">
        <v>1424</v>
      </c>
      <c r="D233" s="247">
        <f t="shared" si="6"/>
        <v>-0.70996191213312421</v>
      </c>
      <c r="E233" s="248">
        <v>1.950957580096653E-2</v>
      </c>
    </row>
    <row r="234" spans="2:5" ht="15" thickBot="1" x14ac:dyDescent="0.35">
      <c r="B234" s="170">
        <v>45506.645833333336</v>
      </c>
      <c r="C234" s="169">
        <v>4909.7</v>
      </c>
      <c r="D234" s="247">
        <f t="shared" si="6"/>
        <v>0.23869714401049549</v>
      </c>
      <c r="E234" s="248">
        <v>1.9149134915774944E-2</v>
      </c>
    </row>
    <row r="235" spans="2:5" ht="15" thickBot="1" x14ac:dyDescent="0.35">
      <c r="B235" s="170">
        <v>45105.645833333336</v>
      </c>
      <c r="C235" s="169">
        <v>3963.6</v>
      </c>
      <c r="D235" s="247">
        <f t="shared" si="6"/>
        <v>0.17481771296460955</v>
      </c>
      <c r="E235" s="248">
        <v>1.912989817957423E-2</v>
      </c>
    </row>
    <row r="236" spans="2:5" ht="15" thickBot="1" x14ac:dyDescent="0.35">
      <c r="B236" s="170">
        <v>44369.645833333336</v>
      </c>
      <c r="C236" s="169">
        <v>3373.8</v>
      </c>
      <c r="D236" s="247">
        <f t="shared" si="6"/>
        <v>1.4244906758650429</v>
      </c>
      <c r="E236" s="248">
        <v>1.8997855567972483E-2</v>
      </c>
    </row>
    <row r="237" spans="2:5" ht="15" thickBot="1" x14ac:dyDescent="0.35">
      <c r="B237" s="170">
        <v>43489.645833333336</v>
      </c>
      <c r="C237" s="169">
        <v>1391.55</v>
      </c>
      <c r="D237" s="247">
        <f t="shared" si="6"/>
        <v>-4.6948839120608148E-2</v>
      </c>
      <c r="E237" s="248">
        <v>1.8928022259647001E-2</v>
      </c>
    </row>
    <row r="238" spans="2:5" ht="15" thickBot="1" x14ac:dyDescent="0.35">
      <c r="B238" s="170">
        <v>43649.645833333336</v>
      </c>
      <c r="C238" s="169">
        <v>1460.1</v>
      </c>
      <c r="D238" s="247">
        <f t="shared" si="6"/>
        <v>-0.71910620328777142</v>
      </c>
      <c r="E238" s="248">
        <v>1.8911374738311171E-2</v>
      </c>
    </row>
    <row r="239" spans="2:5" ht="15" thickBot="1" x14ac:dyDescent="0.35">
      <c r="B239" s="170">
        <v>45561.645833333336</v>
      </c>
      <c r="C239" s="169">
        <v>5198.05</v>
      </c>
      <c r="D239" s="247">
        <f t="shared" si="6"/>
        <v>0.5599453814296862</v>
      </c>
      <c r="E239" s="248">
        <v>1.8766046684828411E-2</v>
      </c>
    </row>
    <row r="240" spans="2:5" ht="15" thickBot="1" x14ac:dyDescent="0.35">
      <c r="B240" s="170">
        <v>44375.645833333336</v>
      </c>
      <c r="C240" s="169">
        <v>3332.2</v>
      </c>
      <c r="D240" s="247">
        <f t="shared" si="6"/>
        <v>0.14652399057236737</v>
      </c>
      <c r="E240" s="248">
        <v>1.8756592323096417E-2</v>
      </c>
    </row>
    <row r="241" spans="2:5" ht="15" thickBot="1" x14ac:dyDescent="0.35">
      <c r="B241" s="170">
        <v>44315.645833333336</v>
      </c>
      <c r="C241" s="169">
        <v>2906.35</v>
      </c>
      <c r="D241" s="247">
        <f t="shared" si="6"/>
        <v>-5.3614457831325332E-2</v>
      </c>
      <c r="E241" s="248">
        <v>1.8735321953100289E-2</v>
      </c>
    </row>
    <row r="242" spans="2:5" ht="15" thickBot="1" x14ac:dyDescent="0.35">
      <c r="B242" s="170">
        <v>44271.645833333336</v>
      </c>
      <c r="C242" s="169">
        <v>3071</v>
      </c>
      <c r="D242" s="247">
        <f t="shared" si="6"/>
        <v>-0.38912316995544238</v>
      </c>
      <c r="E242" s="248">
        <v>1.8624475512877953E-2</v>
      </c>
    </row>
    <row r="243" spans="2:5" ht="15" thickBot="1" x14ac:dyDescent="0.35">
      <c r="B243" s="170">
        <v>45503.645833333336</v>
      </c>
      <c r="C243" s="169">
        <v>5027.2</v>
      </c>
      <c r="D243" s="247">
        <f t="shared" si="6"/>
        <v>2.6082540821819484</v>
      </c>
      <c r="E243" s="248">
        <v>1.8486816114425795E-2</v>
      </c>
    </row>
    <row r="244" spans="2:5" ht="15" thickBot="1" x14ac:dyDescent="0.35">
      <c r="B244" s="170">
        <v>43481.645833333336</v>
      </c>
      <c r="C244" s="169">
        <v>1393.25</v>
      </c>
      <c r="D244" s="247">
        <f t="shared" si="6"/>
        <v>-4.7350427350427347E-2</v>
      </c>
      <c r="E244" s="248">
        <v>1.8457602339181287E-2</v>
      </c>
    </row>
    <row r="245" spans="2:5" ht="15" thickBot="1" x14ac:dyDescent="0.35">
      <c r="B245" s="170">
        <v>43406.645833333336</v>
      </c>
      <c r="C245" s="169">
        <v>1462.5</v>
      </c>
      <c r="D245" s="247">
        <f t="shared" si="6"/>
        <v>-0.6149187708997077</v>
      </c>
      <c r="E245" s="248">
        <v>1.8418578740294591E-2</v>
      </c>
    </row>
    <row r="246" spans="2:5" ht="15" thickBot="1" x14ac:dyDescent="0.35">
      <c r="B246" s="170">
        <v>45187.645833333336</v>
      </c>
      <c r="C246" s="169">
        <v>3797.9</v>
      </c>
      <c r="D246" s="247">
        <f t="shared" si="6"/>
        <v>-0.12047983511457443</v>
      </c>
      <c r="E246" s="248">
        <v>1.8367565828283368E-2</v>
      </c>
    </row>
    <row r="247" spans="2:5" ht="15" thickBot="1" x14ac:dyDescent="0.35">
      <c r="B247" s="170">
        <v>44832.645833333336</v>
      </c>
      <c r="C247" s="169">
        <v>4318.1499999999996</v>
      </c>
      <c r="D247" s="247">
        <f t="shared" si="6"/>
        <v>8.1375838926174449E-2</v>
      </c>
      <c r="E247" s="248">
        <v>1.8299513034865631E-2</v>
      </c>
    </row>
    <row r="248" spans="2:5" ht="15" thickBot="1" x14ac:dyDescent="0.35">
      <c r="B248" s="170">
        <v>44916.645833333336</v>
      </c>
      <c r="C248" s="169">
        <v>3993.2</v>
      </c>
      <c r="D248" s="247">
        <f t="shared" si="6"/>
        <v>1.1077300678261326</v>
      </c>
      <c r="E248" s="248">
        <v>1.8270836786474641E-2</v>
      </c>
    </row>
    <row r="249" spans="2:5" ht="15" thickBot="1" x14ac:dyDescent="0.35">
      <c r="B249" s="170">
        <v>43735.645833333336</v>
      </c>
      <c r="C249" s="169">
        <v>1894.55</v>
      </c>
      <c r="D249" s="247">
        <f t="shared" si="6"/>
        <v>-0.50302322836194802</v>
      </c>
      <c r="E249" s="248">
        <v>1.824680210684728E-2</v>
      </c>
    </row>
    <row r="250" spans="2:5" ht="15" thickBot="1" x14ac:dyDescent="0.35">
      <c r="B250" s="170">
        <v>45099.645833333336</v>
      </c>
      <c r="C250" s="169">
        <v>3812.15</v>
      </c>
      <c r="D250" s="247">
        <f t="shared" si="6"/>
        <v>0.61415505779734958</v>
      </c>
      <c r="E250" s="248">
        <v>1.8188859657322927E-2</v>
      </c>
    </row>
    <row r="251" spans="2:5" ht="15" thickBot="1" x14ac:dyDescent="0.35">
      <c r="B251" s="170">
        <v>44019.645833333336</v>
      </c>
      <c r="C251" s="169">
        <v>2361.6999999999998</v>
      </c>
      <c r="D251" s="247">
        <f t="shared" si="6"/>
        <v>-0.41474717186861121</v>
      </c>
      <c r="E251" s="248">
        <v>1.8171628117522636E-2</v>
      </c>
    </row>
    <row r="252" spans="2:5" ht="15" thickBot="1" x14ac:dyDescent="0.35">
      <c r="B252" s="170">
        <v>44763.645833333336</v>
      </c>
      <c r="C252" s="169">
        <v>4035.35</v>
      </c>
      <c r="D252" s="247">
        <f t="shared" si="6"/>
        <v>1.6975166282295528</v>
      </c>
      <c r="E252" s="248">
        <v>1.8153605490235609E-2</v>
      </c>
    </row>
    <row r="253" spans="2:5" ht="15" thickBot="1" x14ac:dyDescent="0.35">
      <c r="B253" s="170">
        <v>43521.645833333336</v>
      </c>
      <c r="C253" s="169">
        <v>1495.95</v>
      </c>
      <c r="D253" s="247">
        <f t="shared" si="6"/>
        <v>-5.0793147208121801E-2</v>
      </c>
      <c r="E253" s="248">
        <v>1.8103242930547617E-2</v>
      </c>
    </row>
    <row r="254" spans="2:5" ht="15" thickBot="1" x14ac:dyDescent="0.35">
      <c r="B254" s="170">
        <v>43294.645833333336</v>
      </c>
      <c r="C254" s="169">
        <v>1576</v>
      </c>
      <c r="D254" s="247">
        <f t="shared" si="6"/>
        <v>6.6666666666666666E-2</v>
      </c>
      <c r="E254" s="248">
        <v>1.8054972384612931E-2</v>
      </c>
    </row>
    <row r="255" spans="2:5" ht="15" thickBot="1" x14ac:dyDescent="0.35">
      <c r="B255" s="170">
        <v>43504.645833333336</v>
      </c>
      <c r="C255" s="169">
        <v>1477.5</v>
      </c>
      <c r="D255" s="247">
        <f t="shared" si="6"/>
        <v>-0.66879252177226822</v>
      </c>
      <c r="E255" s="248">
        <v>1.8052780265968474E-2</v>
      </c>
    </row>
    <row r="256" spans="2:5" ht="15" thickBot="1" x14ac:dyDescent="0.35">
      <c r="B256" s="170">
        <v>44791.645833333336</v>
      </c>
      <c r="C256" s="169">
        <v>4460.95</v>
      </c>
      <c r="D256" s="247">
        <f t="shared" si="6"/>
        <v>2.2444452525546383</v>
      </c>
      <c r="E256" s="248">
        <v>1.8016887266088504E-2</v>
      </c>
    </row>
    <row r="257" spans="2:5" ht="15" thickBot="1" x14ac:dyDescent="0.35">
      <c r="B257" s="170">
        <v>43655.645833333336</v>
      </c>
      <c r="C257" s="169">
        <v>1374.95</v>
      </c>
      <c r="D257" s="247">
        <f t="shared" si="6"/>
        <v>-0.69742416073413072</v>
      </c>
      <c r="E257" s="248">
        <v>1.7878294344092459E-2</v>
      </c>
    </row>
    <row r="258" spans="2:5" ht="15" thickBot="1" x14ac:dyDescent="0.35">
      <c r="B258" s="170">
        <v>45572.645833333336</v>
      </c>
      <c r="C258" s="169">
        <v>4544.1499999999996</v>
      </c>
      <c r="D258" s="247">
        <f t="shared" si="6"/>
        <v>1.8474793996929535</v>
      </c>
      <c r="E258" s="248">
        <v>1.7624203607699073E-2</v>
      </c>
    </row>
    <row r="259" spans="2:5" ht="15" thickBot="1" x14ac:dyDescent="0.35">
      <c r="B259" s="170">
        <v>43264.645833333336</v>
      </c>
      <c r="C259" s="169">
        <v>1595.85</v>
      </c>
      <c r="D259" s="247">
        <f t="shared" si="6"/>
        <v>0.16843608141748423</v>
      </c>
      <c r="E259" s="248">
        <v>1.7437041759642911E-2</v>
      </c>
    </row>
    <row r="260" spans="2:5" ht="15" thickBot="1" x14ac:dyDescent="0.35">
      <c r="B260" s="170">
        <v>43175.645833333336</v>
      </c>
      <c r="C260" s="169">
        <v>1365.8</v>
      </c>
      <c r="D260" s="247">
        <f t="shared" si="6"/>
        <v>-0.68390844499988424</v>
      </c>
      <c r="E260" s="248">
        <v>1.7317790771293435E-2</v>
      </c>
    </row>
    <row r="261" spans="2:5" ht="15" thickBot="1" x14ac:dyDescent="0.35">
      <c r="B261" s="170">
        <v>44865.645833333336</v>
      </c>
      <c r="C261" s="169">
        <v>4320.8999999999996</v>
      </c>
      <c r="D261" s="247">
        <f t="shared" ref="D261:D324" si="7">(C261-C262)/C262</f>
        <v>0.87177543373259114</v>
      </c>
      <c r="E261" s="248">
        <v>1.7280753384343647E-2</v>
      </c>
    </row>
    <row r="262" spans="2:5" ht="15" thickBot="1" x14ac:dyDescent="0.35">
      <c r="B262" s="170">
        <v>43979.645833333336</v>
      </c>
      <c r="C262" s="169">
        <v>2308.4499999999998</v>
      </c>
      <c r="D262" s="247">
        <f t="shared" si="7"/>
        <v>-0.41173997247846694</v>
      </c>
      <c r="E262" s="248">
        <v>1.7229603190340809E-2</v>
      </c>
    </row>
    <row r="263" spans="2:5" ht="15" thickBot="1" x14ac:dyDescent="0.35">
      <c r="B263" s="170">
        <v>44930.645833333336</v>
      </c>
      <c r="C263" s="169">
        <v>3924.2</v>
      </c>
      <c r="D263" s="247">
        <f t="shared" si="7"/>
        <v>-1.5726504301587767E-2</v>
      </c>
      <c r="E263" s="248">
        <v>1.7211882420032049E-2</v>
      </c>
    </row>
    <row r="264" spans="2:5" ht="15" thickBot="1" x14ac:dyDescent="0.35">
      <c r="B264" s="170">
        <v>45097.645833333336</v>
      </c>
      <c r="C264" s="169">
        <v>3986.9</v>
      </c>
      <c r="D264" s="247">
        <f t="shared" si="7"/>
        <v>-0.20163002122632065</v>
      </c>
      <c r="E264" s="248">
        <v>1.7196070927414233E-2</v>
      </c>
    </row>
    <row r="265" spans="2:5" ht="15" thickBot="1" x14ac:dyDescent="0.35">
      <c r="B265" s="170">
        <v>45505.645833333336</v>
      </c>
      <c r="C265" s="169">
        <v>4993.8</v>
      </c>
      <c r="D265" s="247">
        <f t="shared" si="7"/>
        <v>-3.9889903865331687E-3</v>
      </c>
      <c r="E265" s="248">
        <v>1.712935617247497E-2</v>
      </c>
    </row>
    <row r="266" spans="2:5" ht="15" thickBot="1" x14ac:dyDescent="0.35">
      <c r="B266" s="170">
        <v>45516.645833333336</v>
      </c>
      <c r="C266" s="169">
        <v>5013.8</v>
      </c>
      <c r="D266" s="247">
        <f t="shared" si="7"/>
        <v>6.7265528545276509E-2</v>
      </c>
      <c r="E266" s="248">
        <v>1.7101125874835213E-2</v>
      </c>
    </row>
    <row r="267" spans="2:5" ht="15" thickBot="1" x14ac:dyDescent="0.35">
      <c r="B267" s="170">
        <v>44547.645833333336</v>
      </c>
      <c r="C267" s="169">
        <v>4697.8</v>
      </c>
      <c r="D267" s="247">
        <f t="shared" si="7"/>
        <v>-8.1177816677586889E-2</v>
      </c>
      <c r="E267" s="248">
        <v>1.7070979335130358E-2</v>
      </c>
    </row>
    <row r="268" spans="2:5" ht="15" thickBot="1" x14ac:dyDescent="0.35">
      <c r="B268" s="170">
        <v>45502.645833333336</v>
      </c>
      <c r="C268" s="169">
        <v>5112.8500000000004</v>
      </c>
      <c r="D268" s="247">
        <f t="shared" si="7"/>
        <v>0.19811829216853372</v>
      </c>
      <c r="E268" s="248">
        <v>1.7037316995544349E-2</v>
      </c>
    </row>
    <row r="269" spans="2:5" ht="15" thickBot="1" x14ac:dyDescent="0.35">
      <c r="B269" s="170">
        <v>45869.645833333336</v>
      </c>
      <c r="C269" s="168">
        <v>4267.3999999999996</v>
      </c>
      <c r="D269" s="247">
        <f t="shared" si="7"/>
        <v>1.5911712915173959</v>
      </c>
      <c r="E269" s="248">
        <v>1.7016205910390762E-2</v>
      </c>
    </row>
    <row r="270" spans="2:5" ht="15" thickBot="1" x14ac:dyDescent="0.35">
      <c r="B270" s="170">
        <v>43726.645833333336</v>
      </c>
      <c r="C270" s="169">
        <v>1646.9</v>
      </c>
      <c r="D270" s="247">
        <f t="shared" si="7"/>
        <v>0.12508539417953282</v>
      </c>
      <c r="E270" s="248">
        <v>1.7012999042825938E-2</v>
      </c>
    </row>
    <row r="271" spans="2:5" ht="15" thickBot="1" x14ac:dyDescent="0.35">
      <c r="B271" s="170">
        <v>43663.645833333336</v>
      </c>
      <c r="C271" s="169">
        <v>1463.8</v>
      </c>
      <c r="D271" s="247">
        <f t="shared" si="7"/>
        <v>-0.31779838747261963</v>
      </c>
      <c r="E271" s="248">
        <v>1.6951507572599597E-2</v>
      </c>
    </row>
    <row r="272" spans="2:5" ht="15" thickBot="1" x14ac:dyDescent="0.35">
      <c r="B272" s="170">
        <v>43899.645833333336</v>
      </c>
      <c r="C272" s="169">
        <v>2145.6999999999998</v>
      </c>
      <c r="D272" s="247">
        <f t="shared" si="7"/>
        <v>-0.41772048846675719</v>
      </c>
      <c r="E272" s="248">
        <v>1.6943529467522929E-2</v>
      </c>
    </row>
    <row r="273" spans="2:5" ht="15" thickBot="1" x14ac:dyDescent="0.35">
      <c r="B273" s="170">
        <v>45707.645833333336</v>
      </c>
      <c r="C273" s="169">
        <v>3685</v>
      </c>
      <c r="D273" s="247">
        <f t="shared" si="7"/>
        <v>6.3812743540654388E-4</v>
      </c>
      <c r="E273" s="248">
        <v>1.6888349246647116E-2</v>
      </c>
    </row>
    <row r="274" spans="2:5" ht="15" thickBot="1" x14ac:dyDescent="0.35">
      <c r="B274" s="170">
        <v>45702.645833333336</v>
      </c>
      <c r="C274" s="169">
        <v>3682.65</v>
      </c>
      <c r="D274" s="247">
        <f t="shared" si="7"/>
        <v>0.33190473607117682</v>
      </c>
      <c r="E274" s="248">
        <v>1.6885268535137398E-2</v>
      </c>
    </row>
    <row r="275" spans="2:5" ht="15" thickBot="1" x14ac:dyDescent="0.35">
      <c r="B275" s="170">
        <v>44216.645833333336</v>
      </c>
      <c r="C275" s="169">
        <v>2764.95</v>
      </c>
      <c r="D275" s="247">
        <f t="shared" si="7"/>
        <v>-0.26256200992158751</v>
      </c>
      <c r="E275" s="248">
        <v>1.6843498887519896E-2</v>
      </c>
    </row>
    <row r="276" spans="2:5" ht="15" thickBot="1" x14ac:dyDescent="0.35">
      <c r="B276" s="170">
        <v>45320.645833333336</v>
      </c>
      <c r="C276" s="169">
        <v>3749.4</v>
      </c>
      <c r="D276" s="247">
        <f t="shared" si="7"/>
        <v>2.1587194608256111</v>
      </c>
      <c r="E276" s="248">
        <v>1.6841591408347546E-2</v>
      </c>
    </row>
    <row r="277" spans="2:5" ht="15" thickBot="1" x14ac:dyDescent="0.35">
      <c r="B277" s="170">
        <v>43116.645833333336</v>
      </c>
      <c r="C277" s="169">
        <v>1187</v>
      </c>
      <c r="D277" s="247">
        <f t="shared" si="7"/>
        <v>-0.26462844221416848</v>
      </c>
      <c r="E277" s="248">
        <v>1.683299781556525E-2</v>
      </c>
    </row>
    <row r="278" spans="2:5" ht="15" thickBot="1" x14ac:dyDescent="0.35">
      <c r="B278" s="170">
        <v>43332.645833333336</v>
      </c>
      <c r="C278" s="169">
        <v>1614.15</v>
      </c>
      <c r="D278" s="247">
        <f t="shared" si="7"/>
        <v>-0.60087778945416326</v>
      </c>
      <c r="E278" s="248">
        <v>1.6787401574803205E-2</v>
      </c>
    </row>
    <row r="279" spans="2:5" ht="15" thickBot="1" x14ac:dyDescent="0.35">
      <c r="B279" s="170">
        <v>44677.645833333336</v>
      </c>
      <c r="C279" s="169">
        <v>4044.25</v>
      </c>
      <c r="D279" s="247">
        <f t="shared" si="7"/>
        <v>-0.15126808742825368</v>
      </c>
      <c r="E279" s="248">
        <v>1.6730774065414733E-2</v>
      </c>
    </row>
    <row r="280" spans="2:5" ht="15" thickBot="1" x14ac:dyDescent="0.35">
      <c r="B280" s="170">
        <v>45394.645833333336</v>
      </c>
      <c r="C280" s="169">
        <v>4765.05</v>
      </c>
      <c r="D280" s="247">
        <f t="shared" si="7"/>
        <v>1.0204587856173677</v>
      </c>
      <c r="E280" s="248">
        <v>1.6695826576768796E-2</v>
      </c>
    </row>
    <row r="281" spans="2:5" ht="15" thickBot="1" x14ac:dyDescent="0.35">
      <c r="B281" s="170">
        <v>43887.645833333336</v>
      </c>
      <c r="C281" s="169">
        <v>2358.4</v>
      </c>
      <c r="D281" s="247">
        <f t="shared" si="7"/>
        <v>-0.48690279349055776</v>
      </c>
      <c r="E281" s="248">
        <v>1.6683191792042192E-2</v>
      </c>
    </row>
    <row r="282" spans="2:5" ht="15" thickBot="1" x14ac:dyDescent="0.35">
      <c r="B282" s="170">
        <v>44489.645833333336</v>
      </c>
      <c r="C282" s="169">
        <v>4596.3999999999996</v>
      </c>
      <c r="D282" s="247">
        <f t="shared" si="7"/>
        <v>2.168292262622781</v>
      </c>
      <c r="E282" s="248">
        <v>1.6621509538291321E-2</v>
      </c>
    </row>
    <row r="283" spans="2:5" ht="15" thickBot="1" x14ac:dyDescent="0.35">
      <c r="B283" s="170">
        <v>43367.645833333336</v>
      </c>
      <c r="C283" s="169">
        <v>1450.75</v>
      </c>
      <c r="D283" s="247">
        <f t="shared" si="7"/>
        <v>-0.71035976681041368</v>
      </c>
      <c r="E283" s="248">
        <v>1.653645377150258E-2</v>
      </c>
    </row>
    <row r="284" spans="2:5" ht="15" thickBot="1" x14ac:dyDescent="0.35">
      <c r="B284" s="170">
        <v>45533.645833333336</v>
      </c>
      <c r="C284" s="169">
        <v>5008.8</v>
      </c>
      <c r="D284" s="247">
        <f t="shared" si="7"/>
        <v>4.8216976393772093E-2</v>
      </c>
      <c r="E284" s="248">
        <v>1.6509553623070831E-2</v>
      </c>
    </row>
    <row r="285" spans="2:5" ht="15" thickBot="1" x14ac:dyDescent="0.35">
      <c r="B285" s="170">
        <v>45453.645833333336</v>
      </c>
      <c r="C285" s="169">
        <v>4778.3999999999996</v>
      </c>
      <c r="D285" s="247">
        <f t="shared" si="7"/>
        <v>0.5219288467050992</v>
      </c>
      <c r="E285" s="248">
        <v>1.6367290942156106E-2</v>
      </c>
    </row>
    <row r="286" spans="2:5" ht="15" thickBot="1" x14ac:dyDescent="0.35">
      <c r="B286" s="170">
        <v>44251.645833333336</v>
      </c>
      <c r="C286" s="169">
        <v>3139.7</v>
      </c>
      <c r="D286" s="247">
        <f t="shared" si="7"/>
        <v>-0.20875493000340226</v>
      </c>
      <c r="E286" s="248">
        <v>1.6347274375242783E-2</v>
      </c>
    </row>
    <row r="287" spans="2:5" ht="15" thickBot="1" x14ac:dyDescent="0.35">
      <c r="B287" s="170">
        <v>44889.645833333336</v>
      </c>
      <c r="C287" s="169">
        <v>3968.05</v>
      </c>
      <c r="D287" s="247">
        <f t="shared" si="7"/>
        <v>-2.0766497211391254E-2</v>
      </c>
      <c r="E287" s="248">
        <v>1.6289106020054137E-2</v>
      </c>
    </row>
    <row r="288" spans="2:5" ht="15" thickBot="1" x14ac:dyDescent="0.35">
      <c r="B288" s="170">
        <v>45590.645833333336</v>
      </c>
      <c r="C288" s="169">
        <v>4052.2</v>
      </c>
      <c r="D288" s="247">
        <f t="shared" si="7"/>
        <v>-7.6053126603203597E-2</v>
      </c>
      <c r="E288" s="248">
        <v>1.6225705329153559E-2</v>
      </c>
    </row>
    <row r="289" spans="2:5" ht="15" thickBot="1" x14ac:dyDescent="0.35">
      <c r="B289" s="170">
        <v>44466.645833333336</v>
      </c>
      <c r="C289" s="169">
        <v>4385.75</v>
      </c>
      <c r="D289" s="247">
        <f t="shared" si="7"/>
        <v>1.8964139479593185</v>
      </c>
      <c r="E289" s="248">
        <v>1.6219660545675724E-2</v>
      </c>
    </row>
    <row r="290" spans="2:5" ht="15" thickBot="1" x14ac:dyDescent="0.35">
      <c r="B290" s="170">
        <v>43679.645833333336</v>
      </c>
      <c r="C290" s="169">
        <v>1514.2</v>
      </c>
      <c r="D290" s="247">
        <f t="shared" si="7"/>
        <v>0.14916707775205854</v>
      </c>
      <c r="E290" s="248">
        <v>1.6207509815106939E-2</v>
      </c>
    </row>
    <row r="291" spans="2:5" ht="15" thickBot="1" x14ac:dyDescent="0.35">
      <c r="B291" s="170">
        <v>43622.645833333336</v>
      </c>
      <c r="C291" s="169">
        <v>1317.65</v>
      </c>
      <c r="D291" s="247">
        <f t="shared" si="7"/>
        <v>-0.70609818660361789</v>
      </c>
      <c r="E291" s="248">
        <v>1.6195580920063238E-2</v>
      </c>
    </row>
    <row r="292" spans="2:5" ht="15" thickBot="1" x14ac:dyDescent="0.35">
      <c r="B292" s="170">
        <v>45383.645833333336</v>
      </c>
      <c r="C292" s="169">
        <v>4483.3</v>
      </c>
      <c r="D292" s="247">
        <f t="shared" si="7"/>
        <v>0.11201230250266646</v>
      </c>
      <c r="E292" s="248">
        <v>1.619502022960885E-2</v>
      </c>
    </row>
    <row r="293" spans="2:5" ht="15" thickBot="1" x14ac:dyDescent="0.35">
      <c r="B293" s="170">
        <v>45363.645833333336</v>
      </c>
      <c r="C293" s="169">
        <v>4031.7</v>
      </c>
      <c r="D293" s="247">
        <f t="shared" si="7"/>
        <v>0.6133253301320527</v>
      </c>
      <c r="E293" s="248">
        <v>1.610464237108716E-2</v>
      </c>
    </row>
    <row r="294" spans="2:5" ht="15" thickBot="1" x14ac:dyDescent="0.35">
      <c r="B294" s="170">
        <v>43987.645833333336</v>
      </c>
      <c r="C294" s="169">
        <v>2499</v>
      </c>
      <c r="D294" s="247">
        <f t="shared" si="7"/>
        <v>0.81014812936872993</v>
      </c>
      <c r="E294" s="248">
        <v>1.6060174832282986E-2</v>
      </c>
    </row>
    <row r="295" spans="2:5" ht="15" thickBot="1" x14ac:dyDescent="0.35">
      <c r="B295" s="170">
        <v>43242.645833333336</v>
      </c>
      <c r="C295" s="169">
        <v>1380.55</v>
      </c>
      <c r="D295" s="247">
        <f t="shared" si="7"/>
        <v>0.21623645493789098</v>
      </c>
      <c r="E295" s="248">
        <v>1.604415823367062E-2</v>
      </c>
    </row>
    <row r="296" spans="2:5" ht="15" thickBot="1" x14ac:dyDescent="0.35">
      <c r="B296" s="170">
        <v>43133.645833333336</v>
      </c>
      <c r="C296" s="169">
        <v>1135.0999999999999</v>
      </c>
      <c r="D296" s="247">
        <f t="shared" si="7"/>
        <v>-9.4672196522571417E-2</v>
      </c>
      <c r="E296" s="248">
        <v>1.5931262865837247E-2</v>
      </c>
    </row>
    <row r="297" spans="2:5" ht="15" thickBot="1" x14ac:dyDescent="0.35">
      <c r="B297" s="170">
        <v>43601.645833333336</v>
      </c>
      <c r="C297" s="169">
        <v>1253.8</v>
      </c>
      <c r="D297" s="247">
        <f t="shared" si="7"/>
        <v>-0.68746416731061644</v>
      </c>
      <c r="E297" s="248">
        <v>1.5839578691513027E-2</v>
      </c>
    </row>
    <row r="298" spans="2:5" ht="15" thickBot="1" x14ac:dyDescent="0.35">
      <c r="B298" s="170">
        <v>44881.645833333336</v>
      </c>
      <c r="C298" s="169">
        <v>4011.7</v>
      </c>
      <c r="D298" s="247">
        <f t="shared" si="7"/>
        <v>0.10502974878801226</v>
      </c>
      <c r="E298" s="248">
        <v>1.5825990073939027E-2</v>
      </c>
    </row>
    <row r="299" spans="2:5" ht="15" thickBot="1" x14ac:dyDescent="0.35">
      <c r="B299" s="170">
        <v>44701.645833333336</v>
      </c>
      <c r="C299" s="169">
        <v>3630.4</v>
      </c>
      <c r="D299" s="247">
        <f t="shared" si="7"/>
        <v>0.62575849174895315</v>
      </c>
      <c r="E299" s="248">
        <v>1.5752217341428662E-2</v>
      </c>
    </row>
    <row r="300" spans="2:5" ht="15" thickBot="1" x14ac:dyDescent="0.35">
      <c r="B300" s="170">
        <v>43893.645833333336</v>
      </c>
      <c r="C300" s="169">
        <v>2233.0500000000002</v>
      </c>
      <c r="D300" s="247">
        <f t="shared" si="7"/>
        <v>-0.33508515959980939</v>
      </c>
      <c r="E300" s="248">
        <v>1.573836111806062E-2</v>
      </c>
    </row>
    <row r="301" spans="2:5" ht="15" thickBot="1" x14ac:dyDescent="0.35">
      <c r="B301" s="170">
        <v>45009.645833333336</v>
      </c>
      <c r="C301" s="169">
        <v>3358.4</v>
      </c>
      <c r="D301" s="247">
        <f t="shared" si="7"/>
        <v>-0.13073637893102108</v>
      </c>
      <c r="E301" s="248">
        <v>1.5604209507681113E-2</v>
      </c>
    </row>
    <row r="302" spans="2:5" ht="15" thickBot="1" x14ac:dyDescent="0.35">
      <c r="B302" s="170">
        <v>45296.645833333336</v>
      </c>
      <c r="C302" s="169">
        <v>3863.5</v>
      </c>
      <c r="D302" s="247">
        <f t="shared" si="7"/>
        <v>-0.16653183617556006</v>
      </c>
      <c r="E302" s="248">
        <v>1.5534644096309513E-2</v>
      </c>
    </row>
    <row r="303" spans="2:5" ht="15" thickBot="1" x14ac:dyDescent="0.35">
      <c r="B303" s="170">
        <v>44498.645833333336</v>
      </c>
      <c r="C303" s="169">
        <v>4635.45</v>
      </c>
      <c r="D303" s="247">
        <f t="shared" si="7"/>
        <v>1.069489709362025</v>
      </c>
      <c r="E303" s="248">
        <v>1.548825236869485E-2</v>
      </c>
    </row>
    <row r="304" spans="2:5" ht="15" thickBot="1" x14ac:dyDescent="0.35">
      <c r="B304" s="170">
        <v>44134.645833333336</v>
      </c>
      <c r="C304" s="169">
        <v>2239.9</v>
      </c>
      <c r="D304" s="247">
        <f t="shared" si="7"/>
        <v>-0.5080548631167433</v>
      </c>
      <c r="E304" s="248">
        <v>1.5482262269069519E-2</v>
      </c>
    </row>
    <row r="305" spans="2:5" ht="15" thickBot="1" x14ac:dyDescent="0.35">
      <c r="B305" s="170">
        <v>45408.645833333336</v>
      </c>
      <c r="C305" s="169">
        <v>4553.1499999999996</v>
      </c>
      <c r="D305" s="247">
        <f t="shared" si="7"/>
        <v>0.17836669729163157</v>
      </c>
      <c r="E305" s="248">
        <v>1.5466791560729616E-2</v>
      </c>
    </row>
    <row r="306" spans="2:5" ht="15" thickBot="1" x14ac:dyDescent="0.35">
      <c r="B306" s="170">
        <v>45631.645833333336</v>
      </c>
      <c r="C306" s="169">
        <v>3863.95</v>
      </c>
      <c r="D306" s="247">
        <f t="shared" si="7"/>
        <v>1.3960506461982502E-2</v>
      </c>
      <c r="E306" s="248">
        <v>1.534600780439086E-2</v>
      </c>
    </row>
    <row r="307" spans="2:5" ht="15" thickBot="1" x14ac:dyDescent="0.35">
      <c r="B307" s="170">
        <v>45180.645833333336</v>
      </c>
      <c r="C307" s="169">
        <v>3810.75</v>
      </c>
      <c r="D307" s="247">
        <f t="shared" si="7"/>
        <v>-0.117013265365232</v>
      </c>
      <c r="E307" s="248">
        <v>1.5320055951508692E-2</v>
      </c>
    </row>
    <row r="308" spans="2:5" ht="15" thickBot="1" x14ac:dyDescent="0.35">
      <c r="B308" s="170">
        <v>44467.645833333336</v>
      </c>
      <c r="C308" s="169">
        <v>4315.75</v>
      </c>
      <c r="D308" s="247">
        <f t="shared" si="7"/>
        <v>0.15651043760216529</v>
      </c>
      <c r="E308" s="248">
        <v>1.5183948061723792E-2</v>
      </c>
    </row>
    <row r="309" spans="2:5" ht="15" thickBot="1" x14ac:dyDescent="0.35">
      <c r="B309" s="170">
        <v>45310.645833333336</v>
      </c>
      <c r="C309" s="169">
        <v>3731.7</v>
      </c>
      <c r="D309" s="247">
        <f t="shared" si="7"/>
        <v>-2.3659622248066096E-3</v>
      </c>
      <c r="E309" s="248">
        <v>1.5179955929160131E-2</v>
      </c>
    </row>
    <row r="310" spans="2:5" ht="15" thickBot="1" x14ac:dyDescent="0.35">
      <c r="B310" s="170">
        <v>45224.645833333336</v>
      </c>
      <c r="C310" s="169">
        <v>3740.55</v>
      </c>
      <c r="D310" s="247">
        <f t="shared" si="7"/>
        <v>0.29184942151614579</v>
      </c>
      <c r="E310" s="248">
        <v>1.5171047453625198E-2</v>
      </c>
    </row>
    <row r="311" spans="2:5" ht="15" thickBot="1" x14ac:dyDescent="0.35">
      <c r="B311" s="170">
        <v>44323.645833333336</v>
      </c>
      <c r="C311" s="169">
        <v>2895.5</v>
      </c>
      <c r="D311" s="247">
        <f t="shared" si="7"/>
        <v>0.7948797421274485</v>
      </c>
      <c r="E311" s="248">
        <v>1.5092289084821884E-2</v>
      </c>
    </row>
    <row r="312" spans="2:5" ht="15" thickBot="1" x14ac:dyDescent="0.35">
      <c r="B312" s="170">
        <v>43321.645833333336</v>
      </c>
      <c r="C312" s="169">
        <v>1613.2</v>
      </c>
      <c r="D312" s="247">
        <f t="shared" si="7"/>
        <v>1.4974204102176893E-2</v>
      </c>
      <c r="E312" s="248">
        <v>1.4974204102176893E-2</v>
      </c>
    </row>
    <row r="313" spans="2:5" ht="15" thickBot="1" x14ac:dyDescent="0.35">
      <c r="B313" s="170">
        <v>43322.645833333336</v>
      </c>
      <c r="C313" s="169">
        <v>1589.4</v>
      </c>
      <c r="D313" s="247">
        <f t="shared" si="7"/>
        <v>-0.64518757464477461</v>
      </c>
      <c r="E313" s="248">
        <v>1.4910124197822635E-2</v>
      </c>
    </row>
    <row r="314" spans="2:5" ht="15" thickBot="1" x14ac:dyDescent="0.35">
      <c r="B314" s="170">
        <v>44838.645833333336</v>
      </c>
      <c r="C314" s="169">
        <v>4479.55</v>
      </c>
      <c r="D314" s="247">
        <f t="shared" si="7"/>
        <v>2.0128800107613669</v>
      </c>
      <c r="E314" s="248">
        <v>1.4884964373506081E-2</v>
      </c>
    </row>
    <row r="315" spans="2:5" ht="15" thickBot="1" x14ac:dyDescent="0.35">
      <c r="B315" s="170">
        <v>43224.645833333336</v>
      </c>
      <c r="C315" s="169">
        <v>1486.8</v>
      </c>
      <c r="D315" s="247">
        <f t="shared" si="7"/>
        <v>-0.66858365654674334</v>
      </c>
      <c r="E315" s="248">
        <v>1.4880546075085294E-2</v>
      </c>
    </row>
    <row r="316" spans="2:5" ht="15" thickBot="1" x14ac:dyDescent="0.35">
      <c r="B316" s="170">
        <v>45377.645833333336</v>
      </c>
      <c r="C316" s="169">
        <v>4486.2</v>
      </c>
      <c r="D316" s="247">
        <f t="shared" si="7"/>
        <v>-9.0739577210725758E-2</v>
      </c>
      <c r="E316" s="248">
        <v>1.4851093189761373E-2</v>
      </c>
    </row>
    <row r="317" spans="2:5" ht="15" thickBot="1" x14ac:dyDescent="0.35">
      <c r="B317" s="170">
        <v>45462.645833333336</v>
      </c>
      <c r="C317" s="169">
        <v>4933.8999999999996</v>
      </c>
      <c r="D317" s="247">
        <f t="shared" si="7"/>
        <v>0.46864116684030349</v>
      </c>
      <c r="E317" s="248">
        <v>1.485077236357649E-2</v>
      </c>
    </row>
    <row r="318" spans="2:5" ht="15" thickBot="1" x14ac:dyDescent="0.35">
      <c r="B318" s="170">
        <v>44362.645833333336</v>
      </c>
      <c r="C318" s="169">
        <v>3359.5</v>
      </c>
      <c r="D318" s="247">
        <f t="shared" si="7"/>
        <v>-0.24193875939255813</v>
      </c>
      <c r="E318" s="248">
        <v>1.483204446592554E-2</v>
      </c>
    </row>
    <row r="319" spans="2:5" ht="15" thickBot="1" x14ac:dyDescent="0.35">
      <c r="B319" s="170">
        <v>44826.645833333336</v>
      </c>
      <c r="C319" s="169">
        <v>4431.7</v>
      </c>
      <c r="D319" s="247">
        <f t="shared" si="7"/>
        <v>1.399014778325123</v>
      </c>
      <c r="E319" s="248">
        <v>1.481566292649412E-2</v>
      </c>
    </row>
    <row r="320" spans="2:5" ht="15" thickBot="1" x14ac:dyDescent="0.35">
      <c r="B320" s="170">
        <v>43745.645833333336</v>
      </c>
      <c r="C320" s="169">
        <v>1847.3</v>
      </c>
      <c r="D320" s="247">
        <f t="shared" si="7"/>
        <v>-0.56339442927878425</v>
      </c>
      <c r="E320" s="248">
        <v>1.4776972094045189E-2</v>
      </c>
    </row>
    <row r="321" spans="2:5" ht="15" thickBot="1" x14ac:dyDescent="0.35">
      <c r="B321" s="170">
        <v>44635.645833333336</v>
      </c>
      <c r="C321" s="169">
        <v>4231.05</v>
      </c>
      <c r="D321" s="247">
        <f t="shared" si="7"/>
        <v>2.5217662726818713</v>
      </c>
      <c r="E321" s="248">
        <v>1.4749793143144943E-2</v>
      </c>
    </row>
    <row r="322" spans="2:5" ht="15" thickBot="1" x14ac:dyDescent="0.35">
      <c r="B322" s="170">
        <v>43145.645833333336</v>
      </c>
      <c r="C322" s="169">
        <v>1201.4000000000001</v>
      </c>
      <c r="D322" s="247">
        <f t="shared" si="7"/>
        <v>-0.68253045477367014</v>
      </c>
      <c r="E322" s="248">
        <v>1.4738798091135643E-2</v>
      </c>
    </row>
    <row r="323" spans="2:5" ht="15" thickBot="1" x14ac:dyDescent="0.35">
      <c r="B323" s="170">
        <v>45324.645833333336</v>
      </c>
      <c r="C323" s="169">
        <v>3784.3</v>
      </c>
      <c r="D323" s="247">
        <f t="shared" si="7"/>
        <v>6.1484951333763506E-2</v>
      </c>
      <c r="E323" s="248">
        <v>1.4666452166452239E-2</v>
      </c>
    </row>
    <row r="324" spans="2:5" ht="15" thickBot="1" x14ac:dyDescent="0.35">
      <c r="B324" s="170">
        <v>44945.645833333336</v>
      </c>
      <c r="C324" s="169">
        <v>3565.1</v>
      </c>
      <c r="D324" s="247">
        <f t="shared" si="7"/>
        <v>-0.12481741969535178</v>
      </c>
      <c r="E324" s="248">
        <v>1.4614016364283148E-2</v>
      </c>
    </row>
    <row r="325" spans="2:5" ht="15" thickBot="1" x14ac:dyDescent="0.35">
      <c r="B325" s="170">
        <v>44599.645833333336</v>
      </c>
      <c r="C325" s="169">
        <v>4073.55</v>
      </c>
      <c r="D325" s="247">
        <f t="shared" ref="D325:D388" si="8">(C325-C326)/C326</f>
        <v>-0.19866429295065352</v>
      </c>
      <c r="E325" s="248">
        <v>1.458281444582819E-2</v>
      </c>
    </row>
    <row r="326" spans="2:5" ht="15" thickBot="1" x14ac:dyDescent="0.35">
      <c r="B326" s="170">
        <v>45491.645833333336</v>
      </c>
      <c r="C326" s="169">
        <v>5083.45</v>
      </c>
      <c r="D326" s="247">
        <f t="shared" si="8"/>
        <v>2.7947521648253213</v>
      </c>
      <c r="E326" s="248">
        <v>1.4518929490889497E-2</v>
      </c>
    </row>
    <row r="327" spans="2:5" ht="15" thickBot="1" x14ac:dyDescent="0.35">
      <c r="B327" s="170">
        <v>43180.645833333336</v>
      </c>
      <c r="C327" s="169">
        <v>1339.6</v>
      </c>
      <c r="D327" s="247">
        <f t="shared" si="8"/>
        <v>-0.3284034793071467</v>
      </c>
      <c r="E327" s="248">
        <v>1.4502631678594315E-2</v>
      </c>
    </row>
    <row r="328" spans="2:5" ht="15" thickBot="1" x14ac:dyDescent="0.35">
      <c r="B328" s="170">
        <v>43769.645833333336</v>
      </c>
      <c r="C328" s="169">
        <v>1994.65</v>
      </c>
      <c r="D328" s="247">
        <f t="shared" si="8"/>
        <v>-0.51820048309178746</v>
      </c>
      <c r="E328" s="248">
        <v>1.4263195362554756E-2</v>
      </c>
    </row>
    <row r="329" spans="2:5" ht="15" thickBot="1" x14ac:dyDescent="0.35">
      <c r="B329" s="170">
        <v>44595.645833333336</v>
      </c>
      <c r="C329" s="169">
        <v>4140</v>
      </c>
      <c r="D329" s="247">
        <f t="shared" si="8"/>
        <v>1.6050655279045818E-2</v>
      </c>
      <c r="E329" s="248">
        <v>1.4233567701315541E-2</v>
      </c>
    </row>
    <row r="330" spans="2:5" ht="15" thickBot="1" x14ac:dyDescent="0.35">
      <c r="B330" s="170">
        <v>44922.645833333336</v>
      </c>
      <c r="C330" s="169">
        <v>4074.6</v>
      </c>
      <c r="D330" s="247">
        <f t="shared" si="8"/>
        <v>0.40568885515671083</v>
      </c>
      <c r="E330" s="248">
        <v>1.4149710658950883E-2</v>
      </c>
    </row>
    <row r="331" spans="2:5" ht="15" thickBot="1" x14ac:dyDescent="0.35">
      <c r="B331" s="170">
        <v>44319.645833333336</v>
      </c>
      <c r="C331" s="169">
        <v>2898.65</v>
      </c>
      <c r="D331" s="247">
        <f t="shared" si="8"/>
        <v>-0.36115794461524903</v>
      </c>
      <c r="E331" s="248">
        <v>1.4081304226140498E-2</v>
      </c>
    </row>
    <row r="332" spans="2:5" ht="15" thickBot="1" x14ac:dyDescent="0.35">
      <c r="B332" s="170">
        <v>45439.645833333336</v>
      </c>
      <c r="C332" s="169">
        <v>4537.3500000000004</v>
      </c>
      <c r="D332" s="247">
        <f t="shared" si="8"/>
        <v>0.15753153819661478</v>
      </c>
      <c r="E332" s="248">
        <v>1.4057593670730603E-2</v>
      </c>
    </row>
    <row r="333" spans="2:5" ht="15" thickBot="1" x14ac:dyDescent="0.35">
      <c r="B333" s="170">
        <v>45692.645833333336</v>
      </c>
      <c r="C333" s="169">
        <v>3919.85</v>
      </c>
      <c r="D333" s="247">
        <f t="shared" si="8"/>
        <v>0.14043611713192611</v>
      </c>
      <c r="E333" s="248">
        <v>1.4007812297902086E-2</v>
      </c>
    </row>
    <row r="334" spans="2:5" ht="15" thickBot="1" x14ac:dyDescent="0.35">
      <c r="B334" s="170">
        <v>44991.645833333336</v>
      </c>
      <c r="C334" s="169">
        <v>3437.15</v>
      </c>
      <c r="D334" s="247">
        <f t="shared" si="8"/>
        <v>-0.14527459683936983</v>
      </c>
      <c r="E334" s="248">
        <v>1.3998288934124045E-2</v>
      </c>
    </row>
    <row r="335" spans="2:5" ht="15" thickBot="1" x14ac:dyDescent="0.35">
      <c r="B335" s="170">
        <v>45279.645833333336</v>
      </c>
      <c r="C335" s="169">
        <v>4021.35</v>
      </c>
      <c r="D335" s="247">
        <f t="shared" si="8"/>
        <v>2.1143078412391092</v>
      </c>
      <c r="E335" s="248">
        <v>1.3981693940845663E-2</v>
      </c>
    </row>
    <row r="336" spans="2:5" ht="15" thickBot="1" x14ac:dyDescent="0.35">
      <c r="B336" s="170">
        <v>43402.645833333336</v>
      </c>
      <c r="C336" s="169">
        <v>1291.25</v>
      </c>
      <c r="D336" s="247">
        <f t="shared" si="8"/>
        <v>-0.63640587382263081</v>
      </c>
      <c r="E336" s="248">
        <v>1.3858354271356857E-2</v>
      </c>
    </row>
    <row r="337" spans="2:5" ht="15" thickBot="1" x14ac:dyDescent="0.35">
      <c r="B337" s="170">
        <v>44958.645833333336</v>
      </c>
      <c r="C337" s="169">
        <v>3551.35</v>
      </c>
      <c r="D337" s="247">
        <f t="shared" si="8"/>
        <v>0.49109879497837688</v>
      </c>
      <c r="E337" s="248">
        <v>1.3831396842616066E-2</v>
      </c>
    </row>
    <row r="338" spans="2:5" ht="15" thickBot="1" x14ac:dyDescent="0.35">
      <c r="B338" s="170">
        <v>43984.645833333336</v>
      </c>
      <c r="C338" s="169">
        <v>2381.6999999999998</v>
      </c>
      <c r="D338" s="247">
        <f t="shared" si="8"/>
        <v>-0.46507501572185789</v>
      </c>
      <c r="E338" s="248">
        <v>1.3791342101902538E-2</v>
      </c>
    </row>
    <row r="339" spans="2:5" ht="15" thickBot="1" x14ac:dyDescent="0.35">
      <c r="B339" s="170">
        <v>45839.645833333336</v>
      </c>
      <c r="C339" s="168">
        <v>4452.3999999999996</v>
      </c>
      <c r="D339" s="247">
        <f t="shared" si="8"/>
        <v>0.85686879639669666</v>
      </c>
      <c r="E339" s="248">
        <v>1.3775359183952276E-2</v>
      </c>
    </row>
    <row r="340" spans="2:5" ht="15" thickBot="1" x14ac:dyDescent="0.35">
      <c r="B340" s="170">
        <v>43994.645833333336</v>
      </c>
      <c r="C340" s="169">
        <v>2397.8000000000002</v>
      </c>
      <c r="D340" s="247">
        <f t="shared" si="8"/>
        <v>-0.50195247590561642</v>
      </c>
      <c r="E340" s="248">
        <v>1.3740328922335432E-2</v>
      </c>
    </row>
    <row r="341" spans="2:5" ht="15" thickBot="1" x14ac:dyDescent="0.35">
      <c r="B341" s="170">
        <v>44544.645833333336</v>
      </c>
      <c r="C341" s="169">
        <v>4814.3999999999996</v>
      </c>
      <c r="D341" s="247">
        <f t="shared" si="8"/>
        <v>0.31395586850616103</v>
      </c>
      <c r="E341" s="248">
        <v>1.3675267662571418E-2</v>
      </c>
    </row>
    <row r="342" spans="2:5" ht="15" thickBot="1" x14ac:dyDescent="0.35">
      <c r="B342" s="170">
        <v>44699.645833333336</v>
      </c>
      <c r="C342" s="169">
        <v>3664.05</v>
      </c>
      <c r="D342" s="247">
        <f t="shared" si="8"/>
        <v>1.8300817075204371E-2</v>
      </c>
      <c r="E342" s="248">
        <v>1.3610523258226558E-2</v>
      </c>
    </row>
    <row r="343" spans="2:5" ht="15" thickBot="1" x14ac:dyDescent="0.35">
      <c r="B343" s="170">
        <v>45148.645833333336</v>
      </c>
      <c r="C343" s="169">
        <v>3598.2</v>
      </c>
      <c r="D343" s="247">
        <f t="shared" si="8"/>
        <v>1.8938394724143475</v>
      </c>
      <c r="E343" s="248">
        <v>1.3563189250855518E-2</v>
      </c>
    </row>
    <row r="344" spans="2:5" ht="15" thickBot="1" x14ac:dyDescent="0.35">
      <c r="B344" s="170">
        <v>43105.645833333336</v>
      </c>
      <c r="C344" s="169">
        <v>1243.4000000000001</v>
      </c>
      <c r="D344" s="247">
        <f t="shared" si="8"/>
        <v>-0.68905671701510451</v>
      </c>
      <c r="E344" s="248">
        <v>1.353113791979144E-2</v>
      </c>
    </row>
    <row r="345" spans="2:5" ht="15" thickBot="1" x14ac:dyDescent="0.35">
      <c r="B345" s="170">
        <v>45741.645833333336</v>
      </c>
      <c r="C345" s="169">
        <v>3998.8</v>
      </c>
      <c r="D345" s="247">
        <f t="shared" si="8"/>
        <v>1.7255563507480489</v>
      </c>
      <c r="E345" s="248">
        <v>1.3457688116177197E-2</v>
      </c>
    </row>
    <row r="346" spans="2:5" ht="15" thickBot="1" x14ac:dyDescent="0.35">
      <c r="B346" s="170">
        <v>43228.645833333336</v>
      </c>
      <c r="C346" s="169">
        <v>1467.15</v>
      </c>
      <c r="D346" s="247">
        <f t="shared" si="8"/>
        <v>-0.33525893706673909</v>
      </c>
      <c r="E346" s="248">
        <v>1.3400103609048586E-2</v>
      </c>
    </row>
    <row r="347" spans="2:5" ht="15" thickBot="1" x14ac:dyDescent="0.35">
      <c r="B347" s="170">
        <v>44056.645833333336</v>
      </c>
      <c r="C347" s="169">
        <v>2207.1</v>
      </c>
      <c r="D347" s="247">
        <f t="shared" si="8"/>
        <v>-0.36693103102098185</v>
      </c>
      <c r="E347" s="248">
        <v>1.3360881542699684E-2</v>
      </c>
    </row>
    <row r="348" spans="2:5" ht="15" thickBot="1" x14ac:dyDescent="0.35">
      <c r="B348" s="170">
        <v>44734.645833333336</v>
      </c>
      <c r="C348" s="169">
        <v>3486.35</v>
      </c>
      <c r="D348" s="247">
        <f t="shared" si="8"/>
        <v>-2.6145616558890462E-2</v>
      </c>
      <c r="E348" s="248">
        <v>1.3341278030490225E-2</v>
      </c>
    </row>
    <row r="349" spans="2:5" ht="15" thickBot="1" x14ac:dyDescent="0.35">
      <c r="B349" s="170">
        <v>45681.645833333336</v>
      </c>
      <c r="C349" s="169">
        <v>3579.95</v>
      </c>
      <c r="D349" s="247">
        <f t="shared" si="8"/>
        <v>1.4364174635042706</v>
      </c>
      <c r="E349" s="248">
        <v>1.3303330078263209E-2</v>
      </c>
    </row>
    <row r="350" spans="2:5" ht="15" thickBot="1" x14ac:dyDescent="0.35">
      <c r="B350" s="170">
        <v>43522.645833333336</v>
      </c>
      <c r="C350" s="169">
        <v>1469.35</v>
      </c>
      <c r="D350" s="247">
        <f t="shared" si="8"/>
        <v>-0.63846513458983323</v>
      </c>
      <c r="E350" s="248">
        <v>1.324000965417358E-2</v>
      </c>
    </row>
    <row r="351" spans="2:5" ht="15" thickBot="1" x14ac:dyDescent="0.35">
      <c r="B351" s="170">
        <v>45849.645833333336</v>
      </c>
      <c r="C351" s="168">
        <v>4064.2</v>
      </c>
      <c r="D351" s="247">
        <f t="shared" si="8"/>
        <v>-6.929559402766336E-2</v>
      </c>
      <c r="E351" s="248">
        <v>1.3187744621444328E-2</v>
      </c>
    </row>
    <row r="352" spans="2:5" ht="15" thickBot="1" x14ac:dyDescent="0.35">
      <c r="B352" s="170">
        <v>45775.645833333336</v>
      </c>
      <c r="C352" s="168">
        <v>4366.8</v>
      </c>
      <c r="D352" s="247">
        <f t="shared" si="8"/>
        <v>0.24904894024770466</v>
      </c>
      <c r="E352" s="248">
        <v>1.317865429234343E-2</v>
      </c>
    </row>
    <row r="353" spans="2:5" ht="15" thickBot="1" x14ac:dyDescent="0.35">
      <c r="B353" s="170">
        <v>45022.645833333336</v>
      </c>
      <c r="C353" s="169">
        <v>3496.1</v>
      </c>
      <c r="D353" s="247">
        <f t="shared" si="8"/>
        <v>0.6565661351844394</v>
      </c>
      <c r="E353" s="248">
        <v>1.3156750804184686E-2</v>
      </c>
    </row>
    <row r="354" spans="2:5" ht="15" thickBot="1" x14ac:dyDescent="0.35">
      <c r="B354" s="170">
        <v>44109.645833333336</v>
      </c>
      <c r="C354" s="169">
        <v>2110.4499999999998</v>
      </c>
      <c r="D354" s="247">
        <f t="shared" si="8"/>
        <v>-0.38884223329086065</v>
      </c>
      <c r="E354" s="248">
        <v>1.3153788915292303E-2</v>
      </c>
    </row>
    <row r="355" spans="2:5" ht="15" thickBot="1" x14ac:dyDescent="0.35">
      <c r="B355" s="170">
        <v>45719.645833333336</v>
      </c>
      <c r="C355" s="169">
        <v>3453.2</v>
      </c>
      <c r="D355" s="247">
        <f t="shared" si="8"/>
        <v>1.4789662598707825</v>
      </c>
      <c r="E355" s="248">
        <v>1.3143997183429094E-2</v>
      </c>
    </row>
    <row r="356" spans="2:5" ht="15" thickBot="1" x14ac:dyDescent="0.35">
      <c r="B356" s="170">
        <v>43654.645833333336</v>
      </c>
      <c r="C356" s="169">
        <v>1393</v>
      </c>
      <c r="D356" s="247">
        <f t="shared" si="8"/>
        <v>-0.64392980841736647</v>
      </c>
      <c r="E356" s="248">
        <v>1.3127750100003603E-2</v>
      </c>
    </row>
    <row r="357" spans="2:5" ht="15" thickBot="1" x14ac:dyDescent="0.35">
      <c r="B357" s="170">
        <v>45258.645833333336</v>
      </c>
      <c r="C357" s="169">
        <v>3912.15</v>
      </c>
      <c r="D357" s="247">
        <f t="shared" si="8"/>
        <v>5.7366415308521851E-2</v>
      </c>
      <c r="E357" s="248">
        <v>1.3116664508610668E-2</v>
      </c>
    </row>
    <row r="358" spans="2:5" ht="15" thickBot="1" x14ac:dyDescent="0.35">
      <c r="B358" s="170">
        <v>45141.645833333336</v>
      </c>
      <c r="C358" s="169">
        <v>3699.9</v>
      </c>
      <c r="D358" s="247">
        <f t="shared" si="8"/>
        <v>1.4239386792452828</v>
      </c>
      <c r="E358" s="248">
        <v>1.3088360121573939E-2</v>
      </c>
    </row>
    <row r="359" spans="2:5" ht="15" thickBot="1" x14ac:dyDescent="0.35">
      <c r="B359" s="170">
        <v>43353.645833333336</v>
      </c>
      <c r="C359" s="169">
        <v>1526.4</v>
      </c>
      <c r="D359" s="247">
        <f t="shared" si="8"/>
        <v>-0.61538073879957667</v>
      </c>
      <c r="E359" s="248">
        <v>1.3007698433767013E-2</v>
      </c>
    </row>
    <row r="360" spans="2:5" ht="15" thickBot="1" x14ac:dyDescent="0.35">
      <c r="B360" s="170">
        <v>44440.645833333336</v>
      </c>
      <c r="C360" s="169">
        <v>3968.6</v>
      </c>
      <c r="D360" s="247">
        <f t="shared" si="8"/>
        <v>-0.24630139587883393</v>
      </c>
      <c r="E360" s="248">
        <v>1.3005245491557392E-2</v>
      </c>
    </row>
    <row r="361" spans="2:5" ht="15" thickBot="1" x14ac:dyDescent="0.35">
      <c r="B361" s="170">
        <v>45560.645833333336</v>
      </c>
      <c r="C361" s="169">
        <v>5265.5</v>
      </c>
      <c r="D361" s="247">
        <f t="shared" si="8"/>
        <v>1.8856007672283874</v>
      </c>
      <c r="E361" s="248">
        <v>1.297601985359891E-2</v>
      </c>
    </row>
    <row r="362" spans="2:5" ht="15" thickBot="1" x14ac:dyDescent="0.35">
      <c r="B362" s="170">
        <v>43804.645833333336</v>
      </c>
      <c r="C362" s="169">
        <v>1824.75</v>
      </c>
      <c r="D362" s="247">
        <f t="shared" si="8"/>
        <v>0.18899459177689448</v>
      </c>
      <c r="E362" s="248">
        <v>1.2962140557344237E-2</v>
      </c>
    </row>
    <row r="363" spans="2:5" ht="15" thickBot="1" x14ac:dyDescent="0.35">
      <c r="B363" s="170">
        <v>43361.645833333336</v>
      </c>
      <c r="C363" s="169">
        <v>1534.7</v>
      </c>
      <c r="D363" s="247">
        <f t="shared" si="8"/>
        <v>-0.63868157739846976</v>
      </c>
      <c r="E363" s="248">
        <v>1.2903012903012873E-2</v>
      </c>
    </row>
    <row r="364" spans="2:5" ht="15" thickBot="1" x14ac:dyDescent="0.35">
      <c r="B364" s="170">
        <v>44866.645833333336</v>
      </c>
      <c r="C364" s="169">
        <v>4247.5</v>
      </c>
      <c r="D364" s="247">
        <f t="shared" si="8"/>
        <v>3.7493893502686858E-2</v>
      </c>
      <c r="E364" s="248">
        <v>1.2840842702657677E-2</v>
      </c>
    </row>
    <row r="365" spans="2:5" ht="15" thickBot="1" x14ac:dyDescent="0.35">
      <c r="B365" s="170">
        <v>45804.645833333336</v>
      </c>
      <c r="C365" s="168">
        <v>4094</v>
      </c>
      <c r="D365" s="247">
        <f t="shared" si="8"/>
        <v>1.7359909112172955</v>
      </c>
      <c r="E365" s="248">
        <v>1.2789748410558299E-2</v>
      </c>
    </row>
    <row r="366" spans="2:5" ht="15" thickBot="1" x14ac:dyDescent="0.35">
      <c r="B366" s="170">
        <v>43503.645833333336</v>
      </c>
      <c r="C366" s="169">
        <v>1496.35</v>
      </c>
      <c r="D366" s="247">
        <f t="shared" si="8"/>
        <v>-0.25279636472585637</v>
      </c>
      <c r="E366" s="248">
        <v>1.275803722504224E-2</v>
      </c>
    </row>
    <row r="367" spans="2:5" ht="15" thickBot="1" x14ac:dyDescent="0.35">
      <c r="B367" s="170">
        <v>44116.645833333336</v>
      </c>
      <c r="C367" s="169">
        <v>2002.6</v>
      </c>
      <c r="D367" s="247">
        <f t="shared" si="8"/>
        <v>3.4053649342937455E-2</v>
      </c>
      <c r="E367" s="248">
        <v>1.2718399959543788E-2</v>
      </c>
    </row>
    <row r="368" spans="2:5" ht="15" thickBot="1" x14ac:dyDescent="0.35">
      <c r="B368" s="170">
        <v>43850.645833333336</v>
      </c>
      <c r="C368" s="169">
        <v>1936.65</v>
      </c>
      <c r="D368" s="247">
        <f t="shared" si="8"/>
        <v>-0.45034625645683146</v>
      </c>
      <c r="E368" s="248">
        <v>1.2706878970899773E-2</v>
      </c>
    </row>
    <row r="369" spans="2:5" ht="15" thickBot="1" x14ac:dyDescent="0.35">
      <c r="B369" s="170">
        <v>45061.645833333336</v>
      </c>
      <c r="C369" s="169">
        <v>3523.4</v>
      </c>
      <c r="D369" s="247">
        <f t="shared" si="8"/>
        <v>1.5316328363571043</v>
      </c>
      <c r="E369" s="248">
        <v>1.268951641876844E-2</v>
      </c>
    </row>
    <row r="370" spans="2:5" ht="15" thickBot="1" x14ac:dyDescent="0.35">
      <c r="B370" s="170">
        <v>43416.645833333336</v>
      </c>
      <c r="C370" s="169">
        <v>1391.75</v>
      </c>
      <c r="D370" s="247">
        <f t="shared" si="8"/>
        <v>-0.60754871274285882</v>
      </c>
      <c r="E370" s="248">
        <v>1.2660530432568189E-2</v>
      </c>
    </row>
    <row r="371" spans="2:5" ht="15" thickBot="1" x14ac:dyDescent="0.35">
      <c r="B371" s="170">
        <v>44956.645833333336</v>
      </c>
      <c r="C371" s="169">
        <v>3546.3</v>
      </c>
      <c r="D371" s="247">
        <f t="shared" si="8"/>
        <v>0.11129216740046693</v>
      </c>
      <c r="E371" s="248">
        <v>1.2563172772178282E-2</v>
      </c>
    </row>
    <row r="372" spans="2:5" ht="15" thickBot="1" x14ac:dyDescent="0.35">
      <c r="B372" s="170">
        <v>44263.645833333336</v>
      </c>
      <c r="C372" s="169">
        <v>3191.15</v>
      </c>
      <c r="D372" s="247">
        <f t="shared" si="8"/>
        <v>0.67761013563242567</v>
      </c>
      <c r="E372" s="248">
        <v>1.2468867490521498E-2</v>
      </c>
    </row>
    <row r="373" spans="2:5" ht="15" thickBot="1" x14ac:dyDescent="0.35">
      <c r="B373" s="170">
        <v>43733.645833333336</v>
      </c>
      <c r="C373" s="169">
        <v>1902.2</v>
      </c>
      <c r="D373" s="247">
        <f t="shared" si="8"/>
        <v>-0.51372769568996368</v>
      </c>
      <c r="E373" s="248">
        <v>1.245475835639775E-2</v>
      </c>
    </row>
    <row r="374" spans="2:5" ht="15" thickBot="1" x14ac:dyDescent="0.35">
      <c r="B374" s="170">
        <v>44938.645833333336</v>
      </c>
      <c r="C374" s="169">
        <v>3911.8</v>
      </c>
      <c r="D374" s="247">
        <f t="shared" si="8"/>
        <v>0.80875757155407613</v>
      </c>
      <c r="E374" s="248">
        <v>1.2449206718948252E-2</v>
      </c>
    </row>
    <row r="375" spans="2:5" ht="15" thickBot="1" x14ac:dyDescent="0.35">
      <c r="B375" s="170">
        <v>44088.645833333336</v>
      </c>
      <c r="C375" s="169">
        <v>2162.6999999999998</v>
      </c>
      <c r="D375" s="247">
        <f t="shared" si="8"/>
        <v>-0.4372145673133222</v>
      </c>
      <c r="E375" s="248">
        <v>1.2428902464714429E-2</v>
      </c>
    </row>
    <row r="376" spans="2:5" ht="15" thickBot="1" x14ac:dyDescent="0.35">
      <c r="B376" s="170">
        <v>45216.645833333336</v>
      </c>
      <c r="C376" s="169">
        <v>3842.85</v>
      </c>
      <c r="D376" s="247">
        <f t="shared" si="8"/>
        <v>1.723687008292579</v>
      </c>
      <c r="E376" s="248">
        <v>1.2355273383474518E-2</v>
      </c>
    </row>
    <row r="377" spans="2:5" ht="15" thickBot="1" x14ac:dyDescent="0.35">
      <c r="B377" s="170">
        <v>43426.645833333336</v>
      </c>
      <c r="C377" s="169">
        <v>1410.9</v>
      </c>
      <c r="D377" s="247">
        <f t="shared" si="8"/>
        <v>-0.56859147823693978</v>
      </c>
      <c r="E377" s="248">
        <v>1.2341249910310716E-2</v>
      </c>
    </row>
    <row r="378" spans="2:5" ht="15" thickBot="1" x14ac:dyDescent="0.35">
      <c r="B378" s="170">
        <v>44693.645833333336</v>
      </c>
      <c r="C378" s="169">
        <v>3270.45</v>
      </c>
      <c r="D378" s="247">
        <f t="shared" si="8"/>
        <v>5.201447527141128E-2</v>
      </c>
      <c r="E378" s="248">
        <v>1.2335169937472888E-2</v>
      </c>
    </row>
    <row r="379" spans="2:5" ht="15" thickBot="1" x14ac:dyDescent="0.35">
      <c r="B379" s="170">
        <v>44270.645833333336</v>
      </c>
      <c r="C379" s="169">
        <v>3108.75</v>
      </c>
      <c r="D379" s="247">
        <f t="shared" si="8"/>
        <v>0.28988423716858225</v>
      </c>
      <c r="E379" s="248">
        <v>1.2292412894822533E-2</v>
      </c>
    </row>
    <row r="380" spans="2:5" ht="15" thickBot="1" x14ac:dyDescent="0.35">
      <c r="B380" s="170">
        <v>44069.645833333336</v>
      </c>
      <c r="C380" s="169">
        <v>2410.1</v>
      </c>
      <c r="D380" s="247">
        <f t="shared" si="8"/>
        <v>-0.49078808366786397</v>
      </c>
      <c r="E380" s="248">
        <v>1.2285528277715943E-2</v>
      </c>
    </row>
    <row r="381" spans="2:5" ht="15" thickBot="1" x14ac:dyDescent="0.35">
      <c r="B381" s="170">
        <v>44496.645833333336</v>
      </c>
      <c r="C381" s="169">
        <v>4733</v>
      </c>
      <c r="D381" s="247">
        <f t="shared" si="8"/>
        <v>1.087689118256804</v>
      </c>
      <c r="E381" s="248">
        <v>1.2265674291275088E-2</v>
      </c>
    </row>
    <row r="382" spans="2:5" ht="15" thickBot="1" x14ac:dyDescent="0.35">
      <c r="B382" s="170">
        <v>44133.645833333336</v>
      </c>
      <c r="C382" s="169">
        <v>2267.1</v>
      </c>
      <c r="D382" s="247">
        <f t="shared" si="8"/>
        <v>-2.1599810111559536E-2</v>
      </c>
      <c r="E382" s="248">
        <v>1.2143399258895404E-2</v>
      </c>
    </row>
    <row r="383" spans="2:5" ht="15" thickBot="1" x14ac:dyDescent="0.35">
      <c r="B383" s="170">
        <v>44012.645833333336</v>
      </c>
      <c r="C383" s="169">
        <v>2317.15</v>
      </c>
      <c r="D383" s="247">
        <f t="shared" si="8"/>
        <v>-0.13278691592282779</v>
      </c>
      <c r="E383" s="248">
        <v>1.2143184746762261E-2</v>
      </c>
    </row>
    <row r="384" spans="2:5" ht="15" thickBot="1" x14ac:dyDescent="0.35">
      <c r="B384" s="170">
        <v>44179.645833333336</v>
      </c>
      <c r="C384" s="169">
        <v>2671.95</v>
      </c>
      <c r="D384" s="247">
        <f t="shared" si="8"/>
        <v>-0.34692705341757613</v>
      </c>
      <c r="E384" s="248">
        <v>1.2083104486657311E-2</v>
      </c>
    </row>
    <row r="385" spans="2:5" ht="15" thickBot="1" x14ac:dyDescent="0.35">
      <c r="B385" s="170">
        <v>44643.645833333336</v>
      </c>
      <c r="C385" s="169">
        <v>4091.35</v>
      </c>
      <c r="D385" s="247">
        <f t="shared" si="8"/>
        <v>0.79571190308988748</v>
      </c>
      <c r="E385" s="248">
        <v>1.1996487626303226E-2</v>
      </c>
    </row>
    <row r="386" spans="2:5" ht="15" thickBot="1" x14ac:dyDescent="0.35">
      <c r="B386" s="170">
        <v>44077.645833333336</v>
      </c>
      <c r="C386" s="169">
        <v>2278.4</v>
      </c>
      <c r="D386" s="247">
        <f t="shared" si="8"/>
        <v>-0.32827218184766421</v>
      </c>
      <c r="E386" s="248">
        <v>1.1970063736703136E-2</v>
      </c>
    </row>
    <row r="387" spans="2:5" ht="15" thickBot="1" x14ac:dyDescent="0.35">
      <c r="B387" s="170">
        <v>44995.645833333336</v>
      </c>
      <c r="C387" s="169">
        <v>3391.85</v>
      </c>
      <c r="D387" s="247">
        <f t="shared" si="8"/>
        <v>0.44202112960482953</v>
      </c>
      <c r="E387" s="248">
        <v>1.1963899455508289E-2</v>
      </c>
    </row>
    <row r="388" spans="2:5" ht="15" thickBot="1" x14ac:dyDescent="0.35">
      <c r="B388" s="170">
        <v>43964.645833333336</v>
      </c>
      <c r="C388" s="169">
        <v>2352.15</v>
      </c>
      <c r="D388" s="247">
        <f t="shared" si="8"/>
        <v>0.27539650264335103</v>
      </c>
      <c r="E388" s="248">
        <v>1.1938564790913785E-2</v>
      </c>
    </row>
    <row r="389" spans="2:5" ht="15" thickBot="1" x14ac:dyDescent="0.35">
      <c r="B389" s="170">
        <v>43797.645833333336</v>
      </c>
      <c r="C389" s="169">
        <v>1844.25</v>
      </c>
      <c r="D389" s="247">
        <f t="shared" ref="D389:D452" si="9">(C389-C390)/C390</f>
        <v>-0.53859144358268707</v>
      </c>
      <c r="E389" s="248">
        <v>1.1934156378600824E-2</v>
      </c>
    </row>
    <row r="390" spans="2:5" ht="15" thickBot="1" x14ac:dyDescent="0.35">
      <c r="B390" s="170">
        <v>45863.645833333336</v>
      </c>
      <c r="C390" s="168">
        <v>3997</v>
      </c>
      <c r="D390" s="247">
        <f t="shared" si="9"/>
        <v>7.3769611003653535E-2</v>
      </c>
      <c r="E390" s="248">
        <v>1.1924352515253528E-2</v>
      </c>
    </row>
    <row r="391" spans="2:5" ht="15" thickBot="1" x14ac:dyDescent="0.35">
      <c r="B391" s="170">
        <v>45336.645833333336</v>
      </c>
      <c r="C391" s="169">
        <v>3722.4</v>
      </c>
      <c r="D391" s="247">
        <f t="shared" si="9"/>
        <v>1.7859147550798935</v>
      </c>
      <c r="E391" s="248">
        <v>1.1906703637253352E-2</v>
      </c>
    </row>
    <row r="392" spans="2:5" ht="15" thickBot="1" x14ac:dyDescent="0.35">
      <c r="B392" s="170">
        <v>43636.645833333336</v>
      </c>
      <c r="C392" s="169">
        <v>1336.15</v>
      </c>
      <c r="D392" s="247">
        <f t="shared" si="9"/>
        <v>-8.010327022375209E-2</v>
      </c>
      <c r="E392" s="248">
        <v>1.1889886023704074E-2</v>
      </c>
    </row>
    <row r="393" spans="2:5" ht="15" thickBot="1" x14ac:dyDescent="0.35">
      <c r="B393" s="170">
        <v>43278.645833333336</v>
      </c>
      <c r="C393" s="169">
        <v>1452.5</v>
      </c>
      <c r="D393" s="247">
        <f t="shared" si="9"/>
        <v>-0.6094590234459023</v>
      </c>
      <c r="E393" s="248">
        <v>1.1877808352781325E-2</v>
      </c>
    </row>
    <row r="394" spans="2:5" ht="15" thickBot="1" x14ac:dyDescent="0.35">
      <c r="B394" s="170">
        <v>45331.645833333336</v>
      </c>
      <c r="C394" s="169">
        <v>3719.2</v>
      </c>
      <c r="D394" s="247">
        <f t="shared" si="9"/>
        <v>-5.1599495097601804E-2</v>
      </c>
      <c r="E394" s="248">
        <v>1.1862008923713111E-2</v>
      </c>
    </row>
    <row r="395" spans="2:5" ht="15" thickBot="1" x14ac:dyDescent="0.35">
      <c r="B395" s="170">
        <v>44917.645833333336</v>
      </c>
      <c r="C395" s="169">
        <v>3921.55</v>
      </c>
      <c r="D395" s="247">
        <f t="shared" si="9"/>
        <v>0.58712588785235864</v>
      </c>
      <c r="E395" s="248">
        <v>1.1856228712973546E-2</v>
      </c>
    </row>
    <row r="396" spans="2:5" ht="15" thickBot="1" x14ac:dyDescent="0.35">
      <c r="B396" s="170">
        <v>44168.645833333336</v>
      </c>
      <c r="C396" s="169">
        <v>2470.85</v>
      </c>
      <c r="D396" s="247">
        <f t="shared" si="9"/>
        <v>-0.49177242528333709</v>
      </c>
      <c r="E396" s="248">
        <v>1.1855522339162053E-2</v>
      </c>
    </row>
    <row r="397" spans="2:5" ht="15" thickBot="1" x14ac:dyDescent="0.35">
      <c r="B397" s="170">
        <v>45463.645833333336</v>
      </c>
      <c r="C397" s="169">
        <v>4861.7</v>
      </c>
      <c r="D397" s="247">
        <f t="shared" si="9"/>
        <v>1.0831690804696201</v>
      </c>
      <c r="E397" s="248">
        <v>1.183179495717857E-2</v>
      </c>
    </row>
    <row r="398" spans="2:5" ht="15" thickBot="1" x14ac:dyDescent="0.35">
      <c r="B398" s="170">
        <v>43966.645833333336</v>
      </c>
      <c r="C398" s="169">
        <v>2333.8000000000002</v>
      </c>
      <c r="D398" s="247">
        <f t="shared" si="9"/>
        <v>-0.42460552268244572</v>
      </c>
      <c r="E398" s="248">
        <v>1.1814181353103118E-2</v>
      </c>
    </row>
    <row r="399" spans="2:5" ht="15" thickBot="1" x14ac:dyDescent="0.35">
      <c r="B399" s="170">
        <v>44669.645833333336</v>
      </c>
      <c r="C399" s="169">
        <v>4056</v>
      </c>
      <c r="D399" s="247">
        <f t="shared" si="9"/>
        <v>1.2515821028089262</v>
      </c>
      <c r="E399" s="248">
        <v>1.174885878919402E-2</v>
      </c>
    </row>
    <row r="400" spans="2:5" ht="15" thickBot="1" x14ac:dyDescent="0.35">
      <c r="B400" s="170">
        <v>43805.645833333336</v>
      </c>
      <c r="C400" s="169">
        <v>1801.4</v>
      </c>
      <c r="D400" s="247">
        <f t="shared" si="9"/>
        <v>-0.21195152893827376</v>
      </c>
      <c r="E400" s="248">
        <v>1.1709864929375832E-2</v>
      </c>
    </row>
    <row r="401" spans="2:5" ht="15" thickBot="1" x14ac:dyDescent="0.35">
      <c r="B401" s="170">
        <v>44063.645833333336</v>
      </c>
      <c r="C401" s="169">
        <v>2285.9</v>
      </c>
      <c r="D401" s="247">
        <f t="shared" si="9"/>
        <v>0.71478939274595865</v>
      </c>
      <c r="E401" s="248">
        <v>1.1706388722919417E-2</v>
      </c>
    </row>
    <row r="402" spans="2:5" ht="15" thickBot="1" x14ac:dyDescent="0.35">
      <c r="B402" s="170">
        <v>43620.645833333336</v>
      </c>
      <c r="C402" s="169">
        <v>1333.05</v>
      </c>
      <c r="D402" s="247">
        <f t="shared" si="9"/>
        <v>-0.62449824650357033</v>
      </c>
      <c r="E402" s="248">
        <v>1.1687473911888485E-2</v>
      </c>
    </row>
    <row r="403" spans="2:5" ht="15" thickBot="1" x14ac:dyDescent="0.35">
      <c r="B403" s="170">
        <v>45149.645833333336</v>
      </c>
      <c r="C403" s="169">
        <v>3550.05</v>
      </c>
      <c r="D403" s="247">
        <f t="shared" si="9"/>
        <v>-0.33006548281783699</v>
      </c>
      <c r="E403" s="248">
        <v>1.1612002393639756E-2</v>
      </c>
    </row>
    <row r="404" spans="2:5" ht="15" thickBot="1" x14ac:dyDescent="0.35">
      <c r="B404" s="170">
        <v>45546.645833333336</v>
      </c>
      <c r="C404" s="169">
        <v>5299.1</v>
      </c>
      <c r="D404" s="247">
        <f t="shared" si="9"/>
        <v>0.4208988040971739</v>
      </c>
      <c r="E404" s="248">
        <v>1.1558541962947796E-2</v>
      </c>
    </row>
    <row r="405" spans="2:5" ht="15" thickBot="1" x14ac:dyDescent="0.35">
      <c r="B405" s="170">
        <v>45189.645833333336</v>
      </c>
      <c r="C405" s="169">
        <v>3729.4</v>
      </c>
      <c r="D405" s="247">
        <f t="shared" si="9"/>
        <v>8.2475872578187392E-2</v>
      </c>
      <c r="E405" s="248">
        <v>1.1513581686760133E-2</v>
      </c>
    </row>
    <row r="406" spans="2:5" ht="15" thickBot="1" x14ac:dyDescent="0.35">
      <c r="B406" s="170">
        <v>44741.645833333336</v>
      </c>
      <c r="C406" s="169">
        <v>3445.25</v>
      </c>
      <c r="D406" s="247">
        <f t="shared" si="9"/>
        <v>1.4248662725225225</v>
      </c>
      <c r="E406" s="248">
        <v>1.1494084143154955E-2</v>
      </c>
    </row>
    <row r="407" spans="2:5" ht="15" thickBot="1" x14ac:dyDescent="0.35">
      <c r="B407" s="170">
        <v>43369.645833333336</v>
      </c>
      <c r="C407" s="169">
        <v>1420.8</v>
      </c>
      <c r="D407" s="247">
        <f t="shared" si="9"/>
        <v>-0.67016818915185772</v>
      </c>
      <c r="E407" s="248">
        <v>1.142552055525891E-2</v>
      </c>
    </row>
    <row r="408" spans="2:5" ht="15" thickBot="1" x14ac:dyDescent="0.35">
      <c r="B408" s="170">
        <v>44774.645833333336</v>
      </c>
      <c r="C408" s="169">
        <v>4307.6499999999996</v>
      </c>
      <c r="D408" s="247">
        <f t="shared" si="9"/>
        <v>5.4982060419039108E-2</v>
      </c>
      <c r="E408" s="248">
        <v>1.1399121880209261E-2</v>
      </c>
    </row>
    <row r="409" spans="2:5" ht="15" thickBot="1" x14ac:dyDescent="0.35">
      <c r="B409" s="170">
        <v>44902.645833333336</v>
      </c>
      <c r="C409" s="169">
        <v>4083.15</v>
      </c>
      <c r="D409" s="247">
        <f t="shared" si="9"/>
        <v>2.0327552270954805</v>
      </c>
      <c r="E409" s="248">
        <v>1.1381650648964696E-2</v>
      </c>
    </row>
    <row r="410" spans="2:5" ht="15" thickBot="1" x14ac:dyDescent="0.35">
      <c r="B410" s="170">
        <v>43377.645833333336</v>
      </c>
      <c r="C410" s="169">
        <v>1346.35</v>
      </c>
      <c r="D410" s="247">
        <f t="shared" si="9"/>
        <v>-0.62296619899745165</v>
      </c>
      <c r="E410" s="248">
        <v>1.1380709134615282E-2</v>
      </c>
    </row>
    <row r="411" spans="2:5" ht="15" thickBot="1" x14ac:dyDescent="0.35">
      <c r="B411" s="170">
        <v>45712.645833333336</v>
      </c>
      <c r="C411" s="169">
        <v>3570.9</v>
      </c>
      <c r="D411" s="247">
        <f t="shared" si="9"/>
        <v>-3.2223968778795624E-2</v>
      </c>
      <c r="E411" s="248">
        <v>1.137152163138146E-2</v>
      </c>
    </row>
    <row r="412" spans="2:5" ht="15" thickBot="1" x14ac:dyDescent="0.35">
      <c r="B412" s="170">
        <v>44943.645833333336</v>
      </c>
      <c r="C412" s="169">
        <v>3689.8</v>
      </c>
      <c r="D412" s="247">
        <f t="shared" si="9"/>
        <v>-3.6177937988140951E-2</v>
      </c>
      <c r="E412" s="248">
        <v>1.1292002411884085E-2</v>
      </c>
    </row>
    <row r="413" spans="2:5" ht="15" thickBot="1" x14ac:dyDescent="0.35">
      <c r="B413" s="170">
        <v>45307.645833333336</v>
      </c>
      <c r="C413" s="169">
        <v>3828.3</v>
      </c>
      <c r="D413" s="247">
        <f t="shared" si="9"/>
        <v>-6.9773657801698391E-2</v>
      </c>
      <c r="E413" s="248">
        <v>1.105256902903785E-2</v>
      </c>
    </row>
    <row r="414" spans="2:5" ht="15" thickBot="1" x14ac:dyDescent="0.35">
      <c r="B414" s="170">
        <v>45267.645833333336</v>
      </c>
      <c r="C414" s="169">
        <v>4115.45</v>
      </c>
      <c r="D414" s="247">
        <f t="shared" si="9"/>
        <v>-0.18964074391312488</v>
      </c>
      <c r="E414" s="248">
        <v>1.1005613354132564E-2</v>
      </c>
    </row>
    <row r="415" spans="2:5" ht="15" thickBot="1" x14ac:dyDescent="0.35">
      <c r="B415" s="170">
        <v>44512.645833333336</v>
      </c>
      <c r="C415" s="169">
        <v>5078.55</v>
      </c>
      <c r="D415" s="247">
        <f t="shared" si="9"/>
        <v>0.23916942184049672</v>
      </c>
      <c r="E415" s="248">
        <v>1.0998745844365257E-2</v>
      </c>
    </row>
    <row r="416" spans="2:5" ht="15" thickBot="1" x14ac:dyDescent="0.35">
      <c r="B416" s="170">
        <v>44879.645833333336</v>
      </c>
      <c r="C416" s="169">
        <v>4098.3500000000004</v>
      </c>
      <c r="D416" s="247">
        <f t="shared" si="9"/>
        <v>7.5978944328489631E-2</v>
      </c>
      <c r="E416" s="248">
        <v>1.0989688687157773E-2</v>
      </c>
    </row>
    <row r="417" spans="2:5" ht="15" thickBot="1" x14ac:dyDescent="0.35">
      <c r="B417" s="170">
        <v>45114.645833333336</v>
      </c>
      <c r="C417" s="169">
        <v>3808.95</v>
      </c>
      <c r="D417" s="247">
        <f t="shared" si="9"/>
        <v>0.95180630284396606</v>
      </c>
      <c r="E417" s="248">
        <v>1.0948323911139422E-2</v>
      </c>
    </row>
    <row r="418" spans="2:5" ht="15" thickBot="1" x14ac:dyDescent="0.35">
      <c r="B418" s="170">
        <v>43857.645833333336</v>
      </c>
      <c r="C418" s="169">
        <v>1951.5</v>
      </c>
      <c r="D418" s="247">
        <f t="shared" si="9"/>
        <v>0.29011998810035361</v>
      </c>
      <c r="E418" s="248">
        <v>1.0904193322800359E-2</v>
      </c>
    </row>
    <row r="419" spans="2:5" ht="15" thickBot="1" x14ac:dyDescent="0.35">
      <c r="B419" s="170">
        <v>43502.645833333336</v>
      </c>
      <c r="C419" s="169">
        <v>1512.65</v>
      </c>
      <c r="D419" s="247">
        <f t="shared" si="9"/>
        <v>-0.63448434177459878</v>
      </c>
      <c r="E419" s="248">
        <v>1.0893173388578998E-2</v>
      </c>
    </row>
    <row r="420" spans="2:5" ht="15" thickBot="1" x14ac:dyDescent="0.35">
      <c r="B420" s="170">
        <v>45803.645833333336</v>
      </c>
      <c r="C420" s="168">
        <v>4138.3999999999996</v>
      </c>
      <c r="D420" s="247">
        <f t="shared" si="9"/>
        <v>1.8185935637663884</v>
      </c>
      <c r="E420" s="248">
        <v>1.0845139228138651E-2</v>
      </c>
    </row>
    <row r="421" spans="2:5" ht="15" thickBot="1" x14ac:dyDescent="0.35">
      <c r="B421" s="170">
        <v>43277.645833333336</v>
      </c>
      <c r="C421" s="169">
        <v>1468.25</v>
      </c>
      <c r="D421" s="247">
        <f t="shared" si="9"/>
        <v>3.5765934182215825E-2</v>
      </c>
      <c r="E421" s="248">
        <v>1.0843373493975903E-2</v>
      </c>
    </row>
    <row r="422" spans="2:5" ht="15" thickBot="1" x14ac:dyDescent="0.35">
      <c r="B422" s="170">
        <v>43668.645833333336</v>
      </c>
      <c r="C422" s="169">
        <v>1417.55</v>
      </c>
      <c r="D422" s="247">
        <f t="shared" si="9"/>
        <v>-4.7889310541693222E-2</v>
      </c>
      <c r="E422" s="248">
        <v>1.0838948907191533E-2</v>
      </c>
    </row>
    <row r="423" spans="2:5" ht="15" thickBot="1" x14ac:dyDescent="0.35">
      <c r="B423" s="170">
        <v>43200.645833333336</v>
      </c>
      <c r="C423" s="169">
        <v>1488.85</v>
      </c>
      <c r="D423" s="247">
        <f t="shared" si="9"/>
        <v>-0.33728745660108611</v>
      </c>
      <c r="E423" s="248">
        <v>1.0760353021045424E-2</v>
      </c>
    </row>
    <row r="424" spans="2:5" ht="15" thickBot="1" x14ac:dyDescent="0.35">
      <c r="B424" s="170">
        <v>44082.645833333336</v>
      </c>
      <c r="C424" s="169">
        <v>2246.6</v>
      </c>
      <c r="D424" s="247">
        <f t="shared" si="9"/>
        <v>2.1669433138543439E-2</v>
      </c>
      <c r="E424" s="248">
        <v>1.0752688172043053E-2</v>
      </c>
    </row>
    <row r="425" spans="2:5" ht="15" thickBot="1" x14ac:dyDescent="0.35">
      <c r="B425" s="170">
        <v>43956.645833333336</v>
      </c>
      <c r="C425" s="169">
        <v>2198.9499999999998</v>
      </c>
      <c r="D425" s="247">
        <f t="shared" si="9"/>
        <v>-0.40920997837213369</v>
      </c>
      <c r="E425" s="248">
        <v>1.073267144695712E-2</v>
      </c>
    </row>
    <row r="426" spans="2:5" ht="15" thickBot="1" x14ac:dyDescent="0.35">
      <c r="B426" s="170">
        <v>45698.645833333336</v>
      </c>
      <c r="C426" s="169">
        <v>3722.05</v>
      </c>
      <c r="D426" s="247">
        <f t="shared" si="9"/>
        <v>1.2312441926685249</v>
      </c>
      <c r="E426" s="248">
        <v>1.0685095174736026E-2</v>
      </c>
    </row>
    <row r="427" spans="2:5" ht="15" thickBot="1" x14ac:dyDescent="0.35">
      <c r="B427" s="170">
        <v>43452.645833333336</v>
      </c>
      <c r="C427" s="169">
        <v>1668.15</v>
      </c>
      <c r="D427" s="247">
        <f t="shared" si="9"/>
        <v>0.12276627965673909</v>
      </c>
      <c r="E427" s="248">
        <v>1.0632497273718759E-2</v>
      </c>
    </row>
    <row r="428" spans="2:5" ht="15" thickBot="1" x14ac:dyDescent="0.35">
      <c r="B428" s="170">
        <v>43699.645833333336</v>
      </c>
      <c r="C428" s="169">
        <v>1485.75</v>
      </c>
      <c r="D428" s="247">
        <f t="shared" si="9"/>
        <v>-0.49224223368989439</v>
      </c>
      <c r="E428" s="248">
        <v>1.0576792273160083E-2</v>
      </c>
    </row>
    <row r="429" spans="2:5" ht="15" thickBot="1" x14ac:dyDescent="0.35">
      <c r="B429" s="170">
        <v>44209.645833333336</v>
      </c>
      <c r="C429" s="169">
        <v>2926.1</v>
      </c>
      <c r="D429" s="247">
        <f t="shared" si="9"/>
        <v>-0.3946459234127066</v>
      </c>
      <c r="E429" s="248">
        <v>1.0550672583792275E-2</v>
      </c>
    </row>
    <row r="430" spans="2:5" ht="15" thickBot="1" x14ac:dyDescent="0.35">
      <c r="B430" s="170">
        <v>45467.645833333336</v>
      </c>
      <c r="C430" s="169">
        <v>4833.7</v>
      </c>
      <c r="D430" s="247">
        <f t="shared" si="9"/>
        <v>0.11366594859861519</v>
      </c>
      <c r="E430" s="248">
        <v>1.0526095727889335E-2</v>
      </c>
    </row>
    <row r="431" spans="2:5" ht="15" thickBot="1" x14ac:dyDescent="0.35">
      <c r="B431" s="170">
        <v>44620.645833333336</v>
      </c>
      <c r="C431" s="169">
        <v>4340.3500000000004</v>
      </c>
      <c r="D431" s="247">
        <f t="shared" si="9"/>
        <v>6.5012023359670282E-2</v>
      </c>
      <c r="E431" s="248">
        <v>1.0523497433151516E-2</v>
      </c>
    </row>
    <row r="432" spans="2:5" ht="15" thickBot="1" x14ac:dyDescent="0.35">
      <c r="B432" s="170">
        <v>45272.645833333336</v>
      </c>
      <c r="C432" s="169">
        <v>4075.4</v>
      </c>
      <c r="D432" s="247">
        <f t="shared" si="9"/>
        <v>5.3283339089249364E-3</v>
      </c>
      <c r="E432" s="248">
        <v>1.050073765512451E-2</v>
      </c>
    </row>
    <row r="433" spans="2:5" ht="15" thickBot="1" x14ac:dyDescent="0.35">
      <c r="B433" s="170">
        <v>44880.645833333336</v>
      </c>
      <c r="C433" s="169">
        <v>4053.8</v>
      </c>
      <c r="D433" s="247">
        <f t="shared" si="9"/>
        <v>2.6282108654792804</v>
      </c>
      <c r="E433" s="248">
        <v>1.0494304160331123E-2</v>
      </c>
    </row>
    <row r="434" spans="2:5" ht="15" thickBot="1" x14ac:dyDescent="0.35">
      <c r="B434" s="170">
        <v>43136.645833333336</v>
      </c>
      <c r="C434" s="169">
        <v>1117.3</v>
      </c>
      <c r="D434" s="247">
        <f t="shared" si="9"/>
        <v>-0.61955189321710713</v>
      </c>
      <c r="E434" s="248">
        <v>1.0491091616170669E-2</v>
      </c>
    </row>
    <row r="435" spans="2:5" ht="15" thickBot="1" x14ac:dyDescent="0.35">
      <c r="B435" s="170">
        <v>44314.645833333336</v>
      </c>
      <c r="C435" s="169">
        <v>2936.8</v>
      </c>
      <c r="D435" s="247">
        <f t="shared" si="9"/>
        <v>-0.16270848182466138</v>
      </c>
      <c r="E435" s="248">
        <v>1.0477058853888993E-2</v>
      </c>
    </row>
    <row r="436" spans="2:5" ht="15" thickBot="1" x14ac:dyDescent="0.35">
      <c r="B436" s="170">
        <v>45076.645833333336</v>
      </c>
      <c r="C436" s="169">
        <v>3507.5</v>
      </c>
      <c r="D436" s="247">
        <f t="shared" si="9"/>
        <v>0.5647305496074233</v>
      </c>
      <c r="E436" s="248">
        <v>1.0442924018725243E-2</v>
      </c>
    </row>
    <row r="437" spans="2:5" ht="15" thickBot="1" x14ac:dyDescent="0.35">
      <c r="B437" s="170">
        <v>44075.645833333336</v>
      </c>
      <c r="C437" s="169">
        <v>2241.6</v>
      </c>
      <c r="D437" s="247">
        <f t="shared" si="9"/>
        <v>-0.45531418574136168</v>
      </c>
      <c r="E437" s="248">
        <v>1.0435213775383756E-2</v>
      </c>
    </row>
    <row r="438" spans="2:5" ht="15" thickBot="1" x14ac:dyDescent="0.35">
      <c r="B438" s="170">
        <v>44609.645833333336</v>
      </c>
      <c r="C438" s="169">
        <v>4115.3999999999996</v>
      </c>
      <c r="D438" s="247">
        <f t="shared" si="9"/>
        <v>1.7945261387387543E-2</v>
      </c>
      <c r="E438" s="248">
        <v>1.0385210282094652E-2</v>
      </c>
    </row>
    <row r="439" spans="2:5" ht="15" thickBot="1" x14ac:dyDescent="0.35">
      <c r="B439" s="170">
        <v>44644.645833333336</v>
      </c>
      <c r="C439" s="169">
        <v>4042.85</v>
      </c>
      <c r="D439" s="247">
        <f t="shared" si="9"/>
        <v>0.89059577254021682</v>
      </c>
      <c r="E439" s="248">
        <v>1.0384125159323151E-2</v>
      </c>
    </row>
    <row r="440" spans="2:5" ht="15" thickBot="1" x14ac:dyDescent="0.35">
      <c r="B440" s="170">
        <v>44050.645833333336</v>
      </c>
      <c r="C440" s="169">
        <v>2138.4</v>
      </c>
      <c r="D440" s="247">
        <f t="shared" si="9"/>
        <v>0.3467691144980477</v>
      </c>
      <c r="E440" s="248">
        <v>1.0347271438696003E-2</v>
      </c>
    </row>
    <row r="441" spans="2:5" ht="15" thickBot="1" x14ac:dyDescent="0.35">
      <c r="B441" s="170">
        <v>43475.645833333336</v>
      </c>
      <c r="C441" s="169">
        <v>1587.8</v>
      </c>
      <c r="D441" s="247">
        <f t="shared" si="9"/>
        <v>0.25771317675947553</v>
      </c>
      <c r="E441" s="248">
        <v>1.0275824770145938E-2</v>
      </c>
    </row>
    <row r="442" spans="2:5" ht="15" thickBot="1" x14ac:dyDescent="0.35">
      <c r="B442" s="170">
        <v>43588.645833333336</v>
      </c>
      <c r="C442" s="169">
        <v>1262.45</v>
      </c>
      <c r="D442" s="247">
        <f t="shared" si="9"/>
        <v>9.7580483903219727E-3</v>
      </c>
      <c r="E442" s="248">
        <v>1.0242868003040815E-2</v>
      </c>
    </row>
    <row r="443" spans="2:5" ht="15" thickBot="1" x14ac:dyDescent="0.35">
      <c r="B443" s="170">
        <v>43599.645833333336</v>
      </c>
      <c r="C443" s="169">
        <v>1250.25</v>
      </c>
      <c r="D443" s="247">
        <f t="shared" si="9"/>
        <v>-0.52858112439199123</v>
      </c>
      <c r="E443" s="248">
        <v>1.022139625080809E-2</v>
      </c>
    </row>
    <row r="444" spans="2:5" ht="15" thickBot="1" x14ac:dyDescent="0.35">
      <c r="B444" s="170">
        <v>44173.645833333336</v>
      </c>
      <c r="C444" s="169">
        <v>2652.1</v>
      </c>
      <c r="D444" s="247">
        <f t="shared" si="9"/>
        <v>0.77695142378559456</v>
      </c>
      <c r="E444" s="248">
        <v>1.0208357140136261E-2</v>
      </c>
    </row>
    <row r="445" spans="2:5" ht="15" thickBot="1" x14ac:dyDescent="0.35">
      <c r="B445" s="170">
        <v>43434.645833333336</v>
      </c>
      <c r="C445" s="169">
        <v>1492.5</v>
      </c>
      <c r="D445" s="247">
        <f t="shared" si="9"/>
        <v>-0.63554893533893342</v>
      </c>
      <c r="E445" s="248">
        <v>1.0186469931300521E-2</v>
      </c>
    </row>
    <row r="446" spans="2:5" ht="15" thickBot="1" x14ac:dyDescent="0.35">
      <c r="B446" s="170">
        <v>44641.645833333336</v>
      </c>
      <c r="C446" s="169">
        <v>4095.2</v>
      </c>
      <c r="D446" s="247">
        <f t="shared" si="9"/>
        <v>8.0370922425505434E-2</v>
      </c>
      <c r="E446" s="248">
        <v>1.0162802170695564E-2</v>
      </c>
    </row>
    <row r="447" spans="2:5" ht="15" thickBot="1" x14ac:dyDescent="0.35">
      <c r="B447" s="170">
        <v>45614.645833333336</v>
      </c>
      <c r="C447" s="169">
        <v>3790.55</v>
      </c>
      <c r="D447" s="247">
        <f t="shared" si="9"/>
        <v>-6.6182991722506815E-2</v>
      </c>
      <c r="E447" s="248">
        <v>1.0153366467241499E-2</v>
      </c>
    </row>
    <row r="448" spans="2:5" ht="15" thickBot="1" x14ac:dyDescent="0.35">
      <c r="B448" s="170">
        <v>45779.645833333336</v>
      </c>
      <c r="C448" s="168">
        <v>4059.2</v>
      </c>
      <c r="D448" s="247">
        <f t="shared" si="9"/>
        <v>9.3078051998761194E-2</v>
      </c>
      <c r="E448" s="248">
        <v>1.0153294843718824E-2</v>
      </c>
    </row>
    <row r="449" spans="2:5" ht="15" thickBot="1" x14ac:dyDescent="0.35">
      <c r="B449" s="170">
        <v>45124.645833333336</v>
      </c>
      <c r="C449" s="169">
        <v>3713.55</v>
      </c>
      <c r="D449" s="247">
        <f t="shared" si="9"/>
        <v>6.7127401255765273E-2</v>
      </c>
      <c r="E449" s="248">
        <v>1.0077519379845011E-2</v>
      </c>
    </row>
    <row r="450" spans="2:5" ht="15" thickBot="1" x14ac:dyDescent="0.35">
      <c r="B450" s="170">
        <v>44740.645833333336</v>
      </c>
      <c r="C450" s="169">
        <v>3479.95</v>
      </c>
      <c r="D450" s="247">
        <f t="shared" si="9"/>
        <v>-0.13911634465527059</v>
      </c>
      <c r="E450" s="248">
        <v>1.0071838037878185E-2</v>
      </c>
    </row>
    <row r="451" spans="2:5" ht="15" thickBot="1" x14ac:dyDescent="0.35">
      <c r="B451" s="170">
        <v>45806.645833333336</v>
      </c>
      <c r="C451" s="168">
        <v>4042.3</v>
      </c>
      <c r="D451" s="247">
        <f t="shared" si="9"/>
        <v>6.7569887361512856E-2</v>
      </c>
      <c r="E451" s="248">
        <v>1.0044726518577815E-2</v>
      </c>
    </row>
    <row r="452" spans="2:5" ht="15" thickBot="1" x14ac:dyDescent="0.35">
      <c r="B452" s="170">
        <v>45308.645833333336</v>
      </c>
      <c r="C452" s="169">
        <v>3786.45</v>
      </c>
      <c r="D452" s="247">
        <f t="shared" si="9"/>
        <v>1.7577931536780771</v>
      </c>
      <c r="E452" s="248">
        <v>1.0029742454352644E-2</v>
      </c>
    </row>
    <row r="453" spans="2:5" ht="15" thickBot="1" x14ac:dyDescent="0.35">
      <c r="B453" s="170">
        <v>43657.645833333336</v>
      </c>
      <c r="C453" s="169">
        <v>1373</v>
      </c>
      <c r="D453" s="247">
        <f t="shared" ref="D453:D516" si="10">(C453-C454)/C454</f>
        <v>-0.14542681978028824</v>
      </c>
      <c r="E453" s="248">
        <v>1.0004413711931667E-2</v>
      </c>
    </row>
    <row r="454" spans="2:5" ht="15" thickBot="1" x14ac:dyDescent="0.35">
      <c r="B454" s="170">
        <v>43465.645833333336</v>
      </c>
      <c r="C454" s="169">
        <v>1606.65</v>
      </c>
      <c r="D454" s="247">
        <f t="shared" si="10"/>
        <v>-0.63090123825495636</v>
      </c>
      <c r="E454" s="248">
        <v>9.9952852428100529E-3</v>
      </c>
    </row>
    <row r="455" spans="2:5" ht="15" thickBot="1" x14ac:dyDescent="0.35">
      <c r="B455" s="170">
        <v>44846.645833333336</v>
      </c>
      <c r="C455" s="169">
        <v>4352.8999999999996</v>
      </c>
      <c r="D455" s="247">
        <f t="shared" si="10"/>
        <v>8.0432381448800466E-2</v>
      </c>
      <c r="E455" s="248">
        <v>9.9653128226545127E-3</v>
      </c>
    </row>
    <row r="456" spans="2:5" ht="15" thickBot="1" x14ac:dyDescent="0.35">
      <c r="B456" s="170">
        <v>44673.645833333336</v>
      </c>
      <c r="C456" s="169">
        <v>4028.85</v>
      </c>
      <c r="D456" s="247">
        <f t="shared" si="10"/>
        <v>-8.2663539698080504E-2</v>
      </c>
      <c r="E456" s="248">
        <v>9.9393362077609786E-3</v>
      </c>
    </row>
    <row r="457" spans="2:5" ht="15" thickBot="1" x14ac:dyDescent="0.35">
      <c r="B457" s="170">
        <v>45840.645833333336</v>
      </c>
      <c r="C457" s="168">
        <v>4391.8999999999996</v>
      </c>
      <c r="D457" s="247">
        <f t="shared" si="10"/>
        <v>-0.16161915033740262</v>
      </c>
      <c r="E457" s="248">
        <v>9.9340032653436241E-3</v>
      </c>
    </row>
    <row r="458" spans="2:5" ht="15" thickBot="1" x14ac:dyDescent="0.35">
      <c r="B458" s="170">
        <v>45547.645833333336</v>
      </c>
      <c r="C458" s="169">
        <v>5238.55</v>
      </c>
      <c r="D458" s="247">
        <f t="shared" si="10"/>
        <v>0.46978943086009289</v>
      </c>
      <c r="E458" s="248">
        <v>9.9285721170993147E-3</v>
      </c>
    </row>
    <row r="459" spans="2:5" ht="15" thickBot="1" x14ac:dyDescent="0.35">
      <c r="B459" s="170">
        <v>44413.645833333336</v>
      </c>
      <c r="C459" s="169">
        <v>3564.15</v>
      </c>
      <c r="D459" s="247">
        <f t="shared" si="10"/>
        <v>-3.3699792595805751E-2</v>
      </c>
      <c r="E459" s="248">
        <v>9.9030941856512161E-3</v>
      </c>
    </row>
    <row r="460" spans="2:5" ht="15" thickBot="1" x14ac:dyDescent="0.35">
      <c r="B460" s="170">
        <v>45638.645833333336</v>
      </c>
      <c r="C460" s="169">
        <v>3688.45</v>
      </c>
      <c r="D460" s="247">
        <f t="shared" si="10"/>
        <v>-6.6026030588473617E-2</v>
      </c>
      <c r="E460" s="248">
        <v>9.8978725734467695E-3</v>
      </c>
    </row>
    <row r="461" spans="2:5" ht="15" thickBot="1" x14ac:dyDescent="0.35">
      <c r="B461" s="170">
        <v>44882.645833333336</v>
      </c>
      <c r="C461" s="169">
        <v>3949.2</v>
      </c>
      <c r="D461" s="247">
        <f t="shared" si="10"/>
        <v>1.6747550944221961E-2</v>
      </c>
      <c r="E461" s="248">
        <v>9.8706080908300287E-3</v>
      </c>
    </row>
    <row r="462" spans="2:5" ht="15" thickBot="1" x14ac:dyDescent="0.35">
      <c r="B462" s="170">
        <v>45352.645833333336</v>
      </c>
      <c r="C462" s="169">
        <v>3884.15</v>
      </c>
      <c r="D462" s="247">
        <f t="shared" si="10"/>
        <v>-0.17686887417218541</v>
      </c>
      <c r="E462" s="248">
        <v>9.8274987975613716E-3</v>
      </c>
    </row>
    <row r="463" spans="2:5" ht="15" thickBot="1" x14ac:dyDescent="0.35">
      <c r="B463" s="170">
        <v>44526.645833333336</v>
      </c>
      <c r="C463" s="169">
        <v>4718.75</v>
      </c>
      <c r="D463" s="247">
        <f t="shared" si="10"/>
        <v>0.22336150575547034</v>
      </c>
      <c r="E463" s="248">
        <v>9.7146586495767771E-3</v>
      </c>
    </row>
    <row r="464" spans="2:5" ht="15" thickBot="1" x14ac:dyDescent="0.35">
      <c r="B464" s="170">
        <v>45111.645833333336</v>
      </c>
      <c r="C464" s="169">
        <v>3857.2</v>
      </c>
      <c r="D464" s="247">
        <f t="shared" si="10"/>
        <v>1.5837826975248686</v>
      </c>
      <c r="E464" s="248">
        <v>9.7117876495379472E-3</v>
      </c>
    </row>
    <row r="465" spans="2:5" ht="15" thickBot="1" x14ac:dyDescent="0.35">
      <c r="B465" s="170">
        <v>43557.645833333336</v>
      </c>
      <c r="C465" s="169">
        <v>1492.85</v>
      </c>
      <c r="D465" s="247">
        <f t="shared" si="10"/>
        <v>-0.24901275247126292</v>
      </c>
      <c r="E465" s="248">
        <v>9.6716377532041226E-3</v>
      </c>
    </row>
    <row r="466" spans="2:5" ht="15" thickBot="1" x14ac:dyDescent="0.35">
      <c r="B466" s="170">
        <v>43776.645833333336</v>
      </c>
      <c r="C466" s="169">
        <v>1987.85</v>
      </c>
      <c r="D466" s="247">
        <f t="shared" si="10"/>
        <v>-0.48459903030931578</v>
      </c>
      <c r="E466" s="248">
        <v>9.6503034766488062E-3</v>
      </c>
    </row>
    <row r="467" spans="2:5" ht="15" thickBot="1" x14ac:dyDescent="0.35">
      <c r="B467" s="170">
        <v>44714.645833333336</v>
      </c>
      <c r="C467" s="169">
        <v>3856.9</v>
      </c>
      <c r="D467" s="247">
        <f t="shared" si="10"/>
        <v>-0.17657105648010754</v>
      </c>
      <c r="E467" s="248">
        <v>9.6332556739352846E-3</v>
      </c>
    </row>
    <row r="468" spans="2:5" ht="15" thickBot="1" x14ac:dyDescent="0.35">
      <c r="B468" s="170">
        <v>44559.645833333336</v>
      </c>
      <c r="C468" s="169">
        <v>4683.95</v>
      </c>
      <c r="D468" s="247">
        <f t="shared" si="10"/>
        <v>0.15820382527848861</v>
      </c>
      <c r="E468" s="248">
        <v>9.6134156724539972E-3</v>
      </c>
    </row>
    <row r="469" spans="2:5" ht="15" thickBot="1" x14ac:dyDescent="0.35">
      <c r="B469" s="170">
        <v>44896.645833333336</v>
      </c>
      <c r="C469" s="169">
        <v>4044.15</v>
      </c>
      <c r="D469" s="247">
        <f t="shared" si="10"/>
        <v>0.14905314599877822</v>
      </c>
      <c r="E469" s="248">
        <v>9.5862198090245505E-3</v>
      </c>
    </row>
    <row r="470" spans="2:5" ht="15" thickBot="1" x14ac:dyDescent="0.35">
      <c r="B470" s="170">
        <v>44733.645833333336</v>
      </c>
      <c r="C470" s="169">
        <v>3519.55</v>
      </c>
      <c r="D470" s="247">
        <f t="shared" si="10"/>
        <v>1.3357778072736928</v>
      </c>
      <c r="E470" s="248">
        <v>9.5228534140290779E-3</v>
      </c>
    </row>
    <row r="471" spans="2:5" ht="15" thickBot="1" x14ac:dyDescent="0.35">
      <c r="B471" s="170">
        <v>43207.645833333336</v>
      </c>
      <c r="C471" s="169">
        <v>1506.8</v>
      </c>
      <c r="D471" s="247">
        <f t="shared" si="10"/>
        <v>-0.66704967297153972</v>
      </c>
      <c r="E471" s="248">
        <v>9.4797842762870486E-3</v>
      </c>
    </row>
    <row r="472" spans="2:5" ht="15" thickBot="1" x14ac:dyDescent="0.35">
      <c r="B472" s="170">
        <v>45379.645833333336</v>
      </c>
      <c r="C472" s="169">
        <v>4525.6000000000004</v>
      </c>
      <c r="D472" s="247">
        <f t="shared" si="10"/>
        <v>-4.5654878640264858E-2</v>
      </c>
      <c r="E472" s="248">
        <v>9.4350143867241044E-3</v>
      </c>
    </row>
    <row r="473" spans="2:5" ht="15" thickBot="1" x14ac:dyDescent="0.35">
      <c r="B473" s="170">
        <v>44546.645833333336</v>
      </c>
      <c r="C473" s="169">
        <v>4742.1000000000004</v>
      </c>
      <c r="D473" s="247">
        <f t="shared" si="10"/>
        <v>9.0313383762904417E-2</v>
      </c>
      <c r="E473" s="248">
        <v>9.4299459321384865E-3</v>
      </c>
    </row>
    <row r="474" spans="2:5" ht="15" thickBot="1" x14ac:dyDescent="0.35">
      <c r="B474" s="170">
        <v>44824.645833333336</v>
      </c>
      <c r="C474" s="169">
        <v>4349.3</v>
      </c>
      <c r="D474" s="247">
        <f t="shared" si="10"/>
        <v>2.01563529207835</v>
      </c>
      <c r="E474" s="248">
        <v>9.4227957388540312E-3</v>
      </c>
    </row>
    <row r="475" spans="2:5" ht="15" thickBot="1" x14ac:dyDescent="0.35">
      <c r="B475" s="170">
        <v>43508.645833333336</v>
      </c>
      <c r="C475" s="169">
        <v>1442.25</v>
      </c>
      <c r="D475" s="247">
        <f t="shared" si="10"/>
        <v>-0.39467388567111555</v>
      </c>
      <c r="E475" s="248">
        <v>9.4134938409854742E-3</v>
      </c>
    </row>
    <row r="476" spans="2:5" ht="15" thickBot="1" x14ac:dyDescent="0.35">
      <c r="B476" s="170">
        <v>44155.645833333336</v>
      </c>
      <c r="C476" s="169">
        <v>2382.6</v>
      </c>
      <c r="D476" s="247">
        <f t="shared" si="10"/>
        <v>-0.50889921777576241</v>
      </c>
      <c r="E476" s="248">
        <v>9.4051855617691138E-3</v>
      </c>
    </row>
    <row r="477" spans="2:5" ht="15" thickBot="1" x14ac:dyDescent="0.35">
      <c r="B477" s="170">
        <v>45481.645833333336</v>
      </c>
      <c r="C477" s="169">
        <v>4851.55</v>
      </c>
      <c r="D477" s="247">
        <f t="shared" si="10"/>
        <v>0.42684253867419575</v>
      </c>
      <c r="E477" s="248">
        <v>9.4042256598041787E-3</v>
      </c>
    </row>
    <row r="478" spans="2:5" ht="15" thickBot="1" x14ac:dyDescent="0.35">
      <c r="B478" s="170">
        <v>45063.645833333336</v>
      </c>
      <c r="C478" s="169">
        <v>3400.2</v>
      </c>
      <c r="D478" s="247">
        <f t="shared" si="10"/>
        <v>-2.9318564617888114E-2</v>
      </c>
      <c r="E478" s="248">
        <v>9.3957340695550416E-3</v>
      </c>
    </row>
    <row r="479" spans="2:5" ht="15" thickBot="1" x14ac:dyDescent="0.35">
      <c r="B479" s="170">
        <v>44959.645833333336</v>
      </c>
      <c r="C479" s="169">
        <v>3502.9</v>
      </c>
      <c r="D479" s="247">
        <f t="shared" si="10"/>
        <v>0.14612439878284195</v>
      </c>
      <c r="E479" s="248">
        <v>9.379457403431983E-3</v>
      </c>
    </row>
    <row r="480" spans="2:5" ht="15" thickBot="1" x14ac:dyDescent="0.35">
      <c r="B480" s="170">
        <v>44334.645833333336</v>
      </c>
      <c r="C480" s="169">
        <v>3056.3</v>
      </c>
      <c r="D480" s="247">
        <f t="shared" si="10"/>
        <v>1.0518966096005373</v>
      </c>
      <c r="E480" s="248">
        <v>9.3794378942501696E-3</v>
      </c>
    </row>
    <row r="481" spans="2:5" ht="15" thickBot="1" x14ac:dyDescent="0.35">
      <c r="B481" s="170">
        <v>43213.645833333336</v>
      </c>
      <c r="C481" s="169">
        <v>1489.5</v>
      </c>
      <c r="D481" s="247">
        <f t="shared" si="10"/>
        <v>-0.61149728087220745</v>
      </c>
      <c r="E481" s="248">
        <v>9.317296290022023E-3</v>
      </c>
    </row>
    <row r="482" spans="2:5" ht="15" thickBot="1" x14ac:dyDescent="0.35">
      <c r="B482" s="170">
        <v>45205.645833333336</v>
      </c>
      <c r="C482" s="169">
        <v>3833.95</v>
      </c>
      <c r="D482" s="247">
        <f t="shared" si="10"/>
        <v>1.3225503558988339</v>
      </c>
      <c r="E482" s="248">
        <v>9.3060601274153401E-3</v>
      </c>
    </row>
    <row r="483" spans="2:5" ht="15" thickBot="1" x14ac:dyDescent="0.35">
      <c r="B483" s="170">
        <v>43315.645833333336</v>
      </c>
      <c r="C483" s="169">
        <v>1650.75</v>
      </c>
      <c r="D483" s="247">
        <f t="shared" si="10"/>
        <v>0.10473481679772462</v>
      </c>
      <c r="E483" s="248">
        <v>9.2935098284980863E-3</v>
      </c>
    </row>
    <row r="484" spans="2:5" ht="15" thickBot="1" x14ac:dyDescent="0.35">
      <c r="B484" s="170">
        <v>43273.645833333336</v>
      </c>
      <c r="C484" s="169">
        <v>1494.25</v>
      </c>
      <c r="D484" s="247">
        <f t="shared" si="10"/>
        <v>-0.64901463368801826</v>
      </c>
      <c r="E484" s="248">
        <v>9.2874029044241815E-3</v>
      </c>
    </row>
    <row r="485" spans="2:5" ht="15" thickBot="1" x14ac:dyDescent="0.35">
      <c r="B485" s="170">
        <v>44474.645833333336</v>
      </c>
      <c r="C485" s="169">
        <v>4257.3</v>
      </c>
      <c r="D485" s="247">
        <f t="shared" si="10"/>
        <v>-9.1640351625842789E-2</v>
      </c>
      <c r="E485" s="248">
        <v>9.1856206516457064E-3</v>
      </c>
    </row>
    <row r="486" spans="2:5" ht="15" thickBot="1" x14ac:dyDescent="0.35">
      <c r="B486" s="170">
        <v>45397.645833333336</v>
      </c>
      <c r="C486" s="169">
        <v>4686.8</v>
      </c>
      <c r="D486" s="247">
        <f t="shared" si="10"/>
        <v>1.8791350554412265</v>
      </c>
      <c r="E486" s="248">
        <v>9.151002303899404E-3</v>
      </c>
    </row>
    <row r="487" spans="2:5" ht="15" thickBot="1" x14ac:dyDescent="0.35">
      <c r="B487" s="170">
        <v>43320.645833333336</v>
      </c>
      <c r="C487" s="169">
        <v>1627.85</v>
      </c>
      <c r="D487" s="247">
        <f t="shared" si="10"/>
        <v>-0.43136843943760372</v>
      </c>
      <c r="E487" s="248">
        <v>9.0813290354573913E-3</v>
      </c>
    </row>
    <row r="488" spans="2:5" ht="15" thickBot="1" x14ac:dyDescent="0.35">
      <c r="B488" s="170">
        <v>44218.645833333336</v>
      </c>
      <c r="C488" s="169">
        <v>2862.75</v>
      </c>
      <c r="D488" s="247">
        <f t="shared" si="10"/>
        <v>1.4457496796240923</v>
      </c>
      <c r="E488" s="248">
        <v>9.0764892492069087E-3</v>
      </c>
    </row>
    <row r="489" spans="2:5" ht="15" thickBot="1" x14ac:dyDescent="0.35">
      <c r="B489" s="170">
        <v>43101.645833333336</v>
      </c>
      <c r="C489" s="169">
        <v>1170.5</v>
      </c>
      <c r="D489" s="247">
        <f t="shared" si="10"/>
        <v>-0.21371712625533207</v>
      </c>
      <c r="E489" s="248">
        <v>9.0517241379310352E-3</v>
      </c>
    </row>
    <row r="490" spans="2:5" ht="15" thickBot="1" x14ac:dyDescent="0.35">
      <c r="B490" s="170">
        <v>43209.645833333336</v>
      </c>
      <c r="C490" s="169">
        <v>1488.65</v>
      </c>
      <c r="D490" s="247">
        <f t="shared" si="10"/>
        <v>-0.47527317589002466</v>
      </c>
      <c r="E490" s="248">
        <v>8.9806154263250646E-3</v>
      </c>
    </row>
    <row r="491" spans="2:5" ht="15" thickBot="1" x14ac:dyDescent="0.35">
      <c r="B491" s="170">
        <v>44221.645833333336</v>
      </c>
      <c r="C491" s="169">
        <v>2837</v>
      </c>
      <c r="D491" s="247">
        <f t="shared" si="10"/>
        <v>-0.44659019975031206</v>
      </c>
      <c r="E491" s="248">
        <v>8.9801724904418952E-3</v>
      </c>
    </row>
    <row r="492" spans="2:5" ht="15" thickBot="1" x14ac:dyDescent="0.35">
      <c r="B492" s="170">
        <v>44517.645833333336</v>
      </c>
      <c r="C492" s="169">
        <v>5126.3999999999996</v>
      </c>
      <c r="D492" s="247">
        <f t="shared" si="10"/>
        <v>0.30812217714154472</v>
      </c>
      <c r="E492" s="248">
        <v>8.955106378791159E-3</v>
      </c>
    </row>
    <row r="493" spans="2:5" ht="15" thickBot="1" x14ac:dyDescent="0.35">
      <c r="B493" s="170">
        <v>45351.645833333336</v>
      </c>
      <c r="C493" s="169">
        <v>3918.9</v>
      </c>
      <c r="D493" s="247">
        <f t="shared" si="10"/>
        <v>2.3100215380717088</v>
      </c>
      <c r="E493" s="248">
        <v>8.9466163768134599E-3</v>
      </c>
    </row>
    <row r="494" spans="2:5" ht="15" thickBot="1" x14ac:dyDescent="0.35">
      <c r="B494" s="170">
        <v>43146.645833333336</v>
      </c>
      <c r="C494" s="169">
        <v>1183.95</v>
      </c>
      <c r="D494" s="247">
        <f t="shared" si="10"/>
        <v>-0.66244707693623572</v>
      </c>
      <c r="E494" s="248">
        <v>8.9049850873455863E-3</v>
      </c>
    </row>
    <row r="495" spans="2:5" ht="15" thickBot="1" x14ac:dyDescent="0.35">
      <c r="B495" s="170">
        <v>45670.645833333336</v>
      </c>
      <c r="C495" s="169">
        <v>3507.45</v>
      </c>
      <c r="D495" s="247">
        <f t="shared" si="10"/>
        <v>-0.10015777928858219</v>
      </c>
      <c r="E495" s="248">
        <v>8.9026319574283964E-3</v>
      </c>
    </row>
    <row r="496" spans="2:5" ht="15" thickBot="1" x14ac:dyDescent="0.35">
      <c r="B496" s="170">
        <v>45295.645833333336</v>
      </c>
      <c r="C496" s="169">
        <v>3897.85</v>
      </c>
      <c r="D496" s="247">
        <f t="shared" si="10"/>
        <v>1.1173035660935928</v>
      </c>
      <c r="E496" s="248">
        <v>8.8909020318363938E-3</v>
      </c>
    </row>
    <row r="497" spans="2:5" ht="15" thickBot="1" x14ac:dyDescent="0.35">
      <c r="B497" s="170">
        <v>43803.645833333336</v>
      </c>
      <c r="C497" s="169">
        <v>1840.95</v>
      </c>
      <c r="D497" s="247">
        <f t="shared" si="10"/>
        <v>0.21502821502821498</v>
      </c>
      <c r="E497" s="248">
        <v>8.8779284833539092E-3</v>
      </c>
    </row>
    <row r="498" spans="2:5" ht="15" thickBot="1" x14ac:dyDescent="0.35">
      <c r="B498" s="170">
        <v>43362.645833333336</v>
      </c>
      <c r="C498" s="169">
        <v>1515.15</v>
      </c>
      <c r="D498" s="247">
        <f t="shared" si="10"/>
        <v>-0.62548663379185054</v>
      </c>
      <c r="E498" s="248">
        <v>8.8557445816827129E-3</v>
      </c>
    </row>
    <row r="499" spans="2:5" ht="15" thickBot="1" x14ac:dyDescent="0.35">
      <c r="B499" s="170">
        <v>45275.645833333336</v>
      </c>
      <c r="C499" s="169">
        <v>4045.65</v>
      </c>
      <c r="D499" s="247">
        <f t="shared" si="10"/>
        <v>1.7514877410140446</v>
      </c>
      <c r="E499" s="248">
        <v>8.8525366881538094E-3</v>
      </c>
    </row>
    <row r="500" spans="2:5" ht="15" thickBot="1" x14ac:dyDescent="0.35">
      <c r="B500" s="170">
        <v>43530.645833333336</v>
      </c>
      <c r="C500" s="169">
        <v>1470.35</v>
      </c>
      <c r="D500" s="247">
        <f t="shared" si="10"/>
        <v>-0.6260887255712233</v>
      </c>
      <c r="E500" s="248">
        <v>8.8510755085936827E-3</v>
      </c>
    </row>
    <row r="501" spans="2:5" ht="15" thickBot="1" x14ac:dyDescent="0.35">
      <c r="B501" s="170">
        <v>45294.645833333336</v>
      </c>
      <c r="C501" s="169">
        <v>3932.35</v>
      </c>
      <c r="D501" s="247">
        <f t="shared" si="10"/>
        <v>2.1572460859092732</v>
      </c>
      <c r="E501" s="248">
        <v>8.851033261926447E-3</v>
      </c>
    </row>
    <row r="502" spans="2:5" ht="15" thickBot="1" x14ac:dyDescent="0.35">
      <c r="B502" s="170">
        <v>43111.645833333336</v>
      </c>
      <c r="C502" s="169">
        <v>1245.5</v>
      </c>
      <c r="D502" s="247">
        <f t="shared" si="10"/>
        <v>-0.6448328960876013</v>
      </c>
      <c r="E502" s="248">
        <v>8.8287704519683236E-3</v>
      </c>
    </row>
    <row r="503" spans="2:5" ht="15" thickBot="1" x14ac:dyDescent="0.35">
      <c r="B503" s="170">
        <v>45034.645833333336</v>
      </c>
      <c r="C503" s="169">
        <v>3506.8</v>
      </c>
      <c r="D503" s="247">
        <f t="shared" si="10"/>
        <v>-8.2913817226094047E-2</v>
      </c>
      <c r="E503" s="248">
        <v>8.8027156089984359E-3</v>
      </c>
    </row>
    <row r="504" spans="2:5" ht="15" thickBot="1" x14ac:dyDescent="0.35">
      <c r="B504" s="170">
        <v>45610.645833333336</v>
      </c>
      <c r="C504" s="169">
        <v>3823.85</v>
      </c>
      <c r="D504" s="247">
        <f t="shared" si="10"/>
        <v>-5.2846031903299298E-2</v>
      </c>
      <c r="E504" s="248">
        <v>8.7850048146046675E-3</v>
      </c>
    </row>
    <row r="505" spans="2:5" ht="15" thickBot="1" x14ac:dyDescent="0.35">
      <c r="B505" s="170">
        <v>44903.645833333336</v>
      </c>
      <c r="C505" s="169">
        <v>4037.2</v>
      </c>
      <c r="D505" s="247">
        <f t="shared" si="10"/>
        <v>1.0115094292618518</v>
      </c>
      <c r="E505" s="248">
        <v>8.6947831301218588E-3</v>
      </c>
    </row>
    <row r="506" spans="2:5" ht="15" thickBot="1" x14ac:dyDescent="0.35">
      <c r="B506" s="170">
        <v>44028.645833333336</v>
      </c>
      <c r="C506" s="169">
        <v>2007.05</v>
      </c>
      <c r="D506" s="247">
        <f t="shared" si="10"/>
        <v>-0.5707441746067391</v>
      </c>
      <c r="E506" s="248">
        <v>8.6945596180424446E-3</v>
      </c>
    </row>
    <row r="507" spans="2:5" ht="15" thickBot="1" x14ac:dyDescent="0.35">
      <c r="B507" s="170">
        <v>44497.645833333336</v>
      </c>
      <c r="C507" s="169">
        <v>4675.6499999999996</v>
      </c>
      <c r="D507" s="247">
        <f t="shared" si="10"/>
        <v>0.14293920653156997</v>
      </c>
      <c r="E507" s="248">
        <v>8.6722971879752385E-3</v>
      </c>
    </row>
    <row r="508" spans="2:5" ht="15" thickBot="1" x14ac:dyDescent="0.35">
      <c r="B508" s="170">
        <v>44664.645833333336</v>
      </c>
      <c r="C508" s="169">
        <v>4090.9</v>
      </c>
      <c r="D508" s="247">
        <f t="shared" si="10"/>
        <v>0.22331868066146354</v>
      </c>
      <c r="E508" s="248">
        <v>8.6045364891518955E-3</v>
      </c>
    </row>
    <row r="509" spans="2:5" ht="15" thickBot="1" x14ac:dyDescent="0.35">
      <c r="B509" s="170">
        <v>44377.645833333336</v>
      </c>
      <c r="C509" s="169">
        <v>3344.1</v>
      </c>
      <c r="D509" s="247">
        <f t="shared" si="10"/>
        <v>-0.37427961978893792</v>
      </c>
      <c r="E509" s="248">
        <v>8.5805196567791588E-3</v>
      </c>
    </row>
    <row r="510" spans="2:5" ht="15" thickBot="1" x14ac:dyDescent="0.35">
      <c r="B510" s="170">
        <v>45545.645833333336</v>
      </c>
      <c r="C510" s="169">
        <v>5344.4</v>
      </c>
      <c r="D510" s="247">
        <f t="shared" si="10"/>
        <v>0.36256788109017651</v>
      </c>
      <c r="E510" s="248">
        <v>8.5486214640220545E-3</v>
      </c>
    </row>
    <row r="511" spans="2:5" ht="15" thickBot="1" x14ac:dyDescent="0.35">
      <c r="B511" s="170">
        <v>45602.645833333336</v>
      </c>
      <c r="C511" s="169">
        <v>3922.3</v>
      </c>
      <c r="D511" s="247">
        <f t="shared" si="10"/>
        <v>0.16126835622927532</v>
      </c>
      <c r="E511" s="248">
        <v>8.5366794374020401E-3</v>
      </c>
    </row>
    <row r="512" spans="2:5" ht="15" thickBot="1" x14ac:dyDescent="0.35">
      <c r="B512" s="170">
        <v>44386.645833333336</v>
      </c>
      <c r="C512" s="169">
        <v>3377.6</v>
      </c>
      <c r="D512" s="247">
        <f t="shared" si="10"/>
        <v>-6.9211160868067542E-2</v>
      </c>
      <c r="E512" s="248">
        <v>8.5248055418700001E-3</v>
      </c>
    </row>
    <row r="513" spans="2:5" ht="15" thickBot="1" x14ac:dyDescent="0.35">
      <c r="B513" s="170">
        <v>45147.645833333336</v>
      </c>
      <c r="C513" s="169">
        <v>3628.75</v>
      </c>
      <c r="D513" s="247">
        <f t="shared" si="10"/>
        <v>-2.179480267414274E-2</v>
      </c>
      <c r="E513" s="248">
        <v>8.4903562892557904E-3</v>
      </c>
    </row>
    <row r="514" spans="2:5" ht="15" thickBot="1" x14ac:dyDescent="0.35">
      <c r="B514" s="170">
        <v>45625.645833333336</v>
      </c>
      <c r="C514" s="169">
        <v>3709.6</v>
      </c>
      <c r="D514" s="247">
        <f t="shared" si="10"/>
        <v>1.5831969638940151</v>
      </c>
      <c r="E514" s="248">
        <v>8.4819486733361833E-3</v>
      </c>
    </row>
    <row r="515" spans="2:5" ht="15" thickBot="1" x14ac:dyDescent="0.35">
      <c r="B515" s="170">
        <v>43409.791666666664</v>
      </c>
      <c r="C515" s="169">
        <v>1436.05</v>
      </c>
      <c r="D515" s="247">
        <f t="shared" si="10"/>
        <v>-0.22023728721526897</v>
      </c>
      <c r="E515" s="248">
        <v>8.4620786516853615E-3</v>
      </c>
    </row>
    <row r="516" spans="2:5" ht="15" thickBot="1" x14ac:dyDescent="0.35">
      <c r="B516" s="170">
        <v>43788.645833333336</v>
      </c>
      <c r="C516" s="169">
        <v>1841.65</v>
      </c>
      <c r="D516" s="247">
        <f t="shared" si="10"/>
        <v>-0.61039359417806405</v>
      </c>
      <c r="E516" s="248">
        <v>8.4601905596320467E-3</v>
      </c>
    </row>
    <row r="517" spans="2:5" ht="15" thickBot="1" x14ac:dyDescent="0.35">
      <c r="B517" s="170">
        <v>44565.645833333336</v>
      </c>
      <c r="C517" s="169">
        <v>4726.95</v>
      </c>
      <c r="D517" s="247">
        <f t="shared" ref="D517:D580" si="11">(C517-C518)/C518</f>
        <v>0.51129406122612098</v>
      </c>
      <c r="E517" s="248">
        <v>8.4375133336178233E-3</v>
      </c>
    </row>
    <row r="518" spans="2:5" ht="15" thickBot="1" x14ac:dyDescent="0.35">
      <c r="B518" s="170">
        <v>44245.645833333336</v>
      </c>
      <c r="C518" s="169">
        <v>3127.75</v>
      </c>
      <c r="D518" s="247">
        <f t="shared" si="11"/>
        <v>0.41967183351110904</v>
      </c>
      <c r="E518" s="248">
        <v>8.4148759531216966E-3</v>
      </c>
    </row>
    <row r="519" spans="2:5" ht="15" thickBot="1" x14ac:dyDescent="0.35">
      <c r="B519" s="170">
        <v>44104.645833333336</v>
      </c>
      <c r="C519" s="169">
        <v>2203.15</v>
      </c>
      <c r="D519" s="247">
        <f t="shared" si="11"/>
        <v>-0.3987200131000791</v>
      </c>
      <c r="E519" s="248">
        <v>8.3989381179054873E-3</v>
      </c>
    </row>
    <row r="520" spans="2:5" ht="15" thickBot="1" x14ac:dyDescent="0.35">
      <c r="B520" s="170">
        <v>45194.645833333336</v>
      </c>
      <c r="C520" s="169">
        <v>3664.1</v>
      </c>
      <c r="D520" s="247">
        <f t="shared" si="11"/>
        <v>5.5830103591856729E-2</v>
      </c>
      <c r="E520" s="248">
        <v>8.3938793483047114E-3</v>
      </c>
    </row>
    <row r="521" spans="2:5" ht="15" thickBot="1" x14ac:dyDescent="0.35">
      <c r="B521" s="170">
        <v>44960.645833333336</v>
      </c>
      <c r="C521" s="169">
        <v>3470.35</v>
      </c>
      <c r="D521" s="247">
        <f t="shared" si="11"/>
        <v>-2.7613550393678774E-2</v>
      </c>
      <c r="E521" s="248">
        <v>8.3829725410431242E-3</v>
      </c>
    </row>
    <row r="522" spans="2:5" ht="15" thickBot="1" x14ac:dyDescent="0.35">
      <c r="B522" s="170">
        <v>45160.645833333336</v>
      </c>
      <c r="C522" s="169">
        <v>3568.9</v>
      </c>
      <c r="D522" s="247">
        <f t="shared" si="11"/>
        <v>-0.19298562981220396</v>
      </c>
      <c r="E522" s="248">
        <v>8.3632356680699311E-3</v>
      </c>
    </row>
    <row r="523" spans="2:5" ht="15" thickBot="1" x14ac:dyDescent="0.35">
      <c r="B523" s="170">
        <v>44463.645833333336</v>
      </c>
      <c r="C523" s="169">
        <v>4422.3500000000004</v>
      </c>
      <c r="D523" s="247">
        <f t="shared" si="11"/>
        <v>1.9870651806822022</v>
      </c>
      <c r="E523" s="248">
        <v>8.3452089152369294E-3</v>
      </c>
    </row>
    <row r="524" spans="2:5" ht="15" thickBot="1" x14ac:dyDescent="0.35">
      <c r="B524" s="170">
        <v>43276.645833333336</v>
      </c>
      <c r="C524" s="169">
        <v>1480.5</v>
      </c>
      <c r="D524" s="247">
        <f t="shared" si="11"/>
        <v>-0.56967838509497304</v>
      </c>
      <c r="E524" s="248">
        <v>8.3432657926102508E-3</v>
      </c>
    </row>
    <row r="525" spans="2:5" ht="15" thickBot="1" x14ac:dyDescent="0.35">
      <c r="B525" s="170">
        <v>44735.645833333336</v>
      </c>
      <c r="C525" s="169">
        <v>3440.45</v>
      </c>
      <c r="D525" s="247">
        <f t="shared" si="11"/>
        <v>0.77745918578218642</v>
      </c>
      <c r="E525" s="248">
        <v>8.3382180539272616E-3</v>
      </c>
    </row>
    <row r="526" spans="2:5" ht="15" thickBot="1" x14ac:dyDescent="0.35">
      <c r="B526" s="170">
        <v>43818.645833333336</v>
      </c>
      <c r="C526" s="169">
        <v>1935.6</v>
      </c>
      <c r="D526" s="247">
        <f t="shared" si="11"/>
        <v>0.3209130924352544</v>
      </c>
      <c r="E526" s="248">
        <v>8.3350698062096273E-3</v>
      </c>
    </row>
    <row r="527" spans="2:5" ht="15" thickBot="1" x14ac:dyDescent="0.35">
      <c r="B527" s="170">
        <v>43567.645833333336</v>
      </c>
      <c r="C527" s="169">
        <v>1465.35</v>
      </c>
      <c r="D527" s="247">
        <f t="shared" si="11"/>
        <v>-0.6304427323052092</v>
      </c>
      <c r="E527" s="248">
        <v>8.3261654911404841E-3</v>
      </c>
    </row>
    <row r="528" spans="2:5" ht="15" thickBot="1" x14ac:dyDescent="0.35">
      <c r="B528" s="170">
        <v>45594.645833333336</v>
      </c>
      <c r="C528" s="169">
        <v>3965.15</v>
      </c>
      <c r="D528" s="247">
        <f t="shared" si="11"/>
        <v>1.1512315538194444</v>
      </c>
      <c r="E528" s="248">
        <v>8.3154267695712027E-3</v>
      </c>
    </row>
    <row r="529" spans="2:5" ht="15" thickBot="1" x14ac:dyDescent="0.35">
      <c r="B529" s="170">
        <v>43749.645833333336</v>
      </c>
      <c r="C529" s="169">
        <v>1843.2</v>
      </c>
      <c r="D529" s="247">
        <f t="shared" si="11"/>
        <v>-0.41582150101419874</v>
      </c>
      <c r="E529" s="248">
        <v>8.2875194879790445E-3</v>
      </c>
    </row>
    <row r="530" spans="2:5" ht="15" thickBot="1" x14ac:dyDescent="0.35">
      <c r="B530" s="170">
        <v>44265.645833333336</v>
      </c>
      <c r="C530" s="169">
        <v>3155.2</v>
      </c>
      <c r="D530" s="247">
        <f t="shared" si="11"/>
        <v>0.32557504463816817</v>
      </c>
      <c r="E530" s="248">
        <v>8.2605013820761207E-3</v>
      </c>
    </row>
    <row r="531" spans="2:5" ht="15" thickBot="1" x14ac:dyDescent="0.35">
      <c r="B531" s="170">
        <v>44159.645833333336</v>
      </c>
      <c r="C531" s="169">
        <v>2380.25</v>
      </c>
      <c r="D531" s="247">
        <f t="shared" si="11"/>
        <v>0.23771514741823105</v>
      </c>
      <c r="E531" s="248">
        <v>8.2387326330056829E-3</v>
      </c>
    </row>
    <row r="532" spans="2:5" ht="15" thickBot="1" x14ac:dyDescent="0.35">
      <c r="B532" s="170">
        <v>43822.645833333336</v>
      </c>
      <c r="C532" s="169">
        <v>1923.1</v>
      </c>
      <c r="D532" s="247">
        <f t="shared" si="11"/>
        <v>-0.51995706547515042</v>
      </c>
      <c r="E532" s="248">
        <v>8.2310999266015615E-3</v>
      </c>
    </row>
    <row r="533" spans="2:5" ht="15" thickBot="1" x14ac:dyDescent="0.35">
      <c r="B533" s="170">
        <v>44649.645833333336</v>
      </c>
      <c r="C533" s="169">
        <v>4006.1</v>
      </c>
      <c r="D533" s="247">
        <f t="shared" si="11"/>
        <v>-0.13762001119386916</v>
      </c>
      <c r="E533" s="248">
        <v>8.2297276891326859E-3</v>
      </c>
    </row>
    <row r="534" spans="2:5" ht="15" thickBot="1" x14ac:dyDescent="0.35">
      <c r="B534" s="170">
        <v>45574.645833333336</v>
      </c>
      <c r="C534" s="169">
        <v>4645.3999999999996</v>
      </c>
      <c r="D534" s="247">
        <f t="shared" si="11"/>
        <v>-8.903901401131499E-2</v>
      </c>
      <c r="E534" s="248">
        <v>8.2257189365164702E-3</v>
      </c>
    </row>
    <row r="535" spans="2:5" ht="15" thickBot="1" x14ac:dyDescent="0.35">
      <c r="B535" s="170">
        <v>45525.645833333336</v>
      </c>
      <c r="C535" s="169">
        <v>5099.45</v>
      </c>
      <c r="D535" s="247">
        <f t="shared" si="11"/>
        <v>1.4480689373754827</v>
      </c>
      <c r="E535" s="248">
        <v>8.2248386171988996E-3</v>
      </c>
    </row>
    <row r="536" spans="2:5" ht="15" thickBot="1" x14ac:dyDescent="0.35">
      <c r="B536" s="170">
        <v>44110.645833333336</v>
      </c>
      <c r="C536" s="169">
        <v>2083.0500000000002</v>
      </c>
      <c r="D536" s="247">
        <f t="shared" si="11"/>
        <v>0.41420279031874818</v>
      </c>
      <c r="E536" s="248">
        <v>8.2038623493539877E-3</v>
      </c>
    </row>
    <row r="537" spans="2:5" ht="15" thickBot="1" x14ac:dyDescent="0.35">
      <c r="B537" s="170">
        <v>43516.645833333336</v>
      </c>
      <c r="C537" s="169">
        <v>1472.95</v>
      </c>
      <c r="D537" s="247">
        <f t="shared" si="11"/>
        <v>-0.68806319423119688</v>
      </c>
      <c r="E537" s="248">
        <v>8.1448273501934162E-3</v>
      </c>
    </row>
    <row r="538" spans="2:5" ht="15" thickBot="1" x14ac:dyDescent="0.35">
      <c r="B538" s="170">
        <v>44558.645833333336</v>
      </c>
      <c r="C538" s="169">
        <v>4721.95</v>
      </c>
      <c r="D538" s="247">
        <f t="shared" si="11"/>
        <v>0.31418989437942685</v>
      </c>
      <c r="E538" s="248">
        <v>8.1128107686888207E-3</v>
      </c>
    </row>
    <row r="539" spans="2:5" ht="15" thickBot="1" x14ac:dyDescent="0.35">
      <c r="B539" s="170">
        <v>44412.645833333336</v>
      </c>
      <c r="C539" s="169">
        <v>3593.05</v>
      </c>
      <c r="D539" s="247">
        <f t="shared" si="11"/>
        <v>0.17060337525249236</v>
      </c>
      <c r="E539" s="248">
        <v>8.1085251743052596E-3</v>
      </c>
    </row>
    <row r="540" spans="2:5" ht="15" thickBot="1" x14ac:dyDescent="0.35">
      <c r="B540" s="170">
        <v>44347.645833333336</v>
      </c>
      <c r="C540" s="169">
        <v>3069.4</v>
      </c>
      <c r="D540" s="247">
        <f t="shared" si="11"/>
        <v>0.36039889196675906</v>
      </c>
      <c r="E540" s="248">
        <v>8.0793483972674413E-3</v>
      </c>
    </row>
    <row r="541" spans="2:5" ht="15" thickBot="1" x14ac:dyDescent="0.35">
      <c r="B541" s="170">
        <v>43941.645833333336</v>
      </c>
      <c r="C541" s="169">
        <v>2256.25</v>
      </c>
      <c r="D541" s="247">
        <f t="shared" si="11"/>
        <v>0.35129065101515239</v>
      </c>
      <c r="E541" s="248">
        <v>8.0645161290323394E-3</v>
      </c>
    </row>
    <row r="542" spans="2:5" ht="15" thickBot="1" x14ac:dyDescent="0.35">
      <c r="B542" s="170">
        <v>43313.645833333336</v>
      </c>
      <c r="C542" s="169">
        <v>1669.7</v>
      </c>
      <c r="D542" s="247">
        <f t="shared" si="11"/>
        <v>-0.59230365405510998</v>
      </c>
      <c r="E542" s="248">
        <v>8.0598907235790371E-3</v>
      </c>
    </row>
    <row r="543" spans="2:5" ht="15" thickBot="1" x14ac:dyDescent="0.35">
      <c r="B543" s="170">
        <v>44586.645833333336</v>
      </c>
      <c r="C543" s="169">
        <v>4095.45</v>
      </c>
      <c r="D543" s="247">
        <f t="shared" si="11"/>
        <v>0.76227973923707482</v>
      </c>
      <c r="E543" s="248">
        <v>7.9122880417393827E-3</v>
      </c>
    </row>
    <row r="544" spans="2:5" ht="15" thickBot="1" x14ac:dyDescent="0.35">
      <c r="B544" s="170">
        <v>43948.645833333336</v>
      </c>
      <c r="C544" s="169">
        <v>2323.9499999999998</v>
      </c>
      <c r="D544" s="247">
        <f t="shared" si="11"/>
        <v>-0.36370232456260448</v>
      </c>
      <c r="E544" s="248">
        <v>7.8714545927659092E-3</v>
      </c>
    </row>
    <row r="545" spans="2:5" ht="15" thickBot="1" x14ac:dyDescent="0.35">
      <c r="B545" s="170">
        <v>45639.645833333336</v>
      </c>
      <c r="C545" s="169">
        <v>3652.3</v>
      </c>
      <c r="D545" s="247">
        <f t="shared" si="11"/>
        <v>0.23727091026118774</v>
      </c>
      <c r="E545" s="248">
        <v>7.8646724432915715E-3</v>
      </c>
    </row>
    <row r="546" spans="2:5" ht="15" thickBot="1" x14ac:dyDescent="0.35">
      <c r="B546" s="170">
        <v>44238.645833333336</v>
      </c>
      <c r="C546" s="169">
        <v>2951.9</v>
      </c>
      <c r="D546" s="247">
        <f t="shared" si="11"/>
        <v>-0.23491220112745415</v>
      </c>
      <c r="E546" s="248">
        <v>7.8527774932568538E-3</v>
      </c>
    </row>
    <row r="547" spans="2:5" ht="15" thickBot="1" x14ac:dyDescent="0.35">
      <c r="B547" s="170">
        <v>45306.645833333336</v>
      </c>
      <c r="C547" s="169">
        <v>3858.25</v>
      </c>
      <c r="D547" s="247">
        <f t="shared" si="11"/>
        <v>8.8993635247463329E-2</v>
      </c>
      <c r="E547" s="248">
        <v>7.8233158320925259E-3</v>
      </c>
    </row>
    <row r="548" spans="2:5" ht="15" thickBot="1" x14ac:dyDescent="0.35">
      <c r="B548" s="170">
        <v>45643.645833333336</v>
      </c>
      <c r="C548" s="169">
        <v>3542.95</v>
      </c>
      <c r="D548" s="247">
        <f t="shared" si="11"/>
        <v>-2.7864953488045065E-3</v>
      </c>
      <c r="E548" s="248">
        <v>7.7509457576016164E-3</v>
      </c>
    </row>
    <row r="549" spans="2:5" ht="15" thickBot="1" x14ac:dyDescent="0.35">
      <c r="B549" s="170">
        <v>44977.645833333336</v>
      </c>
      <c r="C549" s="169">
        <v>3552.85</v>
      </c>
      <c r="D549" s="247">
        <f t="shared" si="11"/>
        <v>-6.4041939435450917E-2</v>
      </c>
      <c r="E549" s="248">
        <v>7.7291808486498756E-3</v>
      </c>
    </row>
    <row r="550" spans="2:5" ht="15" thickBot="1" x14ac:dyDescent="0.35">
      <c r="B550" s="170">
        <v>45217.645833333336</v>
      </c>
      <c r="C550" s="169">
        <v>3795.95</v>
      </c>
      <c r="D550" s="247">
        <f t="shared" si="11"/>
        <v>-0.24360864800239118</v>
      </c>
      <c r="E550" s="248">
        <v>7.7252877072354646E-3</v>
      </c>
    </row>
    <row r="551" spans="2:5" ht="15" thickBot="1" x14ac:dyDescent="0.35">
      <c r="B551" s="170">
        <v>45511.645833333336</v>
      </c>
      <c r="C551" s="169">
        <v>5018.5</v>
      </c>
      <c r="D551" s="247">
        <f t="shared" si="11"/>
        <v>2.2686358159377344</v>
      </c>
      <c r="E551" s="248">
        <v>7.7106885403906813E-3</v>
      </c>
    </row>
    <row r="552" spans="2:5" ht="15" thickBot="1" x14ac:dyDescent="0.35">
      <c r="B552" s="170">
        <v>43266.645833333336</v>
      </c>
      <c r="C552" s="169">
        <v>1535.35</v>
      </c>
      <c r="D552" s="247">
        <f t="shared" si="11"/>
        <v>0.22328898095769262</v>
      </c>
      <c r="E552" s="248">
        <v>7.6789288878678285E-3</v>
      </c>
    </row>
    <row r="553" spans="2:5" ht="15" thickBot="1" x14ac:dyDescent="0.35">
      <c r="B553" s="170">
        <v>43592.791666666664</v>
      </c>
      <c r="C553" s="169">
        <v>1255.0999999999999</v>
      </c>
      <c r="D553" s="247">
        <f t="shared" si="11"/>
        <v>-0.67340619307832428</v>
      </c>
      <c r="E553" s="248">
        <v>7.6672955722371277E-3</v>
      </c>
    </row>
    <row r="554" spans="2:5" ht="15" thickBot="1" x14ac:dyDescent="0.35">
      <c r="B554" s="170">
        <v>45665.645833333336</v>
      </c>
      <c r="C554" s="169">
        <v>3843</v>
      </c>
      <c r="D554" s="247">
        <f t="shared" si="11"/>
        <v>0.84520094108609034</v>
      </c>
      <c r="E554" s="248">
        <v>7.6564056846189672E-3</v>
      </c>
    </row>
    <row r="555" spans="2:5" ht="15" thickBot="1" x14ac:dyDescent="0.35">
      <c r="B555" s="170">
        <v>43922.645833333336</v>
      </c>
      <c r="C555" s="169">
        <v>2082.6999999999998</v>
      </c>
      <c r="D555" s="247">
        <f t="shared" si="11"/>
        <v>-0.41521830689316302</v>
      </c>
      <c r="E555" s="248">
        <v>7.6199230750622904E-3</v>
      </c>
    </row>
    <row r="556" spans="2:5" ht="15" thickBot="1" x14ac:dyDescent="0.35">
      <c r="B556" s="170">
        <v>45162.645833333336</v>
      </c>
      <c r="C556" s="169">
        <v>3561.5</v>
      </c>
      <c r="D556" s="247">
        <f t="shared" si="11"/>
        <v>-0.22702116115029844</v>
      </c>
      <c r="E556" s="248">
        <v>7.61047926215133E-3</v>
      </c>
    </row>
    <row r="557" spans="2:5" ht="15" thickBot="1" x14ac:dyDescent="0.35">
      <c r="B557" s="170">
        <v>45575.645833333336</v>
      </c>
      <c r="C557" s="169">
        <v>4607.5</v>
      </c>
      <c r="D557" s="247">
        <f t="shared" si="11"/>
        <v>0.32315777382114763</v>
      </c>
      <c r="E557" s="248">
        <v>7.6103833621274488E-3</v>
      </c>
    </row>
    <row r="558" spans="2:5" ht="15" thickBot="1" x14ac:dyDescent="0.35">
      <c r="B558" s="170">
        <v>45036.645833333336</v>
      </c>
      <c r="C558" s="169">
        <v>3482.2</v>
      </c>
      <c r="D558" s="247">
        <f t="shared" si="11"/>
        <v>5.4717389735074911E-3</v>
      </c>
      <c r="E558" s="248">
        <v>7.6101739054948714E-3</v>
      </c>
    </row>
    <row r="559" spans="2:5" ht="15" thickBot="1" x14ac:dyDescent="0.35">
      <c r="B559" s="170">
        <v>44988.645833333336</v>
      </c>
      <c r="C559" s="169">
        <v>3463.25</v>
      </c>
      <c r="D559" s="247">
        <f t="shared" si="11"/>
        <v>1.1538294101184738</v>
      </c>
      <c r="E559" s="248">
        <v>7.5935004291345764E-3</v>
      </c>
    </row>
    <row r="560" spans="2:5" ht="15" thickBot="1" x14ac:dyDescent="0.35">
      <c r="B560" s="170">
        <v>43263.645833333336</v>
      </c>
      <c r="C560" s="169">
        <v>1607.95</v>
      </c>
      <c r="D560" s="247">
        <f t="shared" si="11"/>
        <v>-0.51427319961333973</v>
      </c>
      <c r="E560" s="248">
        <v>7.582166243694669E-3</v>
      </c>
    </row>
    <row r="561" spans="2:5" ht="15" thickBot="1" x14ac:dyDescent="0.35">
      <c r="B561" s="170">
        <v>44363.645833333336</v>
      </c>
      <c r="C561" s="169">
        <v>3310.4</v>
      </c>
      <c r="D561" s="247">
        <f t="shared" si="11"/>
        <v>-0.1889753169596374</v>
      </c>
      <c r="E561" s="248">
        <v>7.563421649343309E-3</v>
      </c>
    </row>
    <row r="562" spans="2:5" ht="15" thickBot="1" x14ac:dyDescent="0.35">
      <c r="B562" s="170">
        <v>44607.645833333336</v>
      </c>
      <c r="C562" s="169">
        <v>4081.75</v>
      </c>
      <c r="D562" s="247">
        <f t="shared" si="11"/>
        <v>0.12637286825983768</v>
      </c>
      <c r="E562" s="248">
        <v>7.5534107599076576E-3</v>
      </c>
    </row>
    <row r="563" spans="2:5" ht="15" thickBot="1" x14ac:dyDescent="0.35">
      <c r="B563" s="170">
        <v>45708.645833333336</v>
      </c>
      <c r="C563" s="169">
        <v>3623.8</v>
      </c>
      <c r="D563" s="247">
        <f t="shared" si="11"/>
        <v>1.6173124842006428</v>
      </c>
      <c r="E563" s="248">
        <v>7.5346845719688506E-3</v>
      </c>
    </row>
    <row r="564" spans="2:5" ht="15" thickBot="1" x14ac:dyDescent="0.35">
      <c r="B564" s="170">
        <v>43494.645833333336</v>
      </c>
      <c r="C564" s="169">
        <v>1384.55</v>
      </c>
      <c r="D564" s="247">
        <f t="shared" si="11"/>
        <v>-0.61696682988906404</v>
      </c>
      <c r="E564" s="248">
        <v>7.5316547809634029E-3</v>
      </c>
    </row>
    <row r="565" spans="2:5" ht="15" thickBot="1" x14ac:dyDescent="0.35">
      <c r="B565" s="170">
        <v>45677.645833333336</v>
      </c>
      <c r="C565" s="169">
        <v>3614.7</v>
      </c>
      <c r="D565" s="247">
        <f t="shared" si="11"/>
        <v>7.2870658065234241E-3</v>
      </c>
      <c r="E565" s="248">
        <v>7.4976308601370292E-3</v>
      </c>
    </row>
    <row r="566" spans="2:5" ht="15" thickBot="1" x14ac:dyDescent="0.35">
      <c r="B566" s="170">
        <v>45656.645833333336</v>
      </c>
      <c r="C566" s="169">
        <v>3588.55</v>
      </c>
      <c r="D566" s="247">
        <f t="shared" si="11"/>
        <v>6.9612518628912129E-2</v>
      </c>
      <c r="E566" s="248">
        <v>7.4961045524096388E-3</v>
      </c>
    </row>
    <row r="567" spans="2:5" ht="15" thickBot="1" x14ac:dyDescent="0.35">
      <c r="B567" s="170">
        <v>44390.645833333336</v>
      </c>
      <c r="C567" s="169">
        <v>3355</v>
      </c>
      <c r="D567" s="247">
        <f t="shared" si="11"/>
        <v>1.1130530625098409</v>
      </c>
      <c r="E567" s="248">
        <v>7.4923799942943252E-3</v>
      </c>
    </row>
    <row r="568" spans="2:5" ht="15" thickBot="1" x14ac:dyDescent="0.35">
      <c r="B568" s="170">
        <v>43293.645833333336</v>
      </c>
      <c r="C568" s="169">
        <v>1587.75</v>
      </c>
      <c r="D568" s="247">
        <f t="shared" si="11"/>
        <v>-0.66228503972178798</v>
      </c>
      <c r="E568" s="248">
        <v>7.4555837563451775E-3</v>
      </c>
    </row>
    <row r="569" spans="2:5" ht="15" thickBot="1" x14ac:dyDescent="0.35">
      <c r="B569" s="170">
        <v>45454.645833333336</v>
      </c>
      <c r="C569" s="169">
        <v>4701.45</v>
      </c>
      <c r="D569" s="247">
        <f t="shared" si="11"/>
        <v>0.15062408223201171</v>
      </c>
      <c r="E569" s="248">
        <v>7.435581507473042E-3</v>
      </c>
    </row>
    <row r="570" spans="2:5" ht="15" thickBot="1" x14ac:dyDescent="0.35">
      <c r="B570" s="170">
        <v>45854.645833333336</v>
      </c>
      <c r="C570" s="168">
        <v>4086</v>
      </c>
      <c r="D570" s="247">
        <f t="shared" si="11"/>
        <v>-0.14584944708071154</v>
      </c>
      <c r="E570" s="248">
        <v>7.4212875070884168E-3</v>
      </c>
    </row>
    <row r="571" spans="2:5" ht="15" thickBot="1" x14ac:dyDescent="0.35">
      <c r="B571" s="170">
        <v>44504.802083333336</v>
      </c>
      <c r="C571" s="169">
        <v>4783.7</v>
      </c>
      <c r="D571" s="247">
        <f t="shared" si="11"/>
        <v>2.3656031237907622</v>
      </c>
      <c r="E571" s="248">
        <v>7.4128672212277176E-3</v>
      </c>
    </row>
    <row r="572" spans="2:5" ht="15" thickBot="1" x14ac:dyDescent="0.35">
      <c r="B572" s="170">
        <v>43425.645833333336</v>
      </c>
      <c r="C572" s="169">
        <v>1421.35</v>
      </c>
      <c r="D572" s="247">
        <f t="shared" si="11"/>
        <v>-0.61633352678390674</v>
      </c>
      <c r="E572" s="248">
        <v>7.4066198880146129E-3</v>
      </c>
    </row>
    <row r="573" spans="2:5" ht="15" thickBot="1" x14ac:dyDescent="0.35">
      <c r="B573" s="170">
        <v>45057.645833333336</v>
      </c>
      <c r="C573" s="169">
        <v>3704.65</v>
      </c>
      <c r="D573" s="247">
        <f t="shared" si="11"/>
        <v>-0.11771990616701788</v>
      </c>
      <c r="E573" s="248">
        <v>7.3690364508979915E-3</v>
      </c>
    </row>
    <row r="574" spans="2:5" ht="15" thickBot="1" x14ac:dyDescent="0.35">
      <c r="B574" s="170">
        <v>44631.645833333336</v>
      </c>
      <c r="C574" s="169">
        <v>4198.95</v>
      </c>
      <c r="D574" s="247">
        <f t="shared" si="11"/>
        <v>0.17034115614025297</v>
      </c>
      <c r="E574" s="248">
        <v>7.3652012235350135E-3</v>
      </c>
    </row>
    <row r="575" spans="2:5" ht="15" thickBot="1" x14ac:dyDescent="0.35">
      <c r="B575" s="170">
        <v>45678.645833333336</v>
      </c>
      <c r="C575" s="169">
        <v>3587.8</v>
      </c>
      <c r="D575" s="247">
        <f t="shared" si="11"/>
        <v>-3.1855040004317423E-2</v>
      </c>
      <c r="E575" s="248">
        <v>7.3562443845463484E-3</v>
      </c>
    </row>
    <row r="576" spans="2:5" ht="15" thickBot="1" x14ac:dyDescent="0.35">
      <c r="B576" s="170">
        <v>45126.645833333336</v>
      </c>
      <c r="C576" s="169">
        <v>3705.85</v>
      </c>
      <c r="D576" s="247">
        <f t="shared" si="11"/>
        <v>-9.8925280229532897E-2</v>
      </c>
      <c r="E576" s="248">
        <v>7.3529411764705135E-3</v>
      </c>
    </row>
    <row r="577" spans="2:5" ht="15" thickBot="1" x14ac:dyDescent="0.35">
      <c r="B577" s="170">
        <v>45798.645833333336</v>
      </c>
      <c r="C577" s="168">
        <v>4112.7</v>
      </c>
      <c r="D577" s="247">
        <f t="shared" si="11"/>
        <v>-3.7908607555077801E-3</v>
      </c>
      <c r="E577" s="248">
        <v>7.3480784774781396E-3</v>
      </c>
    </row>
    <row r="578" spans="2:5" ht="15" thickBot="1" x14ac:dyDescent="0.35">
      <c r="B578" s="170">
        <v>44876.645833333336</v>
      </c>
      <c r="C578" s="169">
        <v>4128.3500000000004</v>
      </c>
      <c r="D578" s="247">
        <f t="shared" si="11"/>
        <v>1.377260163537948</v>
      </c>
      <c r="E578" s="248">
        <v>7.3200190320494825E-3</v>
      </c>
    </row>
    <row r="579" spans="2:5" ht="15" thickBot="1" x14ac:dyDescent="0.35">
      <c r="B579" s="170">
        <v>43809.645833333336</v>
      </c>
      <c r="C579" s="169">
        <v>1736.6</v>
      </c>
      <c r="D579" s="247">
        <f t="shared" si="11"/>
        <v>-0.55592492200685317</v>
      </c>
      <c r="E579" s="248">
        <v>7.3085846867748895E-3</v>
      </c>
    </row>
    <row r="580" spans="2:5" ht="15" thickBot="1" x14ac:dyDescent="0.35">
      <c r="B580" s="170">
        <v>44883.645833333336</v>
      </c>
      <c r="C580" s="169">
        <v>3910.6</v>
      </c>
      <c r="D580" s="247">
        <f t="shared" si="11"/>
        <v>0.10920127070569549</v>
      </c>
      <c r="E580" s="248">
        <v>7.2894933415757991E-3</v>
      </c>
    </row>
    <row r="581" spans="2:5" ht="15" thickBot="1" x14ac:dyDescent="0.35">
      <c r="B581" s="170">
        <v>44978.645833333336</v>
      </c>
      <c r="C581" s="169">
        <v>3525.6</v>
      </c>
      <c r="D581" s="247">
        <f t="shared" ref="D581:D644" si="12">(C581-C582)/C582</f>
        <v>-5.7401812688821822E-2</v>
      </c>
      <c r="E581" s="248">
        <v>7.2711169521305708E-3</v>
      </c>
    </row>
    <row r="582" spans="2:5" ht="15" thickBot="1" x14ac:dyDescent="0.35">
      <c r="B582" s="170">
        <v>45139.645833333336</v>
      </c>
      <c r="C582" s="169">
        <v>3740.3</v>
      </c>
      <c r="D582" s="247">
        <f t="shared" si="12"/>
        <v>0.55826355038953457</v>
      </c>
      <c r="E582" s="248">
        <v>7.244035116066163E-3</v>
      </c>
    </row>
    <row r="583" spans="2:5" ht="15" thickBot="1" x14ac:dyDescent="0.35">
      <c r="B583" s="170">
        <v>44147.645833333336</v>
      </c>
      <c r="C583" s="169">
        <v>2400.3000000000002</v>
      </c>
      <c r="D583" s="247">
        <f t="shared" si="12"/>
        <v>-0.33263825173075312</v>
      </c>
      <c r="E583" s="248">
        <v>7.2386227733366899E-3</v>
      </c>
    </row>
    <row r="584" spans="2:5" ht="15" thickBot="1" x14ac:dyDescent="0.35">
      <c r="B584" s="170">
        <v>45709.645833333336</v>
      </c>
      <c r="C584" s="169">
        <v>3596.7</v>
      </c>
      <c r="D584" s="247">
        <f t="shared" si="12"/>
        <v>-6.8574388191117483E-2</v>
      </c>
      <c r="E584" s="248">
        <v>7.2250693102578417E-3</v>
      </c>
    </row>
    <row r="585" spans="2:5" ht="15" thickBot="1" x14ac:dyDescent="0.35">
      <c r="B585" s="170">
        <v>45204.645833333336</v>
      </c>
      <c r="C585" s="169">
        <v>3861.5</v>
      </c>
      <c r="D585" s="247">
        <f t="shared" si="12"/>
        <v>-0.13745155633983724</v>
      </c>
      <c r="E585" s="248">
        <v>7.1858005451297443E-3</v>
      </c>
    </row>
    <row r="586" spans="2:5" ht="15" thickBot="1" x14ac:dyDescent="0.35">
      <c r="B586" s="170">
        <v>45441.645833333336</v>
      </c>
      <c r="C586" s="169">
        <v>4476.8500000000004</v>
      </c>
      <c r="D586" s="247">
        <f t="shared" si="12"/>
        <v>0.13399698570107793</v>
      </c>
      <c r="E586" s="248">
        <v>7.1766836522346817E-3</v>
      </c>
    </row>
    <row r="587" spans="2:5" ht="15" thickBot="1" x14ac:dyDescent="0.35">
      <c r="B587" s="170">
        <v>45691.645833333336</v>
      </c>
      <c r="C587" s="169">
        <v>3947.85</v>
      </c>
      <c r="D587" s="247">
        <f t="shared" si="12"/>
        <v>1.4626348948911485</v>
      </c>
      <c r="E587" s="248">
        <v>7.1431304769315153E-3</v>
      </c>
    </row>
    <row r="588" spans="2:5" ht="15" thickBot="1" x14ac:dyDescent="0.35">
      <c r="B588" s="170">
        <v>43341.645833333336</v>
      </c>
      <c r="C588" s="169">
        <v>1603.1</v>
      </c>
      <c r="D588" s="247">
        <f t="shared" si="12"/>
        <v>0.23291674677946542</v>
      </c>
      <c r="E588" s="248">
        <v>7.0988817690664369E-3</v>
      </c>
    </row>
    <row r="589" spans="2:5" ht="15" thickBot="1" x14ac:dyDescent="0.35">
      <c r="B589" s="170">
        <v>43154.645833333336</v>
      </c>
      <c r="C589" s="169">
        <v>1300.25</v>
      </c>
      <c r="D589" s="247">
        <f t="shared" si="12"/>
        <v>-0.27064927780114989</v>
      </c>
      <c r="E589" s="248">
        <v>7.0089838909541159E-3</v>
      </c>
    </row>
    <row r="590" spans="2:5" ht="15" thickBot="1" x14ac:dyDescent="0.35">
      <c r="B590" s="170">
        <v>43812.645833333336</v>
      </c>
      <c r="C590" s="169">
        <v>1782.75</v>
      </c>
      <c r="D590" s="247">
        <f t="shared" si="12"/>
        <v>-6.8549335144596282E-2</v>
      </c>
      <c r="E590" s="248">
        <v>6.9758246723903685E-3</v>
      </c>
    </row>
    <row r="591" spans="2:5" ht="15" thickBot="1" x14ac:dyDescent="0.35">
      <c r="B591" s="170">
        <v>43760.645833333336</v>
      </c>
      <c r="C591" s="169">
        <v>1913.95</v>
      </c>
      <c r="D591" s="247">
        <f t="shared" si="12"/>
        <v>-0.58563093343725303</v>
      </c>
      <c r="E591" s="248">
        <v>6.9446271208733635E-3</v>
      </c>
    </row>
    <row r="592" spans="2:5" ht="15" thickBot="1" x14ac:dyDescent="0.35">
      <c r="B592" s="170">
        <v>44550.645833333336</v>
      </c>
      <c r="C592" s="169">
        <v>4618.95</v>
      </c>
      <c r="D592" s="247">
        <f t="shared" si="12"/>
        <v>0.13015659407878635</v>
      </c>
      <c r="E592" s="248">
        <v>6.8775341151851126E-3</v>
      </c>
    </row>
    <row r="593" spans="2:5" ht="15" thickBot="1" x14ac:dyDescent="0.35">
      <c r="B593" s="170">
        <v>45824.645833333336</v>
      </c>
      <c r="C593" s="168">
        <v>4087</v>
      </c>
      <c r="D593" s="247">
        <f t="shared" si="12"/>
        <v>0.10785828521861704</v>
      </c>
      <c r="E593" s="248">
        <v>6.8734448523071843E-3</v>
      </c>
    </row>
    <row r="594" spans="2:5" ht="15" thickBot="1" x14ac:dyDescent="0.35">
      <c r="B594" s="170">
        <v>45191.645833333336</v>
      </c>
      <c r="C594" s="169">
        <v>3689.1</v>
      </c>
      <c r="D594" s="247">
        <f t="shared" si="12"/>
        <v>1.4030876461583557</v>
      </c>
      <c r="E594" s="248">
        <v>6.822957888703911E-3</v>
      </c>
    </row>
    <row r="595" spans="2:5" ht="15" thickBot="1" x14ac:dyDescent="0.35">
      <c r="B595" s="170">
        <v>43357.645833333336</v>
      </c>
      <c r="C595" s="169">
        <v>1535.15</v>
      </c>
      <c r="D595" s="247">
        <f t="shared" si="12"/>
        <v>-0.56520569284146427</v>
      </c>
      <c r="E595" s="248">
        <v>6.7877754459602152E-3</v>
      </c>
    </row>
    <row r="596" spans="2:5" ht="15" thickBot="1" x14ac:dyDescent="0.35">
      <c r="B596" s="170">
        <v>45713.645833333336</v>
      </c>
      <c r="C596" s="169">
        <v>3530.75</v>
      </c>
      <c r="D596" s="247">
        <f t="shared" si="12"/>
        <v>-0.14385305528612996</v>
      </c>
      <c r="E596" s="248">
        <v>6.714758211678884E-3</v>
      </c>
    </row>
    <row r="597" spans="2:5" ht="15" thickBot="1" x14ac:dyDescent="0.35">
      <c r="B597" s="170">
        <v>44628.645833333336</v>
      </c>
      <c r="C597" s="169">
        <v>4124</v>
      </c>
      <c r="D597" s="247">
        <f t="shared" si="12"/>
        <v>0.31784555898189726</v>
      </c>
      <c r="E597" s="248">
        <v>6.6639002123660956E-3</v>
      </c>
    </row>
    <row r="598" spans="2:5" ht="15" thickBot="1" x14ac:dyDescent="0.35">
      <c r="B598" s="170">
        <v>44267.645833333336</v>
      </c>
      <c r="C598" s="169">
        <v>3129.35</v>
      </c>
      <c r="D598" s="247">
        <f t="shared" si="12"/>
        <v>0.38381091359334918</v>
      </c>
      <c r="E598" s="248">
        <v>6.6264575794129183E-3</v>
      </c>
    </row>
    <row r="599" spans="2:5" ht="15" thickBot="1" x14ac:dyDescent="0.35">
      <c r="B599" s="170">
        <v>44081.645833333336</v>
      </c>
      <c r="C599" s="169">
        <v>2261.4</v>
      </c>
      <c r="D599" s="247">
        <f t="shared" si="12"/>
        <v>0.38265415303720468</v>
      </c>
      <c r="E599" s="248">
        <v>6.5877325736669557E-3</v>
      </c>
    </row>
    <row r="600" spans="2:5" ht="15" thickBot="1" x14ac:dyDescent="0.35">
      <c r="B600" s="170">
        <v>43318.645833333336</v>
      </c>
      <c r="C600" s="169">
        <v>1635.55</v>
      </c>
      <c r="D600" s="247">
        <f t="shared" si="12"/>
        <v>-0.62668051402615776</v>
      </c>
      <c r="E600" s="248">
        <v>6.5852232513770783E-3</v>
      </c>
    </row>
    <row r="601" spans="2:5" ht="15" thickBot="1" x14ac:dyDescent="0.35">
      <c r="B601" s="170">
        <v>44845.645833333336</v>
      </c>
      <c r="C601" s="169">
        <v>4381.1000000000004</v>
      </c>
      <c r="D601" s="247">
        <f t="shared" si="12"/>
        <v>-8.6623858566484593E-2</v>
      </c>
      <c r="E601" s="248">
        <v>6.4784396609158792E-3</v>
      </c>
    </row>
    <row r="602" spans="2:5" ht="15" thickBot="1" x14ac:dyDescent="0.35">
      <c r="B602" s="170">
        <v>44540.645833333336</v>
      </c>
      <c r="C602" s="169">
        <v>4796.6000000000004</v>
      </c>
      <c r="D602" s="247">
        <f t="shared" si="12"/>
        <v>0.14362691335654013</v>
      </c>
      <c r="E602" s="248">
        <v>6.4627135003567458E-3</v>
      </c>
    </row>
    <row r="603" spans="2:5" ht="15" thickBot="1" x14ac:dyDescent="0.35">
      <c r="B603" s="170">
        <v>44868.645833333336</v>
      </c>
      <c r="C603" s="169">
        <v>4194.2</v>
      </c>
      <c r="D603" s="247">
        <f t="shared" si="12"/>
        <v>4.8602430121505981E-2</v>
      </c>
      <c r="E603" s="248">
        <v>6.4429433572892733E-3</v>
      </c>
    </row>
    <row r="604" spans="2:5" ht="15" thickBot="1" x14ac:dyDescent="0.35">
      <c r="B604" s="170">
        <v>45784.645833333336</v>
      </c>
      <c r="C604" s="168">
        <v>3999.8</v>
      </c>
      <c r="D604" s="247">
        <f t="shared" si="12"/>
        <v>1.1973301104213592</v>
      </c>
      <c r="E604" s="248">
        <v>6.4162242407467983E-3</v>
      </c>
    </row>
    <row r="605" spans="2:5" ht="15" thickBot="1" x14ac:dyDescent="0.35">
      <c r="B605" s="170">
        <v>43913.645833333336</v>
      </c>
      <c r="C605" s="169">
        <v>1820.3</v>
      </c>
      <c r="D605" s="247">
        <f t="shared" si="12"/>
        <v>0.16562610059872562</v>
      </c>
      <c r="E605" s="248">
        <v>6.4134461215236962E-3</v>
      </c>
    </row>
    <row r="606" spans="2:5" ht="15" thickBot="1" x14ac:dyDescent="0.35">
      <c r="B606" s="170">
        <v>43298.645833333336</v>
      </c>
      <c r="C606" s="169">
        <v>1561.65</v>
      </c>
      <c r="D606" s="247">
        <f t="shared" si="12"/>
        <v>-0.58992437371986761</v>
      </c>
      <c r="E606" s="248">
        <v>6.3474674571466277E-3</v>
      </c>
    </row>
    <row r="607" spans="2:5" ht="15" thickBot="1" x14ac:dyDescent="0.35">
      <c r="B607" s="170">
        <v>45323.645833333336</v>
      </c>
      <c r="C607" s="169">
        <v>3808.2</v>
      </c>
      <c r="D607" s="247">
        <f t="shared" si="12"/>
        <v>1.7109450080085422</v>
      </c>
      <c r="E607" s="248">
        <v>6.3155669476520453E-3</v>
      </c>
    </row>
    <row r="608" spans="2:5" ht="15" thickBot="1" x14ac:dyDescent="0.35">
      <c r="B608" s="170">
        <v>43370.645833333336</v>
      </c>
      <c r="C608" s="169">
        <v>1404.75</v>
      </c>
      <c r="D608" s="247">
        <f t="shared" si="12"/>
        <v>-3.2074691655756875E-2</v>
      </c>
      <c r="E608" s="248">
        <v>6.3039507145671077E-3</v>
      </c>
    </row>
    <row r="609" spans="2:5" ht="15" thickBot="1" x14ac:dyDescent="0.35">
      <c r="B609" s="170">
        <v>43507.645833333336</v>
      </c>
      <c r="C609" s="169">
        <v>1451.3</v>
      </c>
      <c r="D609" s="247">
        <f t="shared" si="12"/>
        <v>-0.49169935556178201</v>
      </c>
      <c r="E609" s="248">
        <v>6.2749176633731703E-3</v>
      </c>
    </row>
    <row r="610" spans="2:5" ht="15" thickBot="1" x14ac:dyDescent="0.35">
      <c r="B610" s="170">
        <v>44281.645833333336</v>
      </c>
      <c r="C610" s="169">
        <v>2855.2</v>
      </c>
      <c r="D610" s="247">
        <f t="shared" si="12"/>
        <v>1.5453009691473217E-2</v>
      </c>
      <c r="E610" s="248">
        <v>6.2201547109300755E-3</v>
      </c>
    </row>
    <row r="611" spans="2:5" ht="15" thickBot="1" x14ac:dyDescent="0.35">
      <c r="B611" s="170">
        <v>44223.645833333336</v>
      </c>
      <c r="C611" s="169">
        <v>2811.75</v>
      </c>
      <c r="D611" s="247">
        <f t="shared" si="12"/>
        <v>-0.30550066689719901</v>
      </c>
      <c r="E611" s="248">
        <v>6.1908425629373159E-3</v>
      </c>
    </row>
    <row r="612" spans="2:5" ht="15" thickBot="1" x14ac:dyDescent="0.35">
      <c r="B612" s="170">
        <v>45856.645833333336</v>
      </c>
      <c r="C612" s="168">
        <v>4048.6</v>
      </c>
      <c r="D612" s="247">
        <f t="shared" si="12"/>
        <v>0.15669328457351822</v>
      </c>
      <c r="E612" s="248">
        <v>6.1883341203370261E-3</v>
      </c>
    </row>
    <row r="613" spans="2:5" ht="15" thickBot="1" x14ac:dyDescent="0.35">
      <c r="B613" s="170">
        <v>44979.645833333336</v>
      </c>
      <c r="C613" s="169">
        <v>3500.15</v>
      </c>
      <c r="D613" s="247">
        <f t="shared" si="12"/>
        <v>1.3170594465775192</v>
      </c>
      <c r="E613" s="248">
        <v>6.1516349263385098E-3</v>
      </c>
    </row>
    <row r="614" spans="2:5" ht="15" thickBot="1" x14ac:dyDescent="0.35">
      <c r="B614" s="170">
        <v>43536.645833333336</v>
      </c>
      <c r="C614" s="169">
        <v>1510.6</v>
      </c>
      <c r="D614" s="247">
        <f t="shared" si="12"/>
        <v>-0.62745388181907868</v>
      </c>
      <c r="E614" s="248">
        <v>6.127614226721605E-3</v>
      </c>
    </row>
    <row r="615" spans="2:5" ht="15" thickBot="1" x14ac:dyDescent="0.35">
      <c r="B615" s="170">
        <v>44671.645833333336</v>
      </c>
      <c r="C615" s="169">
        <v>4054.8</v>
      </c>
      <c r="D615" s="247">
        <f t="shared" si="12"/>
        <v>2.4470798265748535</v>
      </c>
      <c r="E615" s="248">
        <v>6.0914335338999271E-3</v>
      </c>
    </row>
    <row r="616" spans="2:5" ht="15" thickBot="1" x14ac:dyDescent="0.35">
      <c r="B616" s="170">
        <v>43122.645833333336</v>
      </c>
      <c r="C616" s="169">
        <v>1176.3</v>
      </c>
      <c r="D616" s="247">
        <f t="shared" si="12"/>
        <v>-0.71098635151902312</v>
      </c>
      <c r="E616" s="248">
        <v>6.0725282244268805E-3</v>
      </c>
    </row>
    <row r="617" spans="2:5" ht="15" thickBot="1" x14ac:dyDescent="0.35">
      <c r="B617" s="170">
        <v>45274.645833333336</v>
      </c>
      <c r="C617" s="169">
        <v>4070.05</v>
      </c>
      <c r="D617" s="247">
        <f t="shared" si="12"/>
        <v>-3.744915334405436E-2</v>
      </c>
      <c r="E617" s="248">
        <v>6.0311692805853426E-3</v>
      </c>
    </row>
    <row r="618" spans="2:5" ht="15" thickBot="1" x14ac:dyDescent="0.35">
      <c r="B618" s="170">
        <v>45826.645833333336</v>
      </c>
      <c r="C618" s="168">
        <v>4228.3999999999996</v>
      </c>
      <c r="D618" s="247">
        <f t="shared" si="12"/>
        <v>5.157920915195216E-2</v>
      </c>
      <c r="E618" s="248">
        <v>6.0193666579427731E-3</v>
      </c>
    </row>
    <row r="619" spans="2:5" ht="15" thickBot="1" x14ac:dyDescent="0.35">
      <c r="B619" s="170">
        <v>45862.645833333336</v>
      </c>
      <c r="C619" s="168">
        <v>4021</v>
      </c>
      <c r="D619" s="247">
        <f t="shared" si="12"/>
        <v>0.85860546811805238</v>
      </c>
      <c r="E619" s="248">
        <v>6.0045033775331502E-3</v>
      </c>
    </row>
    <row r="620" spans="2:5" ht="15" thickBot="1" x14ac:dyDescent="0.35">
      <c r="B620" s="170">
        <v>44048.645833333336</v>
      </c>
      <c r="C620" s="169">
        <v>2163.4499999999998</v>
      </c>
      <c r="D620" s="247">
        <f t="shared" si="12"/>
        <v>-0.32275786508060733</v>
      </c>
      <c r="E620" s="248">
        <v>5.9984655088231543E-3</v>
      </c>
    </row>
    <row r="621" spans="2:5" ht="15" thickBot="1" x14ac:dyDescent="0.35">
      <c r="B621" s="170">
        <v>44357.645833333336</v>
      </c>
      <c r="C621" s="169">
        <v>3194.5</v>
      </c>
      <c r="D621" s="247">
        <f t="shared" si="12"/>
        <v>-0.25031095257093244</v>
      </c>
      <c r="E621" s="248">
        <v>5.9674702020121925E-3</v>
      </c>
    </row>
    <row r="622" spans="2:5" ht="15" thickBot="1" x14ac:dyDescent="0.35">
      <c r="B622" s="170">
        <v>45842.645833333336</v>
      </c>
      <c r="C622" s="168">
        <v>4261.1000000000004</v>
      </c>
      <c r="D622" s="247">
        <f t="shared" si="12"/>
        <v>1.7082115164611669</v>
      </c>
      <c r="E622" s="248">
        <v>5.8541651913226588E-3</v>
      </c>
    </row>
    <row r="623" spans="2:5" ht="15" thickBot="1" x14ac:dyDescent="0.35">
      <c r="B623" s="170">
        <v>43347.645833333336</v>
      </c>
      <c r="C623" s="169">
        <v>1573.4</v>
      </c>
      <c r="D623" s="247">
        <f t="shared" si="12"/>
        <v>-0.57969814344864434</v>
      </c>
      <c r="E623" s="248">
        <v>5.8172984721601593E-3</v>
      </c>
    </row>
    <row r="624" spans="2:5" ht="15" thickBot="1" x14ac:dyDescent="0.35">
      <c r="B624" s="170">
        <v>45695.645833333336</v>
      </c>
      <c r="C624" s="169">
        <v>3743.5</v>
      </c>
      <c r="D624" s="247">
        <f t="shared" si="12"/>
        <v>0.97441983122362874</v>
      </c>
      <c r="E624" s="248">
        <v>5.7629532112679349E-3</v>
      </c>
    </row>
    <row r="625" spans="2:5" ht="15" thickBot="1" x14ac:dyDescent="0.35">
      <c r="B625" s="170">
        <v>43739.645833333336</v>
      </c>
      <c r="C625" s="169">
        <v>1896</v>
      </c>
      <c r="D625" s="247">
        <f t="shared" si="12"/>
        <v>-0.53114567620366482</v>
      </c>
      <c r="E625" s="248">
        <v>5.7288351368554816E-3</v>
      </c>
    </row>
    <row r="626" spans="2:5" ht="15" thickBot="1" x14ac:dyDescent="0.35">
      <c r="B626" s="170">
        <v>45861.645833333336</v>
      </c>
      <c r="C626" s="168">
        <v>4043.9</v>
      </c>
      <c r="D626" s="247">
        <f t="shared" si="12"/>
        <v>1.1008909785178067</v>
      </c>
      <c r="E626" s="248">
        <v>5.6951007212136511E-3</v>
      </c>
    </row>
    <row r="627" spans="2:5" ht="15" thickBot="1" x14ac:dyDescent="0.35">
      <c r="B627" s="170">
        <v>43756.645833333336</v>
      </c>
      <c r="C627" s="169">
        <v>1924.85</v>
      </c>
      <c r="D627" s="247">
        <f t="shared" si="12"/>
        <v>-0.10494989653809503</v>
      </c>
      <c r="E627" s="248">
        <v>5.6950286057628795E-3</v>
      </c>
    </row>
    <row r="628" spans="2:5" ht="15" thickBot="1" x14ac:dyDescent="0.35">
      <c r="B628" s="170">
        <v>44049.645833333336</v>
      </c>
      <c r="C628" s="169">
        <v>2150.5500000000002</v>
      </c>
      <c r="D628" s="247">
        <f t="shared" si="12"/>
        <v>-0.46067711598746075</v>
      </c>
      <c r="E628" s="248">
        <v>5.6818181818182245E-3</v>
      </c>
    </row>
    <row r="629" spans="2:5" ht="15" thickBot="1" x14ac:dyDescent="0.35">
      <c r="B629" s="170">
        <v>45593.645833333336</v>
      </c>
      <c r="C629" s="169">
        <v>3987.5</v>
      </c>
      <c r="D629" s="247">
        <f t="shared" si="12"/>
        <v>-0.14155929430253714</v>
      </c>
      <c r="E629" s="248">
        <v>5.6366089555249885E-3</v>
      </c>
    </row>
    <row r="630" spans="2:5" ht="15" thickBot="1" x14ac:dyDescent="0.35">
      <c r="B630" s="170">
        <v>45386.645833333336</v>
      </c>
      <c r="C630" s="169">
        <v>4645.05</v>
      </c>
      <c r="D630" s="247">
        <f t="shared" si="12"/>
        <v>9.6487500885206426E-2</v>
      </c>
      <c r="E630" s="248">
        <v>5.5853222925800038E-3</v>
      </c>
    </row>
    <row r="631" spans="2:5" ht="15" thickBot="1" x14ac:dyDescent="0.35">
      <c r="B631" s="170">
        <v>45845.645833333336</v>
      </c>
      <c r="C631" s="168">
        <v>4236.3</v>
      </c>
      <c r="D631" s="247">
        <f t="shared" si="12"/>
        <v>1.6954474596761364</v>
      </c>
      <c r="E631" s="248">
        <v>5.5305008307619703E-3</v>
      </c>
    </row>
    <row r="632" spans="2:5" ht="15" thickBot="1" x14ac:dyDescent="0.35">
      <c r="B632" s="170">
        <v>43305.645833333336</v>
      </c>
      <c r="C632" s="169">
        <v>1571.65</v>
      </c>
      <c r="D632" s="247">
        <f t="shared" si="12"/>
        <v>-0.61422434953362781</v>
      </c>
      <c r="E632" s="248">
        <v>5.5020632737277355E-3</v>
      </c>
    </row>
    <row r="633" spans="2:5" ht="15" thickBot="1" x14ac:dyDescent="0.35">
      <c r="B633" s="170">
        <v>45820.645833333336</v>
      </c>
      <c r="C633" s="168">
        <v>4074</v>
      </c>
      <c r="D633" s="247">
        <f t="shared" si="12"/>
        <v>6.4513600376264038E-2</v>
      </c>
      <c r="E633" s="248">
        <v>5.4542313482563512E-3</v>
      </c>
    </row>
    <row r="634" spans="2:5" ht="15" thickBot="1" x14ac:dyDescent="0.35">
      <c r="B634" s="170">
        <v>45118.645833333336</v>
      </c>
      <c r="C634" s="169">
        <v>3827.1</v>
      </c>
      <c r="D634" s="247">
        <f t="shared" si="12"/>
        <v>1.8554055062299488</v>
      </c>
      <c r="E634" s="248">
        <v>5.4514167115478082E-3</v>
      </c>
    </row>
    <row r="635" spans="2:5" ht="15" thickBot="1" x14ac:dyDescent="0.35">
      <c r="B635" s="170">
        <v>43619.645833333336</v>
      </c>
      <c r="C635" s="169">
        <v>1340.3</v>
      </c>
      <c r="D635" s="247">
        <f t="shared" si="12"/>
        <v>-0.63263851772670576</v>
      </c>
      <c r="E635" s="248">
        <v>5.4386557143392975E-3</v>
      </c>
    </row>
    <row r="636" spans="2:5" ht="15" thickBot="1" x14ac:dyDescent="0.35">
      <c r="B636" s="170">
        <v>45146.645833333336</v>
      </c>
      <c r="C636" s="169">
        <v>3648.45</v>
      </c>
      <c r="D636" s="247">
        <f t="shared" si="12"/>
        <v>0.54389268561030812</v>
      </c>
      <c r="E636" s="248">
        <v>5.428866689631366E-3</v>
      </c>
    </row>
    <row r="637" spans="2:5" ht="15" thickBot="1" x14ac:dyDescent="0.35">
      <c r="B637" s="170">
        <v>44001.645833333336</v>
      </c>
      <c r="C637" s="169">
        <v>2363.15</v>
      </c>
      <c r="D637" s="247">
        <f t="shared" si="12"/>
        <v>0.28547338646068499</v>
      </c>
      <c r="E637" s="248">
        <v>5.4246085772634445E-3</v>
      </c>
    </row>
    <row r="638" spans="2:5" ht="15" thickBot="1" x14ac:dyDescent="0.35">
      <c r="B638" s="170">
        <v>43830.645833333336</v>
      </c>
      <c r="C638" s="169">
        <v>1838.35</v>
      </c>
      <c r="D638" s="247">
        <f t="shared" si="12"/>
        <v>-0.56246429931454689</v>
      </c>
      <c r="E638" s="248">
        <v>5.3869291769209236E-3</v>
      </c>
    </row>
    <row r="639" spans="2:5" ht="15" thickBot="1" x14ac:dyDescent="0.35">
      <c r="B639" s="170">
        <v>45814.645833333336</v>
      </c>
      <c r="C639" s="168">
        <v>4201.6000000000004</v>
      </c>
      <c r="D639" s="247">
        <f t="shared" si="12"/>
        <v>0.13302591483968398</v>
      </c>
      <c r="E639" s="248">
        <v>5.3839343399296495E-3</v>
      </c>
    </row>
    <row r="640" spans="2:5" ht="15" thickBot="1" x14ac:dyDescent="0.35">
      <c r="B640" s="170">
        <v>45637.645833333336</v>
      </c>
      <c r="C640" s="169">
        <v>3708.3</v>
      </c>
      <c r="D640" s="247">
        <f t="shared" si="12"/>
        <v>-7.0228663123056839E-2</v>
      </c>
      <c r="E640" s="248">
        <v>5.3816643847687685E-3</v>
      </c>
    </row>
    <row r="641" spans="2:5" ht="15" thickBot="1" x14ac:dyDescent="0.35">
      <c r="B641" s="170">
        <v>45261.645833333336</v>
      </c>
      <c r="C641" s="169">
        <v>3988.4</v>
      </c>
      <c r="D641" s="247">
        <f t="shared" si="12"/>
        <v>0.34393638170974167</v>
      </c>
      <c r="E641" s="248">
        <v>5.3691613521212427E-3</v>
      </c>
    </row>
    <row r="642" spans="2:5" ht="15" thickBot="1" x14ac:dyDescent="0.35">
      <c r="B642" s="170">
        <v>44237.645833333336</v>
      </c>
      <c r="C642" s="169">
        <v>2967.7</v>
      </c>
      <c r="D642" s="247">
        <f t="shared" si="12"/>
        <v>-0.2369381878021187</v>
      </c>
      <c r="E642" s="248">
        <v>5.3524848402722747E-3</v>
      </c>
    </row>
    <row r="643" spans="2:5" ht="15" thickBot="1" x14ac:dyDescent="0.35">
      <c r="B643" s="170">
        <v>45107.645833333336</v>
      </c>
      <c r="C643" s="169">
        <v>3889.2</v>
      </c>
      <c r="D643" s="247">
        <f t="shared" si="12"/>
        <v>1.7831687419493341</v>
      </c>
      <c r="E643" s="248">
        <v>5.3249237450240161E-3</v>
      </c>
    </row>
    <row r="644" spans="2:5" ht="15" thickBot="1" x14ac:dyDescent="0.35">
      <c r="B644" s="170">
        <v>43479.645833333336</v>
      </c>
      <c r="C644" s="169">
        <v>1397.4</v>
      </c>
      <c r="D644" s="247">
        <f t="shared" si="12"/>
        <v>-0.5827660336796846</v>
      </c>
      <c r="E644" s="248">
        <v>5.3237410071943101E-3</v>
      </c>
    </row>
    <row r="645" spans="2:5" ht="15" thickBot="1" x14ac:dyDescent="0.35">
      <c r="B645" s="170">
        <v>44393.645833333336</v>
      </c>
      <c r="C645" s="169">
        <v>3349.2</v>
      </c>
      <c r="D645" s="247">
        <f t="shared" ref="D645:D708" si="13">(C645-C646)/C646</f>
        <v>-0.20503204367434136</v>
      </c>
      <c r="E645" s="248">
        <v>5.2827470284547698E-3</v>
      </c>
    </row>
    <row r="646" spans="2:5" ht="15" thickBot="1" x14ac:dyDescent="0.35">
      <c r="B646" s="170">
        <v>45846.645833333336</v>
      </c>
      <c r="C646" s="168">
        <v>4213</v>
      </c>
      <c r="D646" s="247">
        <f t="shared" si="13"/>
        <v>1.8333877185985611E-2</v>
      </c>
      <c r="E646" s="248">
        <v>5.2733303109118246E-3</v>
      </c>
    </row>
    <row r="647" spans="2:5" ht="15" thickBot="1" x14ac:dyDescent="0.35">
      <c r="B647" s="170">
        <v>45266.645833333336</v>
      </c>
      <c r="C647" s="169">
        <v>4137.1499999999996</v>
      </c>
      <c r="D647" s="247">
        <f t="shared" si="13"/>
        <v>-1.2825407430384883E-2</v>
      </c>
      <c r="E647" s="248">
        <v>5.2728134225904387E-3</v>
      </c>
    </row>
    <row r="648" spans="2:5" ht="15" thickBot="1" x14ac:dyDescent="0.35">
      <c r="B648" s="170">
        <v>45847.645833333336</v>
      </c>
      <c r="C648" s="168">
        <v>4190.8999999999996</v>
      </c>
      <c r="D648" s="247">
        <f t="shared" si="13"/>
        <v>0.13739432510550514</v>
      </c>
      <c r="E648" s="248">
        <v>5.2530582873589913E-3</v>
      </c>
    </row>
    <row r="649" spans="2:5" ht="15" thickBot="1" x14ac:dyDescent="0.35">
      <c r="B649" s="170">
        <v>45225.645833333336</v>
      </c>
      <c r="C649" s="169">
        <v>3684.65</v>
      </c>
      <c r="D649" s="247">
        <f t="shared" si="13"/>
        <v>-7.5417828235896187E-3</v>
      </c>
      <c r="E649" s="248">
        <v>5.2381017337571854E-3</v>
      </c>
    </row>
    <row r="650" spans="2:5" ht="15" thickBot="1" x14ac:dyDescent="0.35">
      <c r="B650" s="170">
        <v>45133.645833333336</v>
      </c>
      <c r="C650" s="169">
        <v>3712.65</v>
      </c>
      <c r="D650" s="247">
        <f t="shared" si="13"/>
        <v>-0.22538546600179424</v>
      </c>
      <c r="E650" s="248">
        <v>5.2256081876887331E-3</v>
      </c>
    </row>
    <row r="651" spans="2:5" ht="15" thickBot="1" x14ac:dyDescent="0.35">
      <c r="B651" s="170">
        <v>45476.645833333336</v>
      </c>
      <c r="C651" s="169">
        <v>4792.8999999999996</v>
      </c>
      <c r="D651" s="247">
        <f t="shared" si="13"/>
        <v>2.0031642595319399</v>
      </c>
      <c r="E651" s="248">
        <v>5.2012331956123549E-3</v>
      </c>
    </row>
    <row r="652" spans="2:5" ht="15" thickBot="1" x14ac:dyDescent="0.35">
      <c r="B652" s="170">
        <v>43292.645833333336</v>
      </c>
      <c r="C652" s="169">
        <v>1595.95</v>
      </c>
      <c r="D652" s="247">
        <f t="shared" si="13"/>
        <v>-0.56459643427137185</v>
      </c>
      <c r="E652" s="248">
        <v>5.1645410171626801E-3</v>
      </c>
    </row>
    <row r="653" spans="2:5" ht="15" thickBot="1" x14ac:dyDescent="0.35">
      <c r="B653" s="170">
        <v>45226.645833333336</v>
      </c>
      <c r="C653" s="169">
        <v>3665.45</v>
      </c>
      <c r="D653" s="247">
        <f t="shared" si="13"/>
        <v>1.7222057185295208</v>
      </c>
      <c r="E653" s="248">
        <v>5.1554166152495374E-3</v>
      </c>
    </row>
    <row r="654" spans="2:5" ht="15" thickBot="1" x14ac:dyDescent="0.35">
      <c r="B654" s="170">
        <v>43179.645833333336</v>
      </c>
      <c r="C654" s="169">
        <v>1346.5</v>
      </c>
      <c r="D654" s="247">
        <f t="shared" si="13"/>
        <v>-0.14322982947314833</v>
      </c>
      <c r="E654" s="248">
        <v>5.1507912809794654E-3</v>
      </c>
    </row>
    <row r="655" spans="2:5" ht="15" thickBot="1" x14ac:dyDescent="0.35">
      <c r="B655" s="170">
        <v>43326.645833333336</v>
      </c>
      <c r="C655" s="169">
        <v>1571.6</v>
      </c>
      <c r="D655" s="247">
        <f t="shared" si="13"/>
        <v>-0.56324426473244682</v>
      </c>
      <c r="E655" s="248">
        <v>5.1485401809983405E-3</v>
      </c>
    </row>
    <row r="656" spans="2:5" ht="15" thickBot="1" x14ac:dyDescent="0.35">
      <c r="B656" s="170">
        <v>45680.645833333336</v>
      </c>
      <c r="C656" s="169">
        <v>3598.35</v>
      </c>
      <c r="D656" s="247">
        <f t="shared" si="13"/>
        <v>-0.25364017257114413</v>
      </c>
      <c r="E656" s="248">
        <v>5.1397365884998649E-3</v>
      </c>
    </row>
    <row r="657" spans="2:5" ht="15" thickBot="1" x14ac:dyDescent="0.35">
      <c r="B657" s="170">
        <v>44539.645833333336</v>
      </c>
      <c r="C657" s="169">
        <v>4821.2</v>
      </c>
      <c r="D657" s="247">
        <f t="shared" si="13"/>
        <v>0.41546049734300222</v>
      </c>
      <c r="E657" s="248">
        <v>5.1286327815534861E-3</v>
      </c>
    </row>
    <row r="658" spans="2:5" ht="15" thickBot="1" x14ac:dyDescent="0.35">
      <c r="B658" s="170">
        <v>44742.645833333336</v>
      </c>
      <c r="C658" s="169">
        <v>3406.1</v>
      </c>
      <c r="D658" s="247">
        <f t="shared" si="13"/>
        <v>0.73197396521916003</v>
      </c>
      <c r="E658" s="248">
        <v>5.1198819623754803E-3</v>
      </c>
    </row>
    <row r="659" spans="2:5" ht="15" thickBot="1" x14ac:dyDescent="0.35">
      <c r="B659" s="170">
        <v>43770.645833333336</v>
      </c>
      <c r="C659" s="169">
        <v>1966.6</v>
      </c>
      <c r="D659" s="247">
        <f t="shared" si="13"/>
        <v>-0.54009494632959942</v>
      </c>
      <c r="E659" s="248">
        <v>5.0852221909896082E-3</v>
      </c>
    </row>
    <row r="660" spans="2:5" ht="15" thickBot="1" x14ac:dyDescent="0.35">
      <c r="B660" s="170">
        <v>44573.645833333336</v>
      </c>
      <c r="C660" s="169">
        <v>4276.1000000000004</v>
      </c>
      <c r="D660" s="247">
        <f t="shared" si="13"/>
        <v>0.21628694143413846</v>
      </c>
      <c r="E660" s="248">
        <v>5.0533540168288434E-3</v>
      </c>
    </row>
    <row r="661" spans="2:5" ht="15" thickBot="1" x14ac:dyDescent="0.35">
      <c r="B661" s="170">
        <v>45644.645833333336</v>
      </c>
      <c r="C661" s="169">
        <v>3515.7</v>
      </c>
      <c r="D661" s="247">
        <f t="shared" si="13"/>
        <v>1.2031646561178129</v>
      </c>
      <c r="E661" s="248">
        <v>5.0169375241198135E-3</v>
      </c>
    </row>
    <row r="662" spans="2:5" ht="15" thickBot="1" x14ac:dyDescent="0.35">
      <c r="B662" s="170">
        <v>43474.645833333336</v>
      </c>
      <c r="C662" s="169">
        <v>1595.75</v>
      </c>
      <c r="D662" s="247">
        <f t="shared" si="13"/>
        <v>-0.56611879222915562</v>
      </c>
      <c r="E662" s="248">
        <v>5.0069278246630848E-3</v>
      </c>
    </row>
    <row r="663" spans="2:5" ht="15" thickBot="1" x14ac:dyDescent="0.35">
      <c r="B663" s="170">
        <v>45054.645833333336</v>
      </c>
      <c r="C663" s="169">
        <v>3677.85</v>
      </c>
      <c r="D663" s="247">
        <f t="shared" si="13"/>
        <v>0.39309861555652342</v>
      </c>
      <c r="E663" s="248">
        <v>4.9594229035167066E-3</v>
      </c>
    </row>
    <row r="664" spans="2:5" ht="15" thickBot="1" x14ac:dyDescent="0.35">
      <c r="B664" s="170">
        <v>44180.645833333336</v>
      </c>
      <c r="C664" s="169">
        <v>2640.05</v>
      </c>
      <c r="D664" s="247">
        <f t="shared" si="13"/>
        <v>0.79278147494227924</v>
      </c>
      <c r="E664" s="248">
        <v>4.9485163967187525E-3</v>
      </c>
    </row>
    <row r="665" spans="2:5" ht="15" thickBot="1" x14ac:dyDescent="0.35">
      <c r="B665" s="170">
        <v>43566.645833333336</v>
      </c>
      <c r="C665" s="169">
        <v>1472.6</v>
      </c>
      <c r="D665" s="247">
        <f t="shared" si="13"/>
        <v>-0.64623921973718979</v>
      </c>
      <c r="E665" s="248">
        <v>4.9476234346743104E-3</v>
      </c>
    </row>
    <row r="666" spans="2:5" ht="15" thickBot="1" x14ac:dyDescent="0.35">
      <c r="B666" s="170">
        <v>44602.645833333336</v>
      </c>
      <c r="C666" s="169">
        <v>4162.7</v>
      </c>
      <c r="D666" s="247">
        <f t="shared" si="13"/>
        <v>0.55029607835834793</v>
      </c>
      <c r="E666" s="248">
        <v>4.9369304122155394E-3</v>
      </c>
    </row>
    <row r="667" spans="2:5" ht="15" thickBot="1" x14ac:dyDescent="0.35">
      <c r="B667" s="170">
        <v>44176.645833333336</v>
      </c>
      <c r="C667" s="169">
        <v>2685.1</v>
      </c>
      <c r="D667" s="247">
        <f t="shared" si="13"/>
        <v>-0.31951290596449433</v>
      </c>
      <c r="E667" s="248">
        <v>4.9214992795524213E-3</v>
      </c>
    </row>
    <row r="668" spans="2:5" ht="15" thickBot="1" x14ac:dyDescent="0.35">
      <c r="B668" s="170">
        <v>45600.645833333336</v>
      </c>
      <c r="C668" s="169">
        <v>3945.85</v>
      </c>
      <c r="D668" s="247">
        <f t="shared" si="13"/>
        <v>0.4201878779153469</v>
      </c>
      <c r="E668" s="248">
        <v>4.9152563955634655E-3</v>
      </c>
    </row>
    <row r="669" spans="2:5" ht="15" thickBot="1" x14ac:dyDescent="0.35">
      <c r="B669" s="170">
        <v>44215.645833333336</v>
      </c>
      <c r="C669" s="169">
        <v>2778.4</v>
      </c>
      <c r="D669" s="247">
        <f t="shared" si="13"/>
        <v>0.90634327078115884</v>
      </c>
      <c r="E669" s="248">
        <v>4.8644640951916937E-3</v>
      </c>
    </row>
    <row r="670" spans="2:5" ht="15" thickBot="1" x14ac:dyDescent="0.35">
      <c r="B670" s="170">
        <v>43531.645833333336</v>
      </c>
      <c r="C670" s="169">
        <v>1457.45</v>
      </c>
      <c r="D670" s="247">
        <f t="shared" si="13"/>
        <v>-0.36785148879876822</v>
      </c>
      <c r="E670" s="248">
        <v>4.8607280750137573E-3</v>
      </c>
    </row>
    <row r="671" spans="2:5" ht="15" thickBot="1" x14ac:dyDescent="0.35">
      <c r="B671" s="170">
        <v>44007.645833333336</v>
      </c>
      <c r="C671" s="169">
        <v>2305.5500000000002</v>
      </c>
      <c r="D671" s="247">
        <f t="shared" si="13"/>
        <v>0.70188971728057881</v>
      </c>
      <c r="E671" s="248">
        <v>4.8596582984658694E-3</v>
      </c>
    </row>
    <row r="672" spans="2:5" ht="15" thickBot="1" x14ac:dyDescent="0.35">
      <c r="B672" s="170">
        <v>43158.645833333336</v>
      </c>
      <c r="C672" s="169">
        <v>1354.7</v>
      </c>
      <c r="D672" s="247">
        <f t="shared" si="13"/>
        <v>-0.67424916440233729</v>
      </c>
      <c r="E672" s="248">
        <v>4.8585098097392379E-3</v>
      </c>
    </row>
    <row r="673" spans="2:5" ht="15" thickBot="1" x14ac:dyDescent="0.35">
      <c r="B673" s="170">
        <v>44874.645833333336</v>
      </c>
      <c r="C673" s="169">
        <v>4158.7</v>
      </c>
      <c r="D673" s="247">
        <f t="shared" si="13"/>
        <v>9.1264530688288784E-2</v>
      </c>
      <c r="E673" s="248">
        <v>4.7960182176207044E-3</v>
      </c>
    </row>
    <row r="674" spans="2:5" ht="15" thickBot="1" x14ac:dyDescent="0.35">
      <c r="B674" s="170">
        <v>45247.645833333336</v>
      </c>
      <c r="C674" s="169">
        <v>3810.9</v>
      </c>
      <c r="D674" s="247">
        <f t="shared" si="13"/>
        <v>-9.1247272597202861E-2</v>
      </c>
      <c r="E674" s="248">
        <v>4.7457090880329037E-3</v>
      </c>
    </row>
    <row r="675" spans="2:5" ht="15" thickBot="1" x14ac:dyDescent="0.35">
      <c r="B675" s="170">
        <v>45580.645833333336</v>
      </c>
      <c r="C675" s="169">
        <v>4193.55</v>
      </c>
      <c r="D675" s="247">
        <f t="shared" si="13"/>
        <v>2.124850968703428</v>
      </c>
      <c r="E675" s="248">
        <v>4.7318989889309502E-3</v>
      </c>
    </row>
    <row r="676" spans="2:5" ht="15" thickBot="1" x14ac:dyDescent="0.35">
      <c r="B676" s="170">
        <v>43634.645833333336</v>
      </c>
      <c r="C676" s="169">
        <v>1342</v>
      </c>
      <c r="D676" s="247">
        <f t="shared" si="13"/>
        <v>-9.2875490063539332E-2</v>
      </c>
      <c r="E676" s="248">
        <v>4.7166279853260119E-3</v>
      </c>
    </row>
    <row r="677" spans="2:5" ht="15" thickBot="1" x14ac:dyDescent="0.35">
      <c r="B677" s="170">
        <v>43551.645833333336</v>
      </c>
      <c r="C677" s="169">
        <v>1479.4</v>
      </c>
      <c r="D677" s="247">
        <f t="shared" si="13"/>
        <v>-0.50017737385340466</v>
      </c>
      <c r="E677" s="248">
        <v>4.685908319185121E-3</v>
      </c>
    </row>
    <row r="678" spans="2:5" ht="15" thickBot="1" x14ac:dyDescent="0.35">
      <c r="B678" s="170">
        <v>44231.645833333336</v>
      </c>
      <c r="C678" s="169">
        <v>2959.85</v>
      </c>
      <c r="D678" s="247">
        <f t="shared" si="13"/>
        <v>1.3974161671796534</v>
      </c>
      <c r="E678" s="248">
        <v>4.6842382172738841E-3</v>
      </c>
    </row>
    <row r="679" spans="2:5" ht="15" thickBot="1" x14ac:dyDescent="0.35">
      <c r="B679" s="170">
        <v>43112.645833333336</v>
      </c>
      <c r="C679" s="169">
        <v>1234.5999999999999</v>
      </c>
      <c r="D679" s="247">
        <f t="shared" si="13"/>
        <v>-0.39766795140752303</v>
      </c>
      <c r="E679" s="248">
        <v>4.6791715831875332E-3</v>
      </c>
    </row>
    <row r="680" spans="2:5" ht="15" thickBot="1" x14ac:dyDescent="0.35">
      <c r="B680" s="170">
        <v>44041.645833333336</v>
      </c>
      <c r="C680" s="169">
        <v>2049.6999999999998</v>
      </c>
      <c r="D680" s="247">
        <f t="shared" si="13"/>
        <v>-0.45732062483452479</v>
      </c>
      <c r="E680" s="248">
        <v>4.6564062346827629E-3</v>
      </c>
    </row>
    <row r="681" spans="2:5" ht="15" thickBot="1" x14ac:dyDescent="0.35">
      <c r="B681" s="170">
        <v>45608.645833333336</v>
      </c>
      <c r="C681" s="169">
        <v>3777</v>
      </c>
      <c r="D681" s="247">
        <f t="shared" si="13"/>
        <v>2.6945591143794126E-3</v>
      </c>
      <c r="E681" s="248">
        <v>4.6415129470281863E-3</v>
      </c>
    </row>
    <row r="682" spans="2:5" ht="15" thickBot="1" x14ac:dyDescent="0.35">
      <c r="B682" s="170">
        <v>45218.645833333336</v>
      </c>
      <c r="C682" s="169">
        <v>3766.85</v>
      </c>
      <c r="D682" s="247">
        <f t="shared" si="13"/>
        <v>0.4065907393577296</v>
      </c>
      <c r="E682" s="248">
        <v>4.6272836378183514E-3</v>
      </c>
    </row>
    <row r="683" spans="2:5" ht="15" thickBot="1" x14ac:dyDescent="0.35">
      <c r="B683" s="170">
        <v>44193.645833333336</v>
      </c>
      <c r="C683" s="169">
        <v>2678</v>
      </c>
      <c r="D683" s="247">
        <f t="shared" si="13"/>
        <v>-0.39498000587398058</v>
      </c>
      <c r="E683" s="248">
        <v>4.6141726375811916E-3</v>
      </c>
    </row>
    <row r="684" spans="2:5" ht="15" thickBot="1" x14ac:dyDescent="0.35">
      <c r="B684" s="170">
        <v>44811.645833333336</v>
      </c>
      <c r="C684" s="169">
        <v>4426.3</v>
      </c>
      <c r="D684" s="247">
        <f t="shared" si="13"/>
        <v>0.18070875068354303</v>
      </c>
      <c r="E684" s="248">
        <v>4.5959532914969185E-3</v>
      </c>
    </row>
    <row r="685" spans="2:5" ht="15" thickBot="1" x14ac:dyDescent="0.35">
      <c r="B685" s="170">
        <v>45309.645833333336</v>
      </c>
      <c r="C685" s="169">
        <v>3748.85</v>
      </c>
      <c r="D685" s="247">
        <f t="shared" si="13"/>
        <v>0.77670616113744073</v>
      </c>
      <c r="E685" s="248">
        <v>4.5957606452823353E-3</v>
      </c>
    </row>
    <row r="686" spans="2:5" ht="15" thickBot="1" x14ac:dyDescent="0.35">
      <c r="B686" s="170">
        <v>44034.645833333336</v>
      </c>
      <c r="C686" s="169">
        <v>2110</v>
      </c>
      <c r="D686" s="247">
        <f t="shared" si="13"/>
        <v>-0.49775058913141801</v>
      </c>
      <c r="E686" s="248">
        <v>4.5944723498464977E-3</v>
      </c>
    </row>
    <row r="687" spans="2:5" ht="15" thickBot="1" x14ac:dyDescent="0.35">
      <c r="B687" s="170">
        <v>44909.645833333336</v>
      </c>
      <c r="C687" s="169">
        <v>4201.1000000000004</v>
      </c>
      <c r="D687" s="247">
        <f t="shared" si="13"/>
        <v>2.56131055821642</v>
      </c>
      <c r="E687" s="248">
        <v>4.5671927307509236E-3</v>
      </c>
    </row>
    <row r="688" spans="2:5" ht="15" thickBot="1" x14ac:dyDescent="0.35">
      <c r="B688" s="170">
        <v>43131.645833333336</v>
      </c>
      <c r="C688" s="169">
        <v>1179.6500000000001</v>
      </c>
      <c r="D688" s="247">
        <f t="shared" si="13"/>
        <v>-0.73226586171287211</v>
      </c>
      <c r="E688" s="248">
        <v>4.5559056459168329E-3</v>
      </c>
    </row>
    <row r="689" spans="2:5" ht="15" thickBot="1" x14ac:dyDescent="0.35">
      <c r="B689" s="170">
        <v>44812.645833333336</v>
      </c>
      <c r="C689" s="169">
        <v>4406.05</v>
      </c>
      <c r="D689" s="247">
        <f t="shared" si="13"/>
        <v>0.23683804230353567</v>
      </c>
      <c r="E689" s="248">
        <v>4.5484599074348091E-3</v>
      </c>
    </row>
    <row r="690" spans="2:5" ht="15" thickBot="1" x14ac:dyDescent="0.35">
      <c r="B690" s="170">
        <v>44953.645833333336</v>
      </c>
      <c r="C690" s="169">
        <v>3562.35</v>
      </c>
      <c r="D690" s="247">
        <f t="shared" si="13"/>
        <v>5.5980435749221846E-2</v>
      </c>
      <c r="E690" s="248">
        <v>4.5258438372387348E-3</v>
      </c>
    </row>
    <row r="691" spans="2:5" ht="15" thickBot="1" x14ac:dyDescent="0.35">
      <c r="B691" s="170">
        <v>45008.645833333336</v>
      </c>
      <c r="C691" s="169">
        <v>3373.5</v>
      </c>
      <c r="D691" s="247">
        <f t="shared" si="13"/>
        <v>-0.14354261341999036</v>
      </c>
      <c r="E691" s="248">
        <v>4.4961886612672431E-3</v>
      </c>
    </row>
    <row r="692" spans="2:5" ht="15" thickBot="1" x14ac:dyDescent="0.35">
      <c r="B692" s="170">
        <v>44442.645833333336</v>
      </c>
      <c r="C692" s="169">
        <v>3938.9</v>
      </c>
      <c r="D692" s="247">
        <f t="shared" si="13"/>
        <v>1.7599761762954138</v>
      </c>
      <c r="E692" s="248">
        <v>4.4883074490602373E-3</v>
      </c>
    </row>
    <row r="693" spans="2:5" ht="15" thickBot="1" x14ac:dyDescent="0.35">
      <c r="B693" s="170">
        <v>43368.645833333336</v>
      </c>
      <c r="C693" s="169">
        <v>1427.15</v>
      </c>
      <c r="D693" s="247">
        <f t="shared" si="13"/>
        <v>-0.68822160810057997</v>
      </c>
      <c r="E693" s="248">
        <v>4.4693130630631588E-3</v>
      </c>
    </row>
    <row r="694" spans="2:5" ht="15" thickBot="1" x14ac:dyDescent="0.35">
      <c r="B694" s="170">
        <v>44809.645833333336</v>
      </c>
      <c r="C694" s="169">
        <v>4577.45</v>
      </c>
      <c r="D694" s="247">
        <f t="shared" si="13"/>
        <v>1.4082335920031566</v>
      </c>
      <c r="E694" s="248">
        <v>4.4655592372340857E-3</v>
      </c>
    </row>
    <row r="695" spans="2:5" ht="15" thickBot="1" x14ac:dyDescent="0.35">
      <c r="B695" s="170">
        <v>43761.645833333336</v>
      </c>
      <c r="C695" s="169">
        <v>1900.75</v>
      </c>
      <c r="D695" s="247">
        <f t="shared" si="13"/>
        <v>-0.50936358591138475</v>
      </c>
      <c r="E695" s="248">
        <v>4.4654653067695638E-3</v>
      </c>
    </row>
    <row r="696" spans="2:5" ht="15" thickBot="1" x14ac:dyDescent="0.35">
      <c r="B696" s="170">
        <v>44713.645833333336</v>
      </c>
      <c r="C696" s="169">
        <v>3874.05</v>
      </c>
      <c r="D696" s="247">
        <f t="shared" si="13"/>
        <v>1.0472705173598269</v>
      </c>
      <c r="E696" s="248">
        <v>4.4465762659130622E-3</v>
      </c>
    </row>
    <row r="697" spans="2:5" ht="15" thickBot="1" x14ac:dyDescent="0.35">
      <c r="B697" s="170">
        <v>43762.645833333336</v>
      </c>
      <c r="C697" s="169">
        <v>1892.3</v>
      </c>
      <c r="D697" s="247">
        <f t="shared" si="13"/>
        <v>-0.18207948823237025</v>
      </c>
      <c r="E697" s="248">
        <v>4.4321770747630827E-3</v>
      </c>
    </row>
    <row r="698" spans="2:5" ht="15" thickBot="1" x14ac:dyDescent="0.35">
      <c r="B698" s="170">
        <v>43962.645833333336</v>
      </c>
      <c r="C698" s="169">
        <v>2313.5500000000002</v>
      </c>
      <c r="D698" s="247">
        <f t="shared" si="13"/>
        <v>-0.43332149461746655</v>
      </c>
      <c r="E698" s="248">
        <v>4.4283326459288747E-3</v>
      </c>
    </row>
    <row r="699" spans="2:5" ht="15" thickBot="1" x14ac:dyDescent="0.35">
      <c r="B699" s="170">
        <v>45289.645833333336</v>
      </c>
      <c r="C699" s="169">
        <v>4082.65</v>
      </c>
      <c r="D699" s="247">
        <f t="shared" si="13"/>
        <v>2.143401601478288</v>
      </c>
      <c r="E699" s="248">
        <v>4.4037148656129134E-3</v>
      </c>
    </row>
    <row r="700" spans="2:5" ht="15" thickBot="1" x14ac:dyDescent="0.35">
      <c r="B700" s="170">
        <v>43166.645833333336</v>
      </c>
      <c r="C700" s="169">
        <v>1298.8</v>
      </c>
      <c r="D700" s="247">
        <f t="shared" si="13"/>
        <v>-1.8060946086155604E-3</v>
      </c>
      <c r="E700" s="248">
        <v>4.3691760429956797E-3</v>
      </c>
    </row>
    <row r="701" spans="2:5" ht="15" thickBot="1" x14ac:dyDescent="0.35">
      <c r="B701" s="170">
        <v>43581.645833333336</v>
      </c>
      <c r="C701" s="169">
        <v>1301.1500000000001</v>
      </c>
      <c r="D701" s="247">
        <f t="shared" si="13"/>
        <v>-0.69706529457644084</v>
      </c>
      <c r="E701" s="248">
        <v>4.3612504824392826E-3</v>
      </c>
    </row>
    <row r="702" spans="2:5" ht="15" thickBot="1" x14ac:dyDescent="0.35">
      <c r="B702" s="170">
        <v>44622.645833333336</v>
      </c>
      <c r="C702" s="169">
        <v>4295.1499999999996</v>
      </c>
      <c r="D702" s="247">
        <f t="shared" si="13"/>
        <v>-0.19272443638345668</v>
      </c>
      <c r="E702" s="248">
        <v>4.3610429089207614E-3</v>
      </c>
    </row>
    <row r="703" spans="2:5" ht="15" thickBot="1" x14ac:dyDescent="0.35">
      <c r="B703" s="170">
        <v>45555.645833333336</v>
      </c>
      <c r="C703" s="169">
        <v>5320.55</v>
      </c>
      <c r="D703" s="247">
        <f t="shared" si="13"/>
        <v>1.3633759022765131</v>
      </c>
      <c r="E703" s="248">
        <v>4.3605885850740199E-3</v>
      </c>
    </row>
    <row r="704" spans="2:5" ht="15" thickBot="1" x14ac:dyDescent="0.35">
      <c r="B704" s="170">
        <v>44074.645833333336</v>
      </c>
      <c r="C704" s="169">
        <v>2251.25</v>
      </c>
      <c r="D704" s="247">
        <f t="shared" si="13"/>
        <v>-0.39746540695340316</v>
      </c>
      <c r="E704" s="248">
        <v>4.3049607423269499E-3</v>
      </c>
    </row>
    <row r="705" spans="2:5" ht="15" thickBot="1" x14ac:dyDescent="0.35">
      <c r="B705" s="170">
        <v>45168.645833333336</v>
      </c>
      <c r="C705" s="169">
        <v>3736.3</v>
      </c>
      <c r="D705" s="247">
        <f t="shared" si="13"/>
        <v>1.8510492178557805</v>
      </c>
      <c r="E705" s="248">
        <v>4.273734007096036E-3</v>
      </c>
    </row>
    <row r="706" spans="2:5" ht="15" thickBot="1" x14ac:dyDescent="0.35">
      <c r="B706" s="170">
        <v>43628.645833333336</v>
      </c>
      <c r="C706" s="169">
        <v>1310.5</v>
      </c>
      <c r="D706" s="247">
        <f t="shared" si="13"/>
        <v>-0.16938678497860879</v>
      </c>
      <c r="E706" s="248">
        <v>4.2145593869731797E-3</v>
      </c>
    </row>
    <row r="707" spans="2:5" ht="15" thickBot="1" x14ac:dyDescent="0.35">
      <c r="B707" s="170">
        <v>43469.645833333336</v>
      </c>
      <c r="C707" s="169">
        <v>1577.75</v>
      </c>
      <c r="D707" s="247">
        <f t="shared" si="13"/>
        <v>0.33188418031403016</v>
      </c>
      <c r="E707" s="248">
        <v>4.2007446774654927E-3</v>
      </c>
    </row>
    <row r="708" spans="2:5" ht="15" thickBot="1" x14ac:dyDescent="0.35">
      <c r="B708" s="170">
        <v>43130.645833333336</v>
      </c>
      <c r="C708" s="169">
        <v>1184.5999999999999</v>
      </c>
      <c r="D708" s="247">
        <f t="shared" si="13"/>
        <v>-0.7067749201712914</v>
      </c>
      <c r="E708" s="248">
        <v>4.1961598779297398E-3</v>
      </c>
    </row>
    <row r="709" spans="2:5" ht="15" thickBot="1" x14ac:dyDescent="0.35">
      <c r="B709" s="170">
        <v>45751.645833333336</v>
      </c>
      <c r="C709" s="168">
        <v>4039.9</v>
      </c>
      <c r="D709" s="247">
        <f t="shared" ref="D709:D772" si="14">(C709-C710)/C710</f>
        <v>1.5846262115735263</v>
      </c>
      <c r="E709" s="248">
        <v>4.1634042976274807E-3</v>
      </c>
    </row>
    <row r="710" spans="2:5" ht="15" thickBot="1" x14ac:dyDescent="0.35">
      <c r="B710" s="170">
        <v>43306.645833333336</v>
      </c>
      <c r="C710" s="169">
        <v>1563.05</v>
      </c>
      <c r="D710" s="247">
        <f t="shared" si="14"/>
        <v>0.11862162742431834</v>
      </c>
      <c r="E710" s="248">
        <v>4.1436464088398083E-3</v>
      </c>
    </row>
    <row r="711" spans="2:5" ht="15" thickBot="1" x14ac:dyDescent="0.35">
      <c r="B711" s="170">
        <v>43488.645833333336</v>
      </c>
      <c r="C711" s="169">
        <v>1397.3</v>
      </c>
      <c r="D711" s="247">
        <f t="shared" si="14"/>
        <v>-0.7384557791296209</v>
      </c>
      <c r="E711" s="248">
        <v>4.1320829291078293E-3</v>
      </c>
    </row>
    <row r="712" spans="2:5" ht="15" thickBot="1" x14ac:dyDescent="0.35">
      <c r="B712" s="170">
        <v>45554.645833333336</v>
      </c>
      <c r="C712" s="169">
        <v>5342.5</v>
      </c>
      <c r="D712" s="247">
        <f t="shared" si="14"/>
        <v>0.59432399767230193</v>
      </c>
      <c r="E712" s="248">
        <v>4.1255133397862659E-3</v>
      </c>
    </row>
    <row r="713" spans="2:5" ht="15" thickBot="1" x14ac:dyDescent="0.35">
      <c r="B713" s="170">
        <v>44999.645833333336</v>
      </c>
      <c r="C713" s="169">
        <v>3350.95</v>
      </c>
      <c r="D713" s="247">
        <f t="shared" si="14"/>
        <v>-0.2790399965575851</v>
      </c>
      <c r="E713" s="248">
        <v>4.1051764177091376E-3</v>
      </c>
    </row>
    <row r="714" spans="2:5" ht="15" thickBot="1" x14ac:dyDescent="0.35">
      <c r="B714" s="170">
        <v>44553.645833333336</v>
      </c>
      <c r="C714" s="169">
        <v>4647.8999999999996</v>
      </c>
      <c r="D714" s="247">
        <f t="shared" si="14"/>
        <v>1.5451210163180373</v>
      </c>
      <c r="E714" s="248">
        <v>4.1046468923502345E-3</v>
      </c>
    </row>
    <row r="715" spans="2:5" ht="15" thickBot="1" x14ac:dyDescent="0.35">
      <c r="B715" s="170">
        <v>43789.645833333336</v>
      </c>
      <c r="C715" s="169">
        <v>1826.2</v>
      </c>
      <c r="D715" s="247">
        <f t="shared" si="14"/>
        <v>-0.19175020469583298</v>
      </c>
      <c r="E715" s="248">
        <v>4.0962199312715025E-3</v>
      </c>
    </row>
    <row r="716" spans="2:5" ht="15" thickBot="1" x14ac:dyDescent="0.35">
      <c r="B716" s="170">
        <v>44064.645833333336</v>
      </c>
      <c r="C716" s="169">
        <v>2259.4499999999998</v>
      </c>
      <c r="D716" s="247">
        <f t="shared" si="14"/>
        <v>-0.42526645130109642</v>
      </c>
      <c r="E716" s="248">
        <v>4.0661245167309401E-3</v>
      </c>
    </row>
    <row r="717" spans="2:5" ht="15" thickBot="1" x14ac:dyDescent="0.35">
      <c r="B717" s="170">
        <v>44761.645833333336</v>
      </c>
      <c r="C717" s="169">
        <v>3931.3</v>
      </c>
      <c r="D717" s="247">
        <f t="shared" si="14"/>
        <v>0.37643331057542501</v>
      </c>
      <c r="E717" s="248">
        <v>4.0480659949687428E-3</v>
      </c>
    </row>
    <row r="718" spans="2:5" ht="15" thickBot="1" x14ac:dyDescent="0.35">
      <c r="B718" s="170">
        <v>44328.645833333336</v>
      </c>
      <c r="C718" s="169">
        <v>2856.15</v>
      </c>
      <c r="D718" s="247">
        <f t="shared" si="14"/>
        <v>0.83876263439129606</v>
      </c>
      <c r="E718" s="248">
        <v>4.0426766034485787E-3</v>
      </c>
    </row>
    <row r="719" spans="2:5" ht="15" thickBot="1" x14ac:dyDescent="0.35">
      <c r="B719" s="170">
        <v>43705.645833333336</v>
      </c>
      <c r="C719" s="169">
        <v>1553.3</v>
      </c>
      <c r="D719" s="247">
        <f t="shared" si="14"/>
        <v>-0.35068138115542175</v>
      </c>
      <c r="E719" s="248">
        <v>4.0399469958954139E-3</v>
      </c>
    </row>
    <row r="720" spans="2:5" ht="15" thickBot="1" x14ac:dyDescent="0.35">
      <c r="B720" s="170">
        <v>44154.645833333336</v>
      </c>
      <c r="C720" s="169">
        <v>2392.1999999999998</v>
      </c>
      <c r="D720" s="247">
        <f t="shared" si="14"/>
        <v>0.61607836514102332</v>
      </c>
      <c r="E720" s="248">
        <v>4.0292117854444347E-3</v>
      </c>
    </row>
    <row r="721" spans="2:5" ht="15" thickBot="1" x14ac:dyDescent="0.35">
      <c r="B721" s="170">
        <v>43215.645833333336</v>
      </c>
      <c r="C721" s="169">
        <v>1480.25</v>
      </c>
      <c r="D721" s="247">
        <f t="shared" si="14"/>
        <v>-0.61629685312872629</v>
      </c>
      <c r="E721" s="248">
        <v>4.0017634889952126E-3</v>
      </c>
    </row>
    <row r="722" spans="2:5" ht="15" thickBot="1" x14ac:dyDescent="0.35">
      <c r="B722" s="170">
        <v>44931.645833333336</v>
      </c>
      <c r="C722" s="169">
        <v>3857.8</v>
      </c>
      <c r="D722" s="247">
        <f t="shared" si="14"/>
        <v>0.79028702693923025</v>
      </c>
      <c r="E722" s="248">
        <v>3.9817826935589279E-3</v>
      </c>
    </row>
    <row r="723" spans="2:5" ht="15" thickBot="1" x14ac:dyDescent="0.35">
      <c r="B723" s="170">
        <v>44026.645833333336</v>
      </c>
      <c r="C723" s="169">
        <v>2154.85</v>
      </c>
      <c r="D723" s="247">
        <f t="shared" si="14"/>
        <v>0.43412864796512596</v>
      </c>
      <c r="E723" s="248">
        <v>3.9602115218859927E-3</v>
      </c>
    </row>
    <row r="724" spans="2:5" ht="15" thickBot="1" x14ac:dyDescent="0.35">
      <c r="B724" s="170">
        <v>43439.645833333336</v>
      </c>
      <c r="C724" s="169">
        <v>1502.55</v>
      </c>
      <c r="D724" s="247">
        <f t="shared" si="14"/>
        <v>0.28040051129100974</v>
      </c>
      <c r="E724" s="248">
        <v>3.9421374402832084E-3</v>
      </c>
    </row>
    <row r="725" spans="2:5" ht="15" thickBot="1" x14ac:dyDescent="0.35">
      <c r="B725" s="170">
        <v>43147.645833333336</v>
      </c>
      <c r="C725" s="169">
        <v>1173.5</v>
      </c>
      <c r="D725" s="247">
        <f t="shared" si="14"/>
        <v>-0.62769079458747756</v>
      </c>
      <c r="E725" s="248">
        <v>3.9353238087089645E-3</v>
      </c>
    </row>
    <row r="726" spans="2:5" ht="15" thickBot="1" x14ac:dyDescent="0.35">
      <c r="B726" s="170">
        <v>44250.645833333336</v>
      </c>
      <c r="C726" s="169">
        <v>3151.95</v>
      </c>
      <c r="D726" s="247">
        <f t="shared" si="14"/>
        <v>1.1832444413659347</v>
      </c>
      <c r="E726" s="248">
        <v>3.9016466541389309E-3</v>
      </c>
    </row>
    <row r="727" spans="2:5" ht="15" thickBot="1" x14ac:dyDescent="0.35">
      <c r="B727" s="170">
        <v>43432.645833333336</v>
      </c>
      <c r="C727" s="169">
        <v>1443.7</v>
      </c>
      <c r="D727" s="247">
        <f t="shared" si="14"/>
        <v>-0.29757213058920845</v>
      </c>
      <c r="E727" s="248">
        <v>3.8940268409708204E-3</v>
      </c>
    </row>
    <row r="728" spans="2:5" ht="15" thickBot="1" x14ac:dyDescent="0.35">
      <c r="B728" s="170">
        <v>44097.645833333336</v>
      </c>
      <c r="C728" s="169">
        <v>2055.3000000000002</v>
      </c>
      <c r="D728" s="247">
        <f t="shared" si="14"/>
        <v>-0.10280251440544787</v>
      </c>
      <c r="E728" s="248">
        <v>3.8830683566562986E-3</v>
      </c>
    </row>
    <row r="729" spans="2:5" ht="15" thickBot="1" x14ac:dyDescent="0.35">
      <c r="B729" s="170">
        <v>44139.645833333336</v>
      </c>
      <c r="C729" s="169">
        <v>2290.8000000000002</v>
      </c>
      <c r="D729" s="247">
        <f t="shared" si="14"/>
        <v>-0.54182625478764368</v>
      </c>
      <c r="E729" s="248">
        <v>3.878262012752411E-3</v>
      </c>
    </row>
    <row r="730" spans="2:5" ht="15" thickBot="1" x14ac:dyDescent="0.35">
      <c r="B730" s="170">
        <v>45537.645833333336</v>
      </c>
      <c r="C730" s="169">
        <v>4999.8500000000004</v>
      </c>
      <c r="D730" s="247">
        <f t="shared" si="14"/>
        <v>0.29940485472217893</v>
      </c>
      <c r="E730" s="248">
        <v>3.8649961851985703E-3</v>
      </c>
    </row>
    <row r="731" spans="2:5" ht="15" thickBot="1" x14ac:dyDescent="0.35">
      <c r="B731" s="170">
        <v>44434.645833333336</v>
      </c>
      <c r="C731" s="169">
        <v>3847.8</v>
      </c>
      <c r="D731" s="247">
        <f t="shared" si="14"/>
        <v>1.8203474309169538</v>
      </c>
      <c r="E731" s="248">
        <v>3.8481105125161424E-3</v>
      </c>
    </row>
    <row r="732" spans="2:5" ht="15" thickBot="1" x14ac:dyDescent="0.35">
      <c r="B732" s="170">
        <v>43193.645833333336</v>
      </c>
      <c r="C732" s="169">
        <v>1364.3</v>
      </c>
      <c r="D732" s="247">
        <f t="shared" si="14"/>
        <v>-0.64919904348049684</v>
      </c>
      <c r="E732" s="248">
        <v>3.7891329139534734E-3</v>
      </c>
    </row>
    <row r="733" spans="2:5" ht="15" thickBot="1" x14ac:dyDescent="0.35">
      <c r="B733" s="170">
        <v>45603.645833333336</v>
      </c>
      <c r="C733" s="169">
        <v>3889.1</v>
      </c>
      <c r="D733" s="247">
        <f t="shared" si="14"/>
        <v>0.88302224804512552</v>
      </c>
      <c r="E733" s="248">
        <v>3.7682281584720373E-3</v>
      </c>
    </row>
    <row r="734" spans="2:5" ht="15" thickBot="1" x14ac:dyDescent="0.35">
      <c r="B734" s="170">
        <v>44112.645833333336</v>
      </c>
      <c r="C734" s="169">
        <v>2065.35</v>
      </c>
      <c r="D734" s="247">
        <f t="shared" si="14"/>
        <v>-0.44126876775328017</v>
      </c>
      <c r="E734" s="248">
        <v>3.7665241057542771E-3</v>
      </c>
    </row>
    <row r="735" spans="2:5" ht="15" thickBot="1" x14ac:dyDescent="0.35">
      <c r="B735" s="170">
        <v>45701.645833333336</v>
      </c>
      <c r="C735" s="169">
        <v>3696.5</v>
      </c>
      <c r="D735" s="247">
        <f t="shared" si="14"/>
        <v>-0.13182864390060597</v>
      </c>
      <c r="E735" s="248">
        <v>3.7608787150557096E-3</v>
      </c>
    </row>
    <row r="736" spans="2:5" ht="15" thickBot="1" x14ac:dyDescent="0.35">
      <c r="B736" s="170">
        <v>45874.645833333336</v>
      </c>
      <c r="C736" s="168">
        <v>4257.8</v>
      </c>
      <c r="D736" s="247">
        <f t="shared" si="14"/>
        <v>-0.15205225738354608</v>
      </c>
      <c r="E736" s="248">
        <v>3.7246581801037675E-3</v>
      </c>
    </row>
    <row r="737" spans="2:5" ht="15" thickBot="1" x14ac:dyDescent="0.35">
      <c r="B737" s="170">
        <v>45520.645833333336</v>
      </c>
      <c r="C737" s="169">
        <v>5021.3</v>
      </c>
      <c r="D737" s="247">
        <f t="shared" si="14"/>
        <v>8.1174773378119416E-2</v>
      </c>
      <c r="E737" s="248">
        <v>3.7179922841666228E-3</v>
      </c>
    </row>
    <row r="738" spans="2:5" ht="15" thickBot="1" x14ac:dyDescent="0.35">
      <c r="B738" s="170">
        <v>45398.645833333336</v>
      </c>
      <c r="C738" s="169">
        <v>4644.3</v>
      </c>
      <c r="D738" s="247">
        <f t="shared" si="14"/>
        <v>2.1121758359579172</v>
      </c>
      <c r="E738" s="248">
        <v>3.7172310950703068E-3</v>
      </c>
    </row>
    <row r="739" spans="2:5" ht="15" thickBot="1" x14ac:dyDescent="0.35">
      <c r="B739" s="170">
        <v>43223.645833333336</v>
      </c>
      <c r="C739" s="169">
        <v>1492.3</v>
      </c>
      <c r="D739" s="247">
        <f t="shared" si="14"/>
        <v>-0.63280923205629791</v>
      </c>
      <c r="E739" s="248">
        <v>3.6992198009147162E-3</v>
      </c>
    </row>
    <row r="740" spans="2:5" ht="15" thickBot="1" x14ac:dyDescent="0.35">
      <c r="B740" s="170">
        <v>45790.645833333336</v>
      </c>
      <c r="C740" s="168">
        <v>4064.1</v>
      </c>
      <c r="D740" s="247">
        <f t="shared" si="14"/>
        <v>2.9994297662041414E-2</v>
      </c>
      <c r="E740" s="248">
        <v>3.6797392077447624E-3</v>
      </c>
    </row>
    <row r="741" spans="2:5" ht="15" thickBot="1" x14ac:dyDescent="0.35">
      <c r="B741" s="170">
        <v>44760.645833333336</v>
      </c>
      <c r="C741" s="169">
        <v>3945.75</v>
      </c>
      <c r="D741" s="247">
        <f t="shared" si="14"/>
        <v>-0.16242119340253447</v>
      </c>
      <c r="E741" s="248">
        <v>3.6756289268180544E-3</v>
      </c>
    </row>
    <row r="742" spans="2:5" ht="15" thickBot="1" x14ac:dyDescent="0.35">
      <c r="B742" s="170">
        <v>44530.645833333336</v>
      </c>
      <c r="C742" s="169">
        <v>4710.8999999999996</v>
      </c>
      <c r="D742" s="247">
        <f t="shared" si="14"/>
        <v>0.26862174826304719</v>
      </c>
      <c r="E742" s="248">
        <v>3.6644864392696209E-3</v>
      </c>
    </row>
    <row r="743" spans="2:5" ht="15" thickBot="1" x14ac:dyDescent="0.35">
      <c r="B743" s="170">
        <v>45140.645833333336</v>
      </c>
      <c r="C743" s="169">
        <v>3713.4</v>
      </c>
      <c r="D743" s="247">
        <f t="shared" si="14"/>
        <v>1.8304471227016575E-2</v>
      </c>
      <c r="E743" s="248">
        <v>3.6487472634395522E-3</v>
      </c>
    </row>
    <row r="744" spans="2:5" ht="15" thickBot="1" x14ac:dyDescent="0.35">
      <c r="B744" s="170">
        <v>45229.645833333336</v>
      </c>
      <c r="C744" s="169">
        <v>3646.65</v>
      </c>
      <c r="D744" s="247">
        <f t="shared" si="14"/>
        <v>-4.0829145728642716E-3</v>
      </c>
      <c r="E744" s="248">
        <v>3.6467220784939724E-3</v>
      </c>
    </row>
    <row r="745" spans="2:5" ht="15" thickBot="1" x14ac:dyDescent="0.35">
      <c r="B745" s="170">
        <v>44725.645833333336</v>
      </c>
      <c r="C745" s="169">
        <v>3661.6</v>
      </c>
      <c r="D745" s="247">
        <f t="shared" si="14"/>
        <v>-5.0611906243518009E-2</v>
      </c>
      <c r="E745" s="248">
        <v>3.6455335361674549E-3</v>
      </c>
    </row>
    <row r="746" spans="2:5" ht="15" thickBot="1" x14ac:dyDescent="0.35">
      <c r="B746" s="170">
        <v>45215.645833333336</v>
      </c>
      <c r="C746" s="169">
        <v>3856.8</v>
      </c>
      <c r="D746" s="247">
        <f t="shared" si="14"/>
        <v>0.60265946395179726</v>
      </c>
      <c r="E746" s="248">
        <v>3.6301182715953715E-3</v>
      </c>
    </row>
    <row r="747" spans="2:5" ht="15" thickBot="1" x14ac:dyDescent="0.35">
      <c r="B747" s="170">
        <v>43993.645833333336</v>
      </c>
      <c r="C747" s="169">
        <v>2406.5</v>
      </c>
      <c r="D747" s="247">
        <f t="shared" si="14"/>
        <v>0.72292822623948449</v>
      </c>
      <c r="E747" s="248">
        <v>3.62832596546827E-3</v>
      </c>
    </row>
    <row r="748" spans="2:5" ht="15" thickBot="1" x14ac:dyDescent="0.35">
      <c r="B748" s="170">
        <v>43413.645833333336</v>
      </c>
      <c r="C748" s="169">
        <v>1396.75</v>
      </c>
      <c r="D748" s="247">
        <f t="shared" si="14"/>
        <v>-0.60038052185854884</v>
      </c>
      <c r="E748" s="248">
        <v>3.5925992455541583E-3</v>
      </c>
    </row>
    <row r="749" spans="2:5" ht="15" thickBot="1" x14ac:dyDescent="0.35">
      <c r="B749" s="170">
        <v>44970.645833333336</v>
      </c>
      <c r="C749" s="169">
        <v>3495.2</v>
      </c>
      <c r="D749" s="247">
        <f t="shared" si="14"/>
        <v>-0.16252545824847256</v>
      </c>
      <c r="E749" s="248">
        <v>3.5891693226519656E-3</v>
      </c>
    </row>
    <row r="750" spans="2:5" ht="15" thickBot="1" x14ac:dyDescent="0.35">
      <c r="B750" s="170">
        <v>44872.645833333336</v>
      </c>
      <c r="C750" s="169">
        <v>4173.5</v>
      </c>
      <c r="D750" s="247">
        <f t="shared" si="14"/>
        <v>-1.8046209590136891E-2</v>
      </c>
      <c r="E750" s="248">
        <v>3.558804434078001E-3</v>
      </c>
    </row>
    <row r="751" spans="2:5" ht="15" thickBot="1" x14ac:dyDescent="0.35">
      <c r="B751" s="170">
        <v>44469.645833333336</v>
      </c>
      <c r="C751" s="169">
        <v>4250.2</v>
      </c>
      <c r="D751" s="247">
        <f t="shared" si="14"/>
        <v>0.25404225185884577</v>
      </c>
      <c r="E751" s="248">
        <v>3.4469732741522932E-3</v>
      </c>
    </row>
    <row r="752" spans="2:5" ht="15" thickBot="1" x14ac:dyDescent="0.35">
      <c r="B752" s="170">
        <v>44385.645833333336</v>
      </c>
      <c r="C752" s="169">
        <v>3389.2</v>
      </c>
      <c r="D752" s="247">
        <f t="shared" si="14"/>
        <v>-0.22214316862133082</v>
      </c>
      <c r="E752" s="248">
        <v>3.4343912837517497E-3</v>
      </c>
    </row>
    <row r="753" spans="2:5" ht="15" thickBot="1" x14ac:dyDescent="0.35">
      <c r="B753" s="170">
        <v>45764.645833333336</v>
      </c>
      <c r="C753" s="168">
        <v>4357.1000000000004</v>
      </c>
      <c r="D753" s="247">
        <f t="shared" si="14"/>
        <v>4.903152800683782E-2</v>
      </c>
      <c r="E753" s="248">
        <v>3.40833198995928E-3</v>
      </c>
    </row>
    <row r="754" spans="2:5" ht="15" thickBot="1" x14ac:dyDescent="0.35">
      <c r="B754" s="170">
        <v>44851.645833333336</v>
      </c>
      <c r="C754" s="169">
        <v>4153.45</v>
      </c>
      <c r="D754" s="247">
        <f t="shared" si="14"/>
        <v>1.5075919944456184</v>
      </c>
      <c r="E754" s="248">
        <v>3.4063319120150393E-3</v>
      </c>
    </row>
    <row r="755" spans="2:5" ht="15" thickBot="1" x14ac:dyDescent="0.35">
      <c r="B755" s="170">
        <v>43314.645833333336</v>
      </c>
      <c r="C755" s="169">
        <v>1656.35</v>
      </c>
      <c r="D755" s="247">
        <f t="shared" si="14"/>
        <v>-0.6313692761364269</v>
      </c>
      <c r="E755" s="248">
        <v>3.3923973951233738E-3</v>
      </c>
    </row>
    <row r="756" spans="2:5" ht="15" thickBot="1" x14ac:dyDescent="0.35">
      <c r="B756" s="170">
        <v>44817.645833333336</v>
      </c>
      <c r="C756" s="169">
        <v>4493.25</v>
      </c>
      <c r="D756" s="247">
        <f t="shared" si="14"/>
        <v>0.19730601151140476</v>
      </c>
      <c r="E756" s="248">
        <v>3.3495226930162453E-3</v>
      </c>
    </row>
    <row r="757" spans="2:5" ht="15" thickBot="1" x14ac:dyDescent="0.35">
      <c r="B757" s="170">
        <v>45138.645833333336</v>
      </c>
      <c r="C757" s="169">
        <v>3752.8</v>
      </c>
      <c r="D757" s="247">
        <f t="shared" si="14"/>
        <v>-5.8670078009381101E-2</v>
      </c>
      <c r="E757" s="248">
        <v>3.3419779162099294E-3</v>
      </c>
    </row>
    <row r="758" spans="2:5" ht="15" thickBot="1" x14ac:dyDescent="0.35">
      <c r="B758" s="170">
        <v>45583.645833333336</v>
      </c>
      <c r="C758" s="169">
        <v>3986.7</v>
      </c>
      <c r="D758" s="247">
        <f t="shared" si="14"/>
        <v>-6.2647684657253996E-2</v>
      </c>
      <c r="E758" s="248">
        <v>3.3346336307239302E-3</v>
      </c>
    </row>
    <row r="759" spans="2:5" ht="15" thickBot="1" x14ac:dyDescent="0.35">
      <c r="B759" s="170">
        <v>44776.645833333336</v>
      </c>
      <c r="C759" s="169">
        <v>4253.1499999999996</v>
      </c>
      <c r="D759" s="247">
        <f t="shared" si="14"/>
        <v>-6.5983089643574539E-3</v>
      </c>
      <c r="E759" s="248">
        <v>3.3143827699274073E-3</v>
      </c>
    </row>
    <row r="760" spans="2:5" ht="15" thickBot="1" x14ac:dyDescent="0.35">
      <c r="B760" s="170">
        <v>45868.645833333336</v>
      </c>
      <c r="C760" s="168">
        <v>4281.3999999999996</v>
      </c>
      <c r="D760" s="247">
        <f t="shared" si="14"/>
        <v>2.9256917566170593E-2</v>
      </c>
      <c r="E760" s="248">
        <v>3.2806861320710504E-3</v>
      </c>
    </row>
    <row r="761" spans="2:5" ht="15" thickBot="1" x14ac:dyDescent="0.35">
      <c r="B761" s="170">
        <v>44658.645833333336</v>
      </c>
      <c r="C761" s="169">
        <v>4159.7</v>
      </c>
      <c r="D761" s="247">
        <f t="shared" si="14"/>
        <v>0.1389885271487637</v>
      </c>
      <c r="E761" s="248">
        <v>3.2438950859209692E-3</v>
      </c>
    </row>
    <row r="762" spans="2:5" ht="15" thickBot="1" x14ac:dyDescent="0.35">
      <c r="B762" s="170">
        <v>45142.645833333336</v>
      </c>
      <c r="C762" s="169">
        <v>3652.1</v>
      </c>
      <c r="D762" s="247">
        <f t="shared" si="14"/>
        <v>-9.0386052303860542E-2</v>
      </c>
      <c r="E762" s="248">
        <v>3.2277116211353305E-3</v>
      </c>
    </row>
    <row r="763" spans="2:5" ht="15" thickBot="1" x14ac:dyDescent="0.35">
      <c r="B763" s="170">
        <v>44600.645833333336</v>
      </c>
      <c r="C763" s="169">
        <v>4015</v>
      </c>
      <c r="D763" s="247">
        <f t="shared" si="14"/>
        <v>1.042009968467094</v>
      </c>
      <c r="E763" s="248">
        <v>3.2233077634242252E-3</v>
      </c>
    </row>
    <row r="764" spans="2:5" ht="15" thickBot="1" x14ac:dyDescent="0.35">
      <c r="B764" s="170">
        <v>43780.645833333336</v>
      </c>
      <c r="C764" s="169">
        <v>1966.2</v>
      </c>
      <c r="D764" s="247">
        <f t="shared" si="14"/>
        <v>-0.47301697913455998</v>
      </c>
      <c r="E764" s="248">
        <v>3.1888568585933313E-3</v>
      </c>
    </row>
    <row r="765" spans="2:5" ht="15" thickBot="1" x14ac:dyDescent="0.35">
      <c r="B765" s="170">
        <v>45330.645833333336</v>
      </c>
      <c r="C765" s="169">
        <v>3731.05</v>
      </c>
      <c r="D765" s="247">
        <f t="shared" si="14"/>
        <v>-2.5593815698410832E-2</v>
      </c>
      <c r="E765" s="248">
        <v>3.1861690686170049E-3</v>
      </c>
    </row>
    <row r="766" spans="2:5" ht="15" thickBot="1" x14ac:dyDescent="0.35">
      <c r="B766" s="170">
        <v>45635.645833333336</v>
      </c>
      <c r="C766" s="169">
        <v>3829.05</v>
      </c>
      <c r="D766" s="247">
        <f t="shared" si="14"/>
        <v>1.6696297845638988</v>
      </c>
      <c r="E766" s="248">
        <v>3.1832115067201368E-3</v>
      </c>
    </row>
    <row r="767" spans="2:5" ht="15" thickBot="1" x14ac:dyDescent="0.35">
      <c r="B767" s="170">
        <v>43684.645833333336</v>
      </c>
      <c r="C767" s="169">
        <v>1434.3</v>
      </c>
      <c r="D767" s="247">
        <f t="shared" si="14"/>
        <v>-0.7324765919349423</v>
      </c>
      <c r="E767" s="248">
        <v>3.1823745410036403E-3</v>
      </c>
    </row>
    <row r="768" spans="2:5" ht="15" thickBot="1" x14ac:dyDescent="0.35">
      <c r="B768" s="170">
        <v>45544.645833333336</v>
      </c>
      <c r="C768" s="169">
        <v>5361.4</v>
      </c>
      <c r="D768" s="247">
        <f t="shared" si="14"/>
        <v>0.40791218602696905</v>
      </c>
      <c r="E768" s="248">
        <v>3.1808996332609836E-3</v>
      </c>
    </row>
    <row r="769" spans="2:5" ht="15" thickBot="1" x14ac:dyDescent="0.35">
      <c r="B769" s="170">
        <v>45183.645833333336</v>
      </c>
      <c r="C769" s="169">
        <v>3808.05</v>
      </c>
      <c r="D769" s="247">
        <f t="shared" si="14"/>
        <v>0.65975112777039258</v>
      </c>
      <c r="E769" s="248">
        <v>3.174394099051681E-3</v>
      </c>
    </row>
    <row r="770" spans="2:5" ht="15" thickBot="1" x14ac:dyDescent="0.35">
      <c r="B770" s="170">
        <v>43867.645833333336</v>
      </c>
      <c r="C770" s="169">
        <v>2294.35</v>
      </c>
      <c r="D770" s="247">
        <f t="shared" si="14"/>
        <v>-0.34435903297708181</v>
      </c>
      <c r="E770" s="248">
        <v>3.126093039524349E-3</v>
      </c>
    </row>
    <row r="771" spans="2:5" ht="15" thickBot="1" x14ac:dyDescent="0.35">
      <c r="B771" s="170">
        <v>44404.645833333336</v>
      </c>
      <c r="C771" s="169">
        <v>3499.4</v>
      </c>
      <c r="D771" s="247">
        <f t="shared" si="14"/>
        <v>-7.8329119258322824E-2</v>
      </c>
      <c r="E771" s="248">
        <v>3.1245520997563682E-3</v>
      </c>
    </row>
    <row r="772" spans="2:5" ht="15" thickBot="1" x14ac:dyDescent="0.35">
      <c r="B772" s="170">
        <v>45175.645833333336</v>
      </c>
      <c r="C772" s="169">
        <v>3796.8</v>
      </c>
      <c r="D772" s="247">
        <f t="shared" si="14"/>
        <v>-1.2882343000506903E-2</v>
      </c>
      <c r="E772" s="248">
        <v>3.0910676071967116E-3</v>
      </c>
    </row>
    <row r="773" spans="2:5" ht="15" thickBot="1" x14ac:dyDescent="0.35">
      <c r="B773" s="170">
        <v>45355.645833333336</v>
      </c>
      <c r="C773" s="169">
        <v>3846.35</v>
      </c>
      <c r="D773" s="247">
        <f t="shared" ref="D773:D836" si="15">(C773-C774)/C774</f>
        <v>0.31324046570384778</v>
      </c>
      <c r="E773" s="248">
        <v>3.0903638023210092E-3</v>
      </c>
    </row>
    <row r="774" spans="2:5" ht="15" thickBot="1" x14ac:dyDescent="0.35">
      <c r="B774" s="170">
        <v>44301.645833333336</v>
      </c>
      <c r="C774" s="169">
        <v>2928.9</v>
      </c>
      <c r="D774" s="247">
        <f t="shared" si="15"/>
        <v>-0.27112781206450326</v>
      </c>
      <c r="E774" s="248">
        <v>3.0822973389499639E-3</v>
      </c>
    </row>
    <row r="775" spans="2:5" ht="15" thickBot="1" x14ac:dyDescent="0.35">
      <c r="B775" s="170">
        <v>45782.645833333336</v>
      </c>
      <c r="C775" s="168">
        <v>4018.4</v>
      </c>
      <c r="D775" s="247">
        <f t="shared" si="15"/>
        <v>2.2165212519010651</v>
      </c>
      <c r="E775" s="248">
        <v>3.0703177654077987E-3</v>
      </c>
    </row>
    <row r="776" spans="2:5" ht="15" thickBot="1" x14ac:dyDescent="0.35">
      <c r="B776" s="170">
        <v>43110.645833333336</v>
      </c>
      <c r="C776" s="169">
        <v>1249.3</v>
      </c>
      <c r="D776" s="247">
        <f t="shared" si="15"/>
        <v>-0.67742934972049729</v>
      </c>
      <c r="E776" s="248">
        <v>3.0509835407466516E-3</v>
      </c>
    </row>
    <row r="777" spans="2:5" ht="15" thickBot="1" x14ac:dyDescent="0.35">
      <c r="B777" s="170">
        <v>45203.645833333336</v>
      </c>
      <c r="C777" s="169">
        <v>3872.95</v>
      </c>
      <c r="D777" s="247">
        <f t="shared" si="15"/>
        <v>1.1244377811094218E-3</v>
      </c>
      <c r="E777" s="248">
        <v>2.9651689757865642E-3</v>
      </c>
    </row>
    <row r="778" spans="2:5" ht="15" thickBot="1" x14ac:dyDescent="0.35">
      <c r="B778" s="170">
        <v>45110.645833333336</v>
      </c>
      <c r="C778" s="169">
        <v>3868.6</v>
      </c>
      <c r="D778" s="247">
        <f t="shared" si="15"/>
        <v>-5.0125836351359671E-2</v>
      </c>
      <c r="E778" s="248">
        <v>2.9555117701960208E-3</v>
      </c>
    </row>
    <row r="779" spans="2:5" ht="15" thickBot="1" x14ac:dyDescent="0.35">
      <c r="B779" s="170">
        <v>44928.645833333336</v>
      </c>
      <c r="C779" s="169">
        <v>4072.75</v>
      </c>
      <c r="D779" s="247">
        <f t="shared" si="15"/>
        <v>2.6942182102423134E-2</v>
      </c>
      <c r="E779" s="248">
        <v>2.9180723484941535E-3</v>
      </c>
    </row>
    <row r="780" spans="2:5" ht="15" thickBot="1" x14ac:dyDescent="0.35">
      <c r="B780" s="170">
        <v>45280.645833333336</v>
      </c>
      <c r="C780" s="169">
        <v>3965.9</v>
      </c>
      <c r="D780" s="247">
        <f t="shared" si="15"/>
        <v>0.24363818811834625</v>
      </c>
      <c r="E780" s="248">
        <v>2.8827917562271061E-3</v>
      </c>
    </row>
    <row r="781" spans="2:5" ht="15" thickBot="1" x14ac:dyDescent="0.35">
      <c r="B781" s="170">
        <v>44354.645833333336</v>
      </c>
      <c r="C781" s="169">
        <v>3188.95</v>
      </c>
      <c r="D781" s="247">
        <f t="shared" si="15"/>
        <v>-9.1286011455276081E-2</v>
      </c>
      <c r="E781" s="248">
        <v>2.8775394678909479E-3</v>
      </c>
    </row>
    <row r="782" spans="2:5" ht="15" thickBot="1" x14ac:dyDescent="0.35">
      <c r="B782" s="170">
        <v>45152.645833333336</v>
      </c>
      <c r="C782" s="169">
        <v>3509.3</v>
      </c>
      <c r="D782" s="247">
        <f t="shared" si="15"/>
        <v>-8.8836671902789766E-2</v>
      </c>
      <c r="E782" s="248">
        <v>2.8433852001086696E-3</v>
      </c>
    </row>
    <row r="783" spans="2:5" ht="15" thickBot="1" x14ac:dyDescent="0.35">
      <c r="B783" s="170">
        <v>45344.645833333336</v>
      </c>
      <c r="C783" s="169">
        <v>3851.45</v>
      </c>
      <c r="D783" s="247">
        <f t="shared" si="15"/>
        <v>1.4558903236091183</v>
      </c>
      <c r="E783" s="248">
        <v>2.8381351629322977E-3</v>
      </c>
    </row>
    <row r="784" spans="2:5" ht="15" thickBot="1" x14ac:dyDescent="0.35">
      <c r="B784" s="170">
        <v>43287.645833333336</v>
      </c>
      <c r="C784" s="169">
        <v>1568.25</v>
      </c>
      <c r="D784" s="247">
        <f t="shared" si="15"/>
        <v>-4.9890948745910525E-2</v>
      </c>
      <c r="E784" s="248">
        <v>2.8135690763181195E-3</v>
      </c>
    </row>
    <row r="785" spans="2:5" ht="15" thickBot="1" x14ac:dyDescent="0.35">
      <c r="B785" s="170">
        <v>43453.645833333336</v>
      </c>
      <c r="C785" s="169">
        <v>1650.6</v>
      </c>
      <c r="D785" s="247">
        <f t="shared" si="15"/>
        <v>0.10581851070244183</v>
      </c>
      <c r="E785" s="248">
        <v>2.7337342810278844E-3</v>
      </c>
    </row>
    <row r="786" spans="2:5" ht="15" thickBot="1" x14ac:dyDescent="0.35">
      <c r="B786" s="170">
        <v>43208.645833333336</v>
      </c>
      <c r="C786" s="169">
        <v>1492.65</v>
      </c>
      <c r="D786" s="247">
        <f t="shared" si="15"/>
        <v>4.8282885034061376E-2</v>
      </c>
      <c r="E786" s="248">
        <v>2.686998287038592E-3</v>
      </c>
    </row>
    <row r="787" spans="2:5" ht="15" thickBot="1" x14ac:dyDescent="0.35">
      <c r="B787" s="170">
        <v>43670.645833333336</v>
      </c>
      <c r="C787" s="169">
        <v>1423.9</v>
      </c>
      <c r="D787" s="247">
        <f t="shared" si="15"/>
        <v>8.6531858069439221E-2</v>
      </c>
      <c r="E787" s="248">
        <v>2.640566137379854E-3</v>
      </c>
    </row>
    <row r="788" spans="2:5" ht="15" thickBot="1" x14ac:dyDescent="0.35">
      <c r="B788" s="170">
        <v>43613.645833333336</v>
      </c>
      <c r="C788" s="169">
        <v>1310.5</v>
      </c>
      <c r="D788" s="247">
        <f t="shared" si="15"/>
        <v>-0.35487840897902928</v>
      </c>
      <c r="E788" s="248">
        <v>2.6395317700164843E-3</v>
      </c>
    </row>
    <row r="789" spans="2:5" ht="15" thickBot="1" x14ac:dyDescent="0.35">
      <c r="B789" s="170">
        <v>44036.645833333336</v>
      </c>
      <c r="C789" s="169">
        <v>2031.4</v>
      </c>
      <c r="D789" s="247">
        <f t="shared" si="15"/>
        <v>-0.45500885335622687</v>
      </c>
      <c r="E789" s="248">
        <v>2.615862988006605E-3</v>
      </c>
    </row>
    <row r="790" spans="2:5" ht="15" thickBot="1" x14ac:dyDescent="0.35">
      <c r="B790" s="170">
        <v>45328.645833333336</v>
      </c>
      <c r="C790" s="169">
        <v>3727.4</v>
      </c>
      <c r="D790" s="247">
        <f t="shared" si="15"/>
        <v>1.4427550953535617</v>
      </c>
      <c r="E790" s="248">
        <v>2.6091400597144129E-3</v>
      </c>
    </row>
    <row r="791" spans="2:5" ht="15" thickBot="1" x14ac:dyDescent="0.35">
      <c r="B791" s="170">
        <v>43283.645833333336</v>
      </c>
      <c r="C791" s="169">
        <v>1525.9</v>
      </c>
      <c r="D791" s="247">
        <f t="shared" si="15"/>
        <v>-0.56857090348756656</v>
      </c>
      <c r="E791" s="248">
        <v>2.5953546437136868E-3</v>
      </c>
    </row>
    <row r="792" spans="2:5" ht="15" thickBot="1" x14ac:dyDescent="0.35">
      <c r="B792" s="170">
        <v>45082.645833333336</v>
      </c>
      <c r="C792" s="169">
        <v>3536.85</v>
      </c>
      <c r="D792" s="247">
        <f t="shared" si="15"/>
        <v>-2.3751690634574562E-2</v>
      </c>
      <c r="E792" s="248">
        <v>2.579547870455647E-3</v>
      </c>
    </row>
    <row r="793" spans="2:5" ht="15" thickBot="1" x14ac:dyDescent="0.35">
      <c r="B793" s="170">
        <v>45617.645833333336</v>
      </c>
      <c r="C793" s="169">
        <v>3622.9</v>
      </c>
      <c r="D793" s="247">
        <f t="shared" si="15"/>
        <v>-0.21452188147040016</v>
      </c>
      <c r="E793" s="248">
        <v>2.5597387682813775E-3</v>
      </c>
    </row>
    <row r="794" spans="2:5" ht="15" thickBot="1" x14ac:dyDescent="0.35">
      <c r="B794" s="170">
        <v>45415.645833333336</v>
      </c>
      <c r="C794" s="169">
        <v>4612.3500000000004</v>
      </c>
      <c r="D794" s="247">
        <f t="shared" si="15"/>
        <v>0.38767374691618028</v>
      </c>
      <c r="E794" s="248">
        <v>2.5540146937355996E-3</v>
      </c>
    </row>
    <row r="795" spans="2:5" ht="15" thickBot="1" x14ac:dyDescent="0.35">
      <c r="B795" s="170">
        <v>44371.645833333336</v>
      </c>
      <c r="C795" s="169">
        <v>3323.8</v>
      </c>
      <c r="D795" s="247">
        <f t="shared" si="15"/>
        <v>-0.19692668253258758</v>
      </c>
      <c r="E795" s="248">
        <v>2.5487505089961159E-3</v>
      </c>
    </row>
    <row r="796" spans="2:5" ht="15" thickBot="1" x14ac:dyDescent="0.35">
      <c r="B796" s="170">
        <v>44875.645833333336</v>
      </c>
      <c r="C796" s="169">
        <v>4138.8500000000004</v>
      </c>
      <c r="D796" s="247">
        <f t="shared" si="15"/>
        <v>-2.0680272108843451E-2</v>
      </c>
      <c r="E796" s="248">
        <v>2.5433890052926713E-3</v>
      </c>
    </row>
    <row r="797" spans="2:5" ht="15" thickBot="1" x14ac:dyDescent="0.35">
      <c r="B797" s="170">
        <v>44854.645833333336</v>
      </c>
      <c r="C797" s="169">
        <v>4226.25</v>
      </c>
      <c r="D797" s="247">
        <f t="shared" si="15"/>
        <v>0.25553310953328784</v>
      </c>
      <c r="E797" s="248">
        <v>2.5382215843721026E-3</v>
      </c>
    </row>
    <row r="798" spans="2:5" ht="15" thickBot="1" x14ac:dyDescent="0.35">
      <c r="B798" s="170">
        <v>45005.645833333336</v>
      </c>
      <c r="C798" s="169">
        <v>3366.1</v>
      </c>
      <c r="D798" s="247">
        <f t="shared" si="15"/>
        <v>5.2893337503909885E-2</v>
      </c>
      <c r="E798" s="248">
        <v>2.5315701691684539E-3</v>
      </c>
    </row>
    <row r="799" spans="2:5" ht="15" thickBot="1" x14ac:dyDescent="0.35">
      <c r="B799" s="170">
        <v>44351.645833333336</v>
      </c>
      <c r="C799" s="169">
        <v>3197</v>
      </c>
      <c r="D799" s="247">
        <f t="shared" si="15"/>
        <v>-0.10858927351559337</v>
      </c>
      <c r="E799" s="248">
        <v>2.5243418680130393E-3</v>
      </c>
    </row>
    <row r="800" spans="2:5" ht="15" thickBot="1" x14ac:dyDescent="0.35">
      <c r="B800" s="170">
        <v>44706.645833333336</v>
      </c>
      <c r="C800" s="169">
        <v>3586.45</v>
      </c>
      <c r="D800" s="247">
        <f t="shared" si="15"/>
        <v>0.15548431786329878</v>
      </c>
      <c r="E800" s="248">
        <v>2.5157584312848541E-3</v>
      </c>
    </row>
    <row r="801" spans="2:5" ht="15" thickBot="1" x14ac:dyDescent="0.35">
      <c r="B801" s="170">
        <v>44341.645833333336</v>
      </c>
      <c r="C801" s="169">
        <v>3103.85</v>
      </c>
      <c r="D801" s="247">
        <f t="shared" si="15"/>
        <v>0.98417822668286137</v>
      </c>
      <c r="E801" s="248">
        <v>2.4707706220528686E-3</v>
      </c>
    </row>
    <row r="802" spans="2:5" ht="15" thickBot="1" x14ac:dyDescent="0.35">
      <c r="B802" s="170">
        <v>43348.645833333336</v>
      </c>
      <c r="C802" s="169">
        <v>1564.3</v>
      </c>
      <c r="D802" s="247">
        <f t="shared" si="15"/>
        <v>0.19681726024253091</v>
      </c>
      <c r="E802" s="248">
        <v>2.435116949695581E-3</v>
      </c>
    </row>
    <row r="803" spans="2:5" ht="15" thickBot="1" x14ac:dyDescent="0.35">
      <c r="B803" s="170">
        <v>43614.645833333336</v>
      </c>
      <c r="C803" s="169">
        <v>1307.05</v>
      </c>
      <c r="D803" s="247">
        <f t="shared" si="15"/>
        <v>-0.1262158638900959</v>
      </c>
      <c r="E803" s="248">
        <v>2.4158294347725005E-3</v>
      </c>
    </row>
    <row r="804" spans="2:5" ht="15" thickBot="1" x14ac:dyDescent="0.35">
      <c r="B804" s="170">
        <v>43222.645833333336</v>
      </c>
      <c r="C804" s="169">
        <v>1495.85</v>
      </c>
      <c r="D804" s="247">
        <f t="shared" si="15"/>
        <v>-0.69807341023544967</v>
      </c>
      <c r="E804" s="248">
        <v>2.3788782416403905E-3</v>
      </c>
    </row>
    <row r="805" spans="2:5" ht="15" thickBot="1" x14ac:dyDescent="0.35">
      <c r="B805" s="170">
        <v>45566.645833333336</v>
      </c>
      <c r="C805" s="169">
        <v>4954.3500000000004</v>
      </c>
      <c r="D805" s="247">
        <f t="shared" si="15"/>
        <v>1.709515996718622</v>
      </c>
      <c r="E805" s="248">
        <v>2.3772913041718931E-3</v>
      </c>
    </row>
    <row r="806" spans="2:5" ht="15" thickBot="1" x14ac:dyDescent="0.35">
      <c r="B806" s="170">
        <v>43831.645833333336</v>
      </c>
      <c r="C806" s="169">
        <v>1828.5</v>
      </c>
      <c r="D806" s="247">
        <f t="shared" si="15"/>
        <v>-0.20344151600958396</v>
      </c>
      <c r="E806" s="248">
        <v>2.3571976756934297E-3</v>
      </c>
    </row>
    <row r="807" spans="2:5" ht="15" thickBot="1" x14ac:dyDescent="0.35">
      <c r="B807" s="170">
        <v>44014.645833333336</v>
      </c>
      <c r="C807" s="169">
        <v>2295.5</v>
      </c>
      <c r="D807" s="247">
        <f t="shared" si="15"/>
        <v>0.72444878488524944</v>
      </c>
      <c r="E807" s="248">
        <v>2.3360915223893234E-3</v>
      </c>
    </row>
    <row r="808" spans="2:5" ht="15" thickBot="1" x14ac:dyDescent="0.35">
      <c r="B808" s="170">
        <v>43579.645833333336</v>
      </c>
      <c r="C808" s="169">
        <v>1331.15</v>
      </c>
      <c r="D808" s="247">
        <f t="shared" si="15"/>
        <v>-0.6195844764517604</v>
      </c>
      <c r="E808" s="248">
        <v>2.3342494634992182E-3</v>
      </c>
    </row>
    <row r="809" spans="2:5" ht="15" thickBot="1" x14ac:dyDescent="0.35">
      <c r="B809" s="170">
        <v>44981.645833333336</v>
      </c>
      <c r="C809" s="169">
        <v>3499.2</v>
      </c>
      <c r="D809" s="247">
        <f t="shared" si="15"/>
        <v>0.5571377714489143</v>
      </c>
      <c r="E809" s="248">
        <v>2.2627674505197592E-3</v>
      </c>
    </row>
    <row r="810" spans="2:5" ht="15" thickBot="1" x14ac:dyDescent="0.35">
      <c r="B810" s="170">
        <v>43895.645833333336</v>
      </c>
      <c r="C810" s="169">
        <v>2247.1999999999998</v>
      </c>
      <c r="D810" s="247">
        <f t="shared" si="15"/>
        <v>0.77616187164084705</v>
      </c>
      <c r="E810" s="248">
        <v>2.2523024775326036E-3</v>
      </c>
    </row>
    <row r="811" spans="2:5" ht="15" thickBot="1" x14ac:dyDescent="0.35">
      <c r="B811" s="170">
        <v>43587.645833333336</v>
      </c>
      <c r="C811" s="169">
        <v>1265.2</v>
      </c>
      <c r="D811" s="247">
        <f t="shared" si="15"/>
        <v>-0.72889055552579418</v>
      </c>
      <c r="E811" s="248">
        <v>2.1783040912511384E-3</v>
      </c>
    </row>
    <row r="812" spans="2:5" ht="15" thickBot="1" x14ac:dyDescent="0.35">
      <c r="B812" s="170">
        <v>45455.645833333336</v>
      </c>
      <c r="C812" s="169">
        <v>4666.75</v>
      </c>
      <c r="D812" s="247">
        <f t="shared" si="15"/>
        <v>0.24954816252761228</v>
      </c>
      <c r="E812" s="248">
        <v>2.1689411916292539E-3</v>
      </c>
    </row>
    <row r="813" spans="2:5" ht="15" thickBot="1" x14ac:dyDescent="0.35">
      <c r="B813" s="170">
        <v>44718.645833333336</v>
      </c>
      <c r="C813" s="169">
        <v>3734.75</v>
      </c>
      <c r="D813" s="247">
        <f t="shared" si="15"/>
        <v>1.8735477417865662</v>
      </c>
      <c r="E813" s="248">
        <v>2.1600880135240782E-3</v>
      </c>
    </row>
    <row r="814" spans="2:5" ht="15" thickBot="1" x14ac:dyDescent="0.35">
      <c r="B814" s="170">
        <v>43626.645833333336</v>
      </c>
      <c r="C814" s="169">
        <v>1299.7</v>
      </c>
      <c r="D814" s="247">
        <f t="shared" si="15"/>
        <v>-0.61733011423860551</v>
      </c>
      <c r="E814" s="248">
        <v>2.1589945254067038E-3</v>
      </c>
    </row>
    <row r="815" spans="2:5" ht="15" thickBot="1" x14ac:dyDescent="0.35">
      <c r="B815" s="170">
        <v>44384.645833333336</v>
      </c>
      <c r="C815" s="169">
        <v>3396.4</v>
      </c>
      <c r="D815" s="247">
        <f t="shared" si="15"/>
        <v>-0.24660056343027001</v>
      </c>
      <c r="E815" s="248">
        <v>2.1243951374956549E-3</v>
      </c>
    </row>
    <row r="816" spans="2:5" ht="15" thickBot="1" x14ac:dyDescent="0.35">
      <c r="B816" s="170">
        <v>45770.645833333336</v>
      </c>
      <c r="C816" s="168">
        <v>4508.1000000000004</v>
      </c>
      <c r="D816" s="247">
        <f t="shared" si="15"/>
        <v>0.23489289431874225</v>
      </c>
      <c r="E816" s="248">
        <v>2.0672179247799819E-3</v>
      </c>
    </row>
    <row r="817" spans="2:5" ht="15" thickBot="1" x14ac:dyDescent="0.35">
      <c r="B817" s="170">
        <v>44426.645833333336</v>
      </c>
      <c r="C817" s="169">
        <v>3650.6</v>
      </c>
      <c r="D817" s="247">
        <f t="shared" si="15"/>
        <v>-0.10566157916656463</v>
      </c>
      <c r="E817" s="248">
        <v>2.0586862836595209E-3</v>
      </c>
    </row>
    <row r="818" spans="2:5" ht="15" thickBot="1" x14ac:dyDescent="0.35">
      <c r="B818" s="170">
        <v>44596.645833333336</v>
      </c>
      <c r="C818" s="169">
        <v>4081.9</v>
      </c>
      <c r="D818" s="247">
        <f t="shared" si="15"/>
        <v>0.11050956280436387</v>
      </c>
      <c r="E818" s="248">
        <v>2.0498091345386477E-3</v>
      </c>
    </row>
    <row r="819" spans="2:5" ht="15" thickBot="1" x14ac:dyDescent="0.35">
      <c r="B819" s="170">
        <v>45128.645833333336</v>
      </c>
      <c r="C819" s="169">
        <v>3675.7</v>
      </c>
      <c r="D819" s="247">
        <f t="shared" si="15"/>
        <v>1.4105321834934583</v>
      </c>
      <c r="E819" s="248">
        <v>2.0445995311051744E-3</v>
      </c>
    </row>
    <row r="820" spans="2:5" ht="15" thickBot="1" x14ac:dyDescent="0.35">
      <c r="B820" s="170">
        <v>43712.645833333336</v>
      </c>
      <c r="C820" s="169">
        <v>1524.85</v>
      </c>
      <c r="D820" s="247">
        <f t="shared" si="15"/>
        <v>-0.54038942640986221</v>
      </c>
      <c r="E820" s="248">
        <v>2.0371283062263243E-3</v>
      </c>
    </row>
    <row r="821" spans="2:5" ht="15" thickBot="1" x14ac:dyDescent="0.35">
      <c r="B821" s="170">
        <v>44365.645833333336</v>
      </c>
      <c r="C821" s="169">
        <v>3317.7</v>
      </c>
      <c r="D821" s="247">
        <f t="shared" si="15"/>
        <v>1.1925783960611966</v>
      </c>
      <c r="E821" s="248">
        <v>2.0235578375112709E-3</v>
      </c>
    </row>
    <row r="822" spans="2:5" ht="15" thickBot="1" x14ac:dyDescent="0.35">
      <c r="B822" s="170">
        <v>43441.645833333336</v>
      </c>
      <c r="C822" s="169">
        <v>1513.15</v>
      </c>
      <c r="D822" s="247">
        <f t="shared" si="15"/>
        <v>-0.62731213516908446</v>
      </c>
      <c r="E822" s="248">
        <v>1.9533836577936997E-3</v>
      </c>
    </row>
    <row r="823" spans="2:5" ht="15" thickBot="1" x14ac:dyDescent="0.35">
      <c r="B823" s="170">
        <v>45589.645833333336</v>
      </c>
      <c r="C823" s="169">
        <v>4060.1</v>
      </c>
      <c r="D823" s="247">
        <f t="shared" si="15"/>
        <v>-7.2019564819893925E-2</v>
      </c>
      <c r="E823" s="248">
        <v>1.9495582646463874E-3</v>
      </c>
    </row>
    <row r="824" spans="2:5" ht="15" thickBot="1" x14ac:dyDescent="0.35">
      <c r="B824" s="170">
        <v>45772.645833333336</v>
      </c>
      <c r="C824" s="168">
        <v>4375.2</v>
      </c>
      <c r="D824" s="247">
        <f t="shared" si="15"/>
        <v>1.3265534019302863</v>
      </c>
      <c r="E824" s="248">
        <v>1.9236053860949977E-3</v>
      </c>
    </row>
    <row r="825" spans="2:5" ht="15" thickBot="1" x14ac:dyDescent="0.35">
      <c r="B825" s="170">
        <v>43839.645833333336</v>
      </c>
      <c r="C825" s="169">
        <v>1880.55</v>
      </c>
      <c r="D825" s="247">
        <f t="shared" si="15"/>
        <v>-0.54241185487991816</v>
      </c>
      <c r="E825" s="248">
        <v>1.9180052745144565E-3</v>
      </c>
    </row>
    <row r="826" spans="2:5" ht="15" thickBot="1" x14ac:dyDescent="0.35">
      <c r="B826" s="170">
        <v>44656.645833333336</v>
      </c>
      <c r="C826" s="169">
        <v>4109.7</v>
      </c>
      <c r="D826" s="247">
        <f t="shared" si="15"/>
        <v>-7.1509675549006743E-3</v>
      </c>
      <c r="E826" s="248">
        <v>1.9015578146712945E-3</v>
      </c>
    </row>
    <row r="827" spans="2:5" ht="15" thickBot="1" x14ac:dyDescent="0.35">
      <c r="B827" s="170">
        <v>45756.645833333336</v>
      </c>
      <c r="C827" s="168">
        <v>4139.3</v>
      </c>
      <c r="D827" s="247">
        <f t="shared" si="15"/>
        <v>0.11374796518276357</v>
      </c>
      <c r="E827" s="248">
        <v>1.8879341643471335E-3</v>
      </c>
    </row>
    <row r="828" spans="2:5" ht="15" thickBot="1" x14ac:dyDescent="0.35">
      <c r="B828" s="170">
        <v>45624.645833333336</v>
      </c>
      <c r="C828" s="169">
        <v>3716.55</v>
      </c>
      <c r="D828" s="247">
        <f t="shared" si="15"/>
        <v>-2.6035797583794099E-2</v>
      </c>
      <c r="E828" s="248">
        <v>1.8735173603623768E-3</v>
      </c>
    </row>
    <row r="829" spans="2:5" ht="15" thickBot="1" x14ac:dyDescent="0.35">
      <c r="B829" s="170">
        <v>45113.645833333336</v>
      </c>
      <c r="C829" s="169">
        <v>3815.9</v>
      </c>
      <c r="D829" s="247">
        <f t="shared" si="15"/>
        <v>-5.9173056534924433E-2</v>
      </c>
      <c r="E829" s="248">
        <v>1.8246498378819028E-3</v>
      </c>
    </row>
    <row r="830" spans="2:5" ht="15" thickBot="1" x14ac:dyDescent="0.35">
      <c r="B830" s="170">
        <v>45855.645833333336</v>
      </c>
      <c r="C830" s="168">
        <v>4055.9</v>
      </c>
      <c r="D830" s="247">
        <f t="shared" si="15"/>
        <v>1.5816492154928234</v>
      </c>
      <c r="E830" s="248">
        <v>1.8030924270118515E-3</v>
      </c>
    </row>
    <row r="831" spans="2:5" ht="15" thickBot="1" x14ac:dyDescent="0.35">
      <c r="B831" s="170">
        <v>43719.645833333336</v>
      </c>
      <c r="C831" s="169">
        <v>1571.05</v>
      </c>
      <c r="D831" s="247">
        <f t="shared" si="15"/>
        <v>-0.53763409214650437</v>
      </c>
      <c r="E831" s="248">
        <v>1.7854296190020435E-3</v>
      </c>
    </row>
    <row r="832" spans="2:5" ht="15" thickBot="1" x14ac:dyDescent="0.35">
      <c r="B832" s="170">
        <v>44994.645833333336</v>
      </c>
      <c r="C832" s="169">
        <v>3397.85</v>
      </c>
      <c r="D832" s="247">
        <f t="shared" si="15"/>
        <v>-3.7218066417318348E-2</v>
      </c>
      <c r="E832" s="248">
        <v>1.7689461503309404E-3</v>
      </c>
    </row>
    <row r="833" spans="2:5" ht="15" thickBot="1" x14ac:dyDescent="0.35">
      <c r="B833" s="170">
        <v>44414.645833333336</v>
      </c>
      <c r="C833" s="169">
        <v>3529.2</v>
      </c>
      <c r="D833" s="247">
        <f t="shared" si="15"/>
        <v>1.4231521851076248</v>
      </c>
      <c r="E833" s="248">
        <v>1.759863752483627E-3</v>
      </c>
    </row>
    <row r="834" spans="2:5" ht="15" thickBot="1" x14ac:dyDescent="0.35">
      <c r="B834" s="170">
        <v>43230.645833333336</v>
      </c>
      <c r="C834" s="169">
        <v>1456.45</v>
      </c>
      <c r="D834" s="247">
        <f t="shared" si="15"/>
        <v>-0.61656728402374661</v>
      </c>
      <c r="E834" s="248">
        <v>1.7539032945869417E-3</v>
      </c>
    </row>
    <row r="835" spans="2:5" ht="15" thickBot="1" x14ac:dyDescent="0.35">
      <c r="B835" s="170">
        <v>45243.645833333336</v>
      </c>
      <c r="C835" s="169">
        <v>3798.45</v>
      </c>
      <c r="D835" s="247">
        <f t="shared" si="15"/>
        <v>-0.18415541737813729</v>
      </c>
      <c r="E835" s="248">
        <v>1.7141576233863844E-3</v>
      </c>
    </row>
    <row r="836" spans="2:5" ht="15" thickBot="1" x14ac:dyDescent="0.35">
      <c r="B836" s="170">
        <v>44552.645833333336</v>
      </c>
      <c r="C836" s="169">
        <v>4655.8500000000004</v>
      </c>
      <c r="D836" s="247">
        <f t="shared" si="15"/>
        <v>-3.1393353097206977E-2</v>
      </c>
      <c r="E836" s="248">
        <v>1.7104498805913914E-3</v>
      </c>
    </row>
    <row r="837" spans="2:5" ht="15" thickBot="1" x14ac:dyDescent="0.35">
      <c r="B837" s="170">
        <v>45420.645833333336</v>
      </c>
      <c r="C837" s="169">
        <v>4806.75</v>
      </c>
      <c r="D837" s="247">
        <f t="shared" ref="D837:D900" si="16">(C837-C838)/C838</f>
        <v>0.32759311173408084</v>
      </c>
      <c r="E837" s="248">
        <v>1.6879747428965156E-3</v>
      </c>
    </row>
    <row r="838" spans="2:5" ht="15" thickBot="1" x14ac:dyDescent="0.35">
      <c r="B838" s="170">
        <v>45674.645833333336</v>
      </c>
      <c r="C838" s="169">
        <v>3620.65</v>
      </c>
      <c r="D838" s="247">
        <f t="shared" si="16"/>
        <v>-0.14589181665919657</v>
      </c>
      <c r="E838" s="248">
        <v>1.6460563808892226E-3</v>
      </c>
    </row>
    <row r="839" spans="2:5" ht="15" thickBot="1" x14ac:dyDescent="0.35">
      <c r="B839" s="170">
        <v>44777.645833333336</v>
      </c>
      <c r="C839" s="169">
        <v>4239.1000000000004</v>
      </c>
      <c r="D839" s="247">
        <f t="shared" si="16"/>
        <v>1.6220696480484942</v>
      </c>
      <c r="E839" s="248">
        <v>1.6185244255420555E-3</v>
      </c>
    </row>
    <row r="840" spans="2:5" ht="15" thickBot="1" x14ac:dyDescent="0.35">
      <c r="B840" s="170">
        <v>43329.645833333336</v>
      </c>
      <c r="C840" s="169">
        <v>1616.7</v>
      </c>
      <c r="D840" s="247">
        <f t="shared" si="16"/>
        <v>-0.59644042834677113</v>
      </c>
      <c r="E840" s="248">
        <v>1.5797788309636369E-3</v>
      </c>
    </row>
    <row r="841" spans="2:5" ht="15" thickBot="1" x14ac:dyDescent="0.35">
      <c r="B841" s="170">
        <v>45783.645833333336</v>
      </c>
      <c r="C841" s="168">
        <v>4006.1</v>
      </c>
      <c r="D841" s="247">
        <f t="shared" si="16"/>
        <v>-0.15651285938371809</v>
      </c>
      <c r="E841" s="248">
        <v>1.5750787539376286E-3</v>
      </c>
    </row>
    <row r="842" spans="2:5" ht="15" thickBot="1" x14ac:dyDescent="0.35">
      <c r="B842" s="170">
        <v>44545.645833333336</v>
      </c>
      <c r="C842" s="169">
        <v>4749.45</v>
      </c>
      <c r="D842" s="247">
        <f t="shared" si="16"/>
        <v>1.0700183054393304</v>
      </c>
      <c r="E842" s="248">
        <v>1.5499462263552969E-3</v>
      </c>
    </row>
    <row r="843" spans="2:5" ht="15" thickBot="1" x14ac:dyDescent="0.35">
      <c r="B843" s="170">
        <v>44008.645833333336</v>
      </c>
      <c r="C843" s="169">
        <v>2294.4</v>
      </c>
      <c r="D843" s="247">
        <f t="shared" si="16"/>
        <v>0.55668634235701198</v>
      </c>
      <c r="E843" s="248">
        <v>1.5059254894259032E-3</v>
      </c>
    </row>
    <row r="844" spans="2:5" ht="15" thickBot="1" x14ac:dyDescent="0.35">
      <c r="B844" s="170">
        <v>43500.645833333336</v>
      </c>
      <c r="C844" s="169">
        <v>1473.9</v>
      </c>
      <c r="D844" s="247">
        <f t="shared" si="16"/>
        <v>-0.61352492330282926</v>
      </c>
      <c r="E844" s="248">
        <v>1.4948698783719817E-3</v>
      </c>
    </row>
    <row r="845" spans="2:5" ht="15" thickBot="1" x14ac:dyDescent="0.35">
      <c r="B845" s="170">
        <v>45182.645833333336</v>
      </c>
      <c r="C845" s="169">
        <v>3813.7</v>
      </c>
      <c r="D845" s="247">
        <f t="shared" si="16"/>
        <v>0.92859490758299812</v>
      </c>
      <c r="E845" s="248">
        <v>1.4836990060528711E-3</v>
      </c>
    </row>
    <row r="846" spans="2:5" ht="15" thickBot="1" x14ac:dyDescent="0.35">
      <c r="B846" s="170">
        <v>44117.645833333336</v>
      </c>
      <c r="C846" s="169">
        <v>1977.45</v>
      </c>
      <c r="D846" s="247">
        <f t="shared" si="16"/>
        <v>0.34406117247238743</v>
      </c>
      <c r="E846" s="248">
        <v>1.4686890683953766E-3</v>
      </c>
    </row>
    <row r="847" spans="2:5" ht="15" thickBot="1" x14ac:dyDescent="0.35">
      <c r="B847" s="170">
        <v>43202.645833333336</v>
      </c>
      <c r="C847" s="169">
        <v>1471.25</v>
      </c>
      <c r="D847" s="247">
        <f t="shared" si="16"/>
        <v>-0.4586215778628201</v>
      </c>
      <c r="E847" s="248">
        <v>1.4634810428153912E-3</v>
      </c>
    </row>
    <row r="848" spans="2:5" ht="15" thickBot="1" x14ac:dyDescent="0.35">
      <c r="B848" s="170">
        <v>44308.645833333336</v>
      </c>
      <c r="C848" s="169">
        <v>2717.6</v>
      </c>
      <c r="D848" s="247">
        <f t="shared" si="16"/>
        <v>-0.27743582244320075</v>
      </c>
      <c r="E848" s="248">
        <v>1.4371522275859864E-3</v>
      </c>
    </row>
    <row r="849" spans="2:5" ht="15" thickBot="1" x14ac:dyDescent="0.35">
      <c r="B849" s="170">
        <v>45170.645833333336</v>
      </c>
      <c r="C849" s="169">
        <v>3761.05</v>
      </c>
      <c r="D849" s="247">
        <f t="shared" si="16"/>
        <v>-0.11693785071963564</v>
      </c>
      <c r="E849" s="248">
        <v>1.4111695400386558E-3</v>
      </c>
    </row>
    <row r="850" spans="2:5" ht="15" thickBot="1" x14ac:dyDescent="0.35">
      <c r="B850" s="170">
        <v>44775.645833333336</v>
      </c>
      <c r="C850" s="169">
        <v>4259.1000000000004</v>
      </c>
      <c r="D850" s="247">
        <f t="shared" si="16"/>
        <v>1.1632425019681543</v>
      </c>
      <c r="E850" s="248">
        <v>1.398963121451331E-3</v>
      </c>
    </row>
    <row r="851" spans="2:5" ht="15" thickBot="1" x14ac:dyDescent="0.35">
      <c r="B851" s="170">
        <v>43777.645833333336</v>
      </c>
      <c r="C851" s="169">
        <v>1968.85</v>
      </c>
      <c r="D851" s="247">
        <f t="shared" si="16"/>
        <v>0.23199424316375697</v>
      </c>
      <c r="E851" s="248">
        <v>1.3477774387142018E-3</v>
      </c>
    </row>
    <row r="852" spans="2:5" ht="15" thickBot="1" x14ac:dyDescent="0.35">
      <c r="B852" s="170">
        <v>43291.645833333336</v>
      </c>
      <c r="C852" s="169">
        <v>1598.1</v>
      </c>
      <c r="D852" s="247">
        <f t="shared" si="16"/>
        <v>-0.57366378102949223</v>
      </c>
      <c r="E852" s="248">
        <v>1.3471599987467423E-3</v>
      </c>
    </row>
    <row r="853" spans="2:5" ht="15" thickBot="1" x14ac:dyDescent="0.35">
      <c r="B853" s="170">
        <v>45694.645833333336</v>
      </c>
      <c r="C853" s="169">
        <v>3748.45</v>
      </c>
      <c r="D853" s="247">
        <f t="shared" si="16"/>
        <v>1.9942088026200173</v>
      </c>
      <c r="E853" s="248">
        <v>1.322291972752723E-3</v>
      </c>
    </row>
    <row r="854" spans="2:5" ht="15" thickBot="1" x14ac:dyDescent="0.35">
      <c r="B854" s="170">
        <v>43598.645833333336</v>
      </c>
      <c r="C854" s="169">
        <v>1251.9000000000001</v>
      </c>
      <c r="D854" s="247">
        <f t="shared" si="16"/>
        <v>-0.67043121149897322</v>
      </c>
      <c r="E854" s="248">
        <v>1.3197360527895149E-3</v>
      </c>
    </row>
    <row r="855" spans="2:5" ht="15" thickBot="1" x14ac:dyDescent="0.35">
      <c r="B855" s="170">
        <v>45208.645833333336</v>
      </c>
      <c r="C855" s="169">
        <v>3798.6</v>
      </c>
      <c r="D855" s="247">
        <f t="shared" si="16"/>
        <v>0.44692035195977586</v>
      </c>
      <c r="E855" s="248">
        <v>1.2652222046496196E-3</v>
      </c>
    </row>
    <row r="856" spans="2:5" ht="15" thickBot="1" x14ac:dyDescent="0.35">
      <c r="B856" s="170">
        <v>44174.645833333336</v>
      </c>
      <c r="C856" s="169">
        <v>2625.3</v>
      </c>
      <c r="D856" s="247">
        <f t="shared" si="16"/>
        <v>-0.24252347908882374</v>
      </c>
      <c r="E856" s="248">
        <v>1.2394881867241279E-3</v>
      </c>
    </row>
    <row r="857" spans="2:5" ht="15" thickBot="1" x14ac:dyDescent="0.35">
      <c r="B857" s="170">
        <v>45041.645833333336</v>
      </c>
      <c r="C857" s="169">
        <v>3465.85</v>
      </c>
      <c r="D857" s="247">
        <f t="shared" si="16"/>
        <v>1.3529192124915139</v>
      </c>
      <c r="E857" s="248">
        <v>1.2277559510053156E-3</v>
      </c>
    </row>
    <row r="858" spans="2:5" ht="15" thickBot="1" x14ac:dyDescent="0.35">
      <c r="B858" s="170">
        <v>43201.645833333336</v>
      </c>
      <c r="C858" s="169">
        <v>1473</v>
      </c>
      <c r="D858" s="247">
        <f t="shared" si="16"/>
        <v>-0.71130666562138645</v>
      </c>
      <c r="E858" s="248">
        <v>1.1894647408666101E-3</v>
      </c>
    </row>
    <row r="859" spans="2:5" ht="15" thickBot="1" x14ac:dyDescent="0.35">
      <c r="B859" s="170">
        <v>45562.645833333336</v>
      </c>
      <c r="C859" s="169">
        <v>5102.3</v>
      </c>
      <c r="D859" s="247">
        <f t="shared" si="16"/>
        <v>0.29580576754580895</v>
      </c>
      <c r="E859" s="248">
        <v>1.1773247257814493E-3</v>
      </c>
    </row>
    <row r="860" spans="2:5" ht="15" thickBot="1" x14ac:dyDescent="0.35">
      <c r="B860" s="170">
        <v>44446.645833333336</v>
      </c>
      <c r="C860" s="169">
        <v>3937.55</v>
      </c>
      <c r="D860" s="247">
        <f t="shared" si="16"/>
        <v>1.5512972610512222E-2</v>
      </c>
      <c r="E860" s="248">
        <v>1.169605512401725E-3</v>
      </c>
    </row>
    <row r="861" spans="2:5" ht="15" thickBot="1" x14ac:dyDescent="0.35">
      <c r="B861" s="170">
        <v>44936.645833333336</v>
      </c>
      <c r="C861" s="169">
        <v>3877.4</v>
      </c>
      <c r="D861" s="247">
        <f t="shared" si="16"/>
        <v>0.36194875217337863</v>
      </c>
      <c r="E861" s="248">
        <v>1.1619200082625422E-3</v>
      </c>
    </row>
    <row r="862" spans="2:5" ht="15" thickBot="1" x14ac:dyDescent="0.35">
      <c r="B862" s="170">
        <v>44291.645833333336</v>
      </c>
      <c r="C862" s="169">
        <v>2846.95</v>
      </c>
      <c r="D862" s="247">
        <f t="shared" si="16"/>
        <v>-0.18682966538609855</v>
      </c>
      <c r="E862" s="248">
        <v>1.1604803685403362E-3</v>
      </c>
    </row>
    <row r="863" spans="2:5" ht="15" thickBot="1" x14ac:dyDescent="0.35">
      <c r="B863" s="170">
        <v>45029.645833333336</v>
      </c>
      <c r="C863" s="169">
        <v>3501.05</v>
      </c>
      <c r="D863" s="247">
        <f t="shared" si="16"/>
        <v>0.15718063130061152</v>
      </c>
      <c r="E863" s="248">
        <v>1.1295073060536653E-3</v>
      </c>
    </row>
    <row r="864" spans="2:5" ht="15" thickBot="1" x14ac:dyDescent="0.35">
      <c r="B864" s="170">
        <v>44343.645833333336</v>
      </c>
      <c r="C864" s="169">
        <v>3025.5</v>
      </c>
      <c r="D864" s="247">
        <f t="shared" si="16"/>
        <v>-0.14668885379061369</v>
      </c>
      <c r="E864" s="248">
        <v>1.1250454981635589E-3</v>
      </c>
    </row>
    <row r="865" spans="2:5" ht="15" thickBot="1" x14ac:dyDescent="0.35">
      <c r="B865" s="170">
        <v>44972.645833333336</v>
      </c>
      <c r="C865" s="169">
        <v>3545.6</v>
      </c>
      <c r="D865" s="247">
        <f t="shared" si="16"/>
        <v>-7.1856757676500613E-2</v>
      </c>
      <c r="E865" s="248">
        <v>1.1011661066719629E-3</v>
      </c>
    </row>
    <row r="866" spans="2:5" ht="15" thickBot="1" x14ac:dyDescent="0.35">
      <c r="B866" s="170">
        <v>45112.645833333336</v>
      </c>
      <c r="C866" s="169">
        <v>3820.1</v>
      </c>
      <c r="D866" s="247">
        <f t="shared" si="16"/>
        <v>-0.20394682003834297</v>
      </c>
      <c r="E866" s="248">
        <v>1.1006577740506349E-3</v>
      </c>
    </row>
    <row r="867" spans="2:5" ht="15" thickBot="1" x14ac:dyDescent="0.35">
      <c r="B867" s="170">
        <v>45434.645833333336</v>
      </c>
      <c r="C867" s="169">
        <v>4798.8</v>
      </c>
      <c r="D867" s="247">
        <f t="shared" si="16"/>
        <v>2.2601650871293186</v>
      </c>
      <c r="E867" s="248">
        <v>1.0952217041649717E-3</v>
      </c>
    </row>
    <row r="868" spans="2:5" ht="15" thickBot="1" x14ac:dyDescent="0.35">
      <c r="B868" s="170">
        <v>43529.645833333336</v>
      </c>
      <c r="C868" s="169">
        <v>1471.95</v>
      </c>
      <c r="D868" s="247">
        <f t="shared" si="16"/>
        <v>-0.62512892997669711</v>
      </c>
      <c r="E868" s="248">
        <v>1.0881762845581912E-3</v>
      </c>
    </row>
    <row r="869" spans="2:5" ht="15" thickBot="1" x14ac:dyDescent="0.35">
      <c r="B869" s="170">
        <v>45601.645833333336</v>
      </c>
      <c r="C869" s="169">
        <v>3926.55</v>
      </c>
      <c r="D869" s="247">
        <f t="shared" si="16"/>
        <v>0.1222401646255199</v>
      </c>
      <c r="E869" s="248">
        <v>1.0835479183132345E-3</v>
      </c>
    </row>
    <row r="870" spans="2:5" ht="15" thickBot="1" x14ac:dyDescent="0.35">
      <c r="B870" s="170">
        <v>44967.645833333336</v>
      </c>
      <c r="C870" s="169">
        <v>3498.85</v>
      </c>
      <c r="D870" s="247">
        <f t="shared" si="16"/>
        <v>-0.14206022264724633</v>
      </c>
      <c r="E870" s="248">
        <v>1.0442893110551874E-3</v>
      </c>
    </row>
    <row r="871" spans="2:5" ht="15" thickBot="1" x14ac:dyDescent="0.35">
      <c r="B871" s="170">
        <v>45819.645833333336</v>
      </c>
      <c r="C871" s="168">
        <v>4078.2</v>
      </c>
      <c r="D871" s="247">
        <f t="shared" si="16"/>
        <v>1.2090296021450042</v>
      </c>
      <c r="E871" s="248">
        <v>1.0309278350515017E-3</v>
      </c>
    </row>
    <row r="872" spans="2:5" ht="15" thickBot="1" x14ac:dyDescent="0.35">
      <c r="B872" s="170">
        <v>43796.645833333336</v>
      </c>
      <c r="C872" s="169">
        <v>1846.15</v>
      </c>
      <c r="D872" s="247">
        <f t="shared" si="16"/>
        <v>-0.45892438452520512</v>
      </c>
      <c r="E872" s="248">
        <v>1.0302290904162076E-3</v>
      </c>
    </row>
    <row r="873" spans="2:5" ht="15" thickBot="1" x14ac:dyDescent="0.35">
      <c r="B873" s="170">
        <v>44736.645833333336</v>
      </c>
      <c r="C873" s="169">
        <v>3412</v>
      </c>
      <c r="D873" s="247">
        <f t="shared" si="16"/>
        <v>-6.102623108405255E-3</v>
      </c>
      <c r="E873" s="248">
        <v>9.9747697001704256E-4</v>
      </c>
    </row>
    <row r="874" spans="2:5" ht="15" thickBot="1" x14ac:dyDescent="0.35">
      <c r="B874" s="170">
        <v>45069.645833333336</v>
      </c>
      <c r="C874" s="169">
        <v>3432.95</v>
      </c>
      <c r="D874" s="247">
        <f t="shared" si="16"/>
        <v>-0.14391341753843476</v>
      </c>
      <c r="E874" s="248">
        <v>9.9138370923288355E-4</v>
      </c>
    </row>
    <row r="875" spans="2:5" ht="15" thickBot="1" x14ac:dyDescent="0.35">
      <c r="B875" s="170">
        <v>44648.645833333336</v>
      </c>
      <c r="C875" s="169">
        <v>4010.05</v>
      </c>
      <c r="D875" s="247">
        <f t="shared" si="16"/>
        <v>1.7232937181663839</v>
      </c>
      <c r="E875" s="248">
        <v>9.8599635555784255E-4</v>
      </c>
    </row>
    <row r="876" spans="2:5" ht="15" thickBot="1" x14ac:dyDescent="0.35">
      <c r="B876" s="170">
        <v>43552.645833333336</v>
      </c>
      <c r="C876" s="169">
        <v>1472.5</v>
      </c>
      <c r="D876" s="247">
        <f t="shared" si="16"/>
        <v>-0.72259638480449873</v>
      </c>
      <c r="E876" s="248">
        <v>9.5166881925096256E-4</v>
      </c>
    </row>
    <row r="877" spans="2:5" ht="15" thickBot="1" x14ac:dyDescent="0.35">
      <c r="B877" s="170">
        <v>45540.645833333336</v>
      </c>
      <c r="C877" s="169">
        <v>5308.15</v>
      </c>
      <c r="D877" s="247">
        <f t="shared" si="16"/>
        <v>0.23160361489112399</v>
      </c>
      <c r="E877" s="248">
        <v>8.8621557665289924E-4</v>
      </c>
    </row>
    <row r="878" spans="2:5" ht="15" thickBot="1" x14ac:dyDescent="0.35">
      <c r="B878" s="170">
        <v>44847.645833333336</v>
      </c>
      <c r="C878" s="169">
        <v>4309.95</v>
      </c>
      <c r="D878" s="247">
        <f t="shared" si="16"/>
        <v>1.9022255142924478</v>
      </c>
      <c r="E878" s="248">
        <v>8.8245880891287627E-4</v>
      </c>
    </row>
    <row r="879" spans="2:5" ht="15" thickBot="1" x14ac:dyDescent="0.35">
      <c r="B879" s="170">
        <v>43270.645833333336</v>
      </c>
      <c r="C879" s="169">
        <v>1485.05</v>
      </c>
      <c r="D879" s="247">
        <f t="shared" si="16"/>
        <v>-0.59632217027291501</v>
      </c>
      <c r="E879" s="248">
        <v>8.7615838247680168E-4</v>
      </c>
    </row>
    <row r="880" spans="2:5" ht="15" thickBot="1" x14ac:dyDescent="0.35">
      <c r="B880" s="170">
        <v>45127.645833333336</v>
      </c>
      <c r="C880" s="169">
        <v>3678.8</v>
      </c>
      <c r="D880" s="247">
        <f t="shared" si="16"/>
        <v>0.79331188456663748</v>
      </c>
      <c r="E880" s="248">
        <v>8.4337677177146234E-4</v>
      </c>
    </row>
    <row r="881" spans="2:5" ht="15" thickBot="1" x14ac:dyDescent="0.35">
      <c r="B881" s="170">
        <v>44040.645833333336</v>
      </c>
      <c r="C881" s="169">
        <v>2051.4</v>
      </c>
      <c r="D881" s="247">
        <f t="shared" si="16"/>
        <v>-0.42440269925223412</v>
      </c>
      <c r="E881" s="248">
        <v>8.2938966678063769E-4</v>
      </c>
    </row>
    <row r="882" spans="2:5" ht="15" thickBot="1" x14ac:dyDescent="0.35">
      <c r="B882" s="170">
        <v>44419.645833333336</v>
      </c>
      <c r="C882" s="169">
        <v>3563.95</v>
      </c>
      <c r="D882" s="247">
        <f t="shared" si="16"/>
        <v>-0.19039776470320993</v>
      </c>
      <c r="E882" s="248">
        <v>8.2841898343156929E-4</v>
      </c>
    </row>
    <row r="883" spans="2:5" ht="15" thickBot="1" x14ac:dyDescent="0.35">
      <c r="B883" s="170">
        <v>44789.645833333336</v>
      </c>
      <c r="C883" s="169">
        <v>4402.1000000000004</v>
      </c>
      <c r="D883" s="247">
        <f t="shared" si="16"/>
        <v>1.0332086277770083</v>
      </c>
      <c r="E883" s="248">
        <v>7.8433155627311284E-4</v>
      </c>
    </row>
    <row r="884" spans="2:5" ht="15" thickBot="1" x14ac:dyDescent="0.35">
      <c r="B884" s="170">
        <v>44047.645833333336</v>
      </c>
      <c r="C884" s="169">
        <v>2165.1</v>
      </c>
      <c r="D884" s="247">
        <f t="shared" si="16"/>
        <v>0.47748055138528717</v>
      </c>
      <c r="E884" s="248">
        <v>7.6267073424395807E-4</v>
      </c>
    </row>
    <row r="885" spans="2:5" ht="15" thickBot="1" x14ac:dyDescent="0.35">
      <c r="B885" s="170">
        <v>43510.645833333336</v>
      </c>
      <c r="C885" s="169">
        <v>1465.4</v>
      </c>
      <c r="D885" s="247">
        <f t="shared" si="16"/>
        <v>-0.59654194543101779</v>
      </c>
      <c r="E885" s="248">
        <v>7.5121218329586592E-4</v>
      </c>
    </row>
    <row r="886" spans="2:5" ht="15" thickBot="1" x14ac:dyDescent="0.35">
      <c r="B886" s="170">
        <v>45086.645833333336</v>
      </c>
      <c r="C886" s="169">
        <v>3632.1</v>
      </c>
      <c r="D886" s="247">
        <f t="shared" si="16"/>
        <v>0.51964352955943272</v>
      </c>
      <c r="E886" s="248">
        <v>7.4392461563889845E-4</v>
      </c>
    </row>
    <row r="887" spans="2:5" ht="15" thickBot="1" x14ac:dyDescent="0.35">
      <c r="B887" s="170">
        <v>43991.645833333336</v>
      </c>
      <c r="C887" s="169">
        <v>2390.1</v>
      </c>
      <c r="D887" s="247">
        <f t="shared" si="16"/>
        <v>-0.36855036855036855</v>
      </c>
      <c r="E887" s="248">
        <v>7.327234283082463E-4</v>
      </c>
    </row>
    <row r="888" spans="2:5" ht="15" thickBot="1" x14ac:dyDescent="0.35">
      <c r="B888" s="170">
        <v>45176.645833333336</v>
      </c>
      <c r="C888" s="169">
        <v>3785.1</v>
      </c>
      <c r="D888" s="247">
        <f t="shared" si="16"/>
        <v>2.0242090124640462</v>
      </c>
      <c r="E888" s="248">
        <v>7.1383248730959661E-4</v>
      </c>
    </row>
    <row r="889" spans="2:5" ht="15" thickBot="1" x14ac:dyDescent="0.35">
      <c r="B889" s="170">
        <v>43594.645833333336</v>
      </c>
      <c r="C889" s="169">
        <v>1251.5999999999999</v>
      </c>
      <c r="D889" s="247">
        <f t="shared" si="16"/>
        <v>-0.56121930270469245</v>
      </c>
      <c r="E889" s="248">
        <v>6.7959224465313534E-4</v>
      </c>
    </row>
    <row r="890" spans="2:5" ht="15" thickBot="1" x14ac:dyDescent="0.35">
      <c r="B890" s="170">
        <v>44326.645833333336</v>
      </c>
      <c r="C890" s="169">
        <v>2852.45</v>
      </c>
      <c r="D890" s="247">
        <f t="shared" si="16"/>
        <v>0.20871647103690821</v>
      </c>
      <c r="E890" s="248">
        <v>6.6653803651914052E-4</v>
      </c>
    </row>
    <row r="891" spans="2:5" ht="15" thickBot="1" x14ac:dyDescent="0.35">
      <c r="B891" s="170">
        <v>44005.645833333336</v>
      </c>
      <c r="C891" s="169">
        <v>2359.9</v>
      </c>
      <c r="D891" s="247">
        <f t="shared" si="16"/>
        <v>-0.50841049463082355</v>
      </c>
      <c r="E891" s="248">
        <v>6.5723917145469582E-4</v>
      </c>
    </row>
    <row r="892" spans="2:5" ht="15" thickBot="1" x14ac:dyDescent="0.35">
      <c r="B892" s="170">
        <v>45405.645833333336</v>
      </c>
      <c r="C892" s="169">
        <v>4800.55</v>
      </c>
      <c r="D892" s="247">
        <f t="shared" si="16"/>
        <v>0.28714875589875599</v>
      </c>
      <c r="E892" s="248">
        <v>6.2531917332805281E-4</v>
      </c>
    </row>
    <row r="893" spans="2:5" ht="15" thickBot="1" x14ac:dyDescent="0.35">
      <c r="B893" s="170">
        <v>45327.645833333336</v>
      </c>
      <c r="C893" s="169">
        <v>3729.6</v>
      </c>
      <c r="D893" s="247">
        <f t="shared" si="16"/>
        <v>-9.9304482225656937E-2</v>
      </c>
      <c r="E893" s="248">
        <v>5.9022374845732093E-4</v>
      </c>
    </row>
    <row r="894" spans="2:5" ht="15" thickBot="1" x14ac:dyDescent="0.35">
      <c r="B894" s="170">
        <v>45800.645833333336</v>
      </c>
      <c r="C894" s="168">
        <v>4140.8</v>
      </c>
      <c r="D894" s="247">
        <f t="shared" si="16"/>
        <v>7.491822854472778E-2</v>
      </c>
      <c r="E894" s="248">
        <v>5.7993427411573211E-4</v>
      </c>
    </row>
    <row r="895" spans="2:5" ht="15" thickBot="1" x14ac:dyDescent="0.35">
      <c r="B895" s="170">
        <v>45349.645833333336</v>
      </c>
      <c r="C895" s="169">
        <v>3852.2</v>
      </c>
      <c r="D895" s="247">
        <f t="shared" si="16"/>
        <v>-7.0497867020660543E-3</v>
      </c>
      <c r="E895" s="248">
        <v>5.714285714285242E-4</v>
      </c>
    </row>
    <row r="896" spans="2:5" ht="15" thickBot="1" x14ac:dyDescent="0.35">
      <c r="B896" s="170">
        <v>44935.645833333336</v>
      </c>
      <c r="C896" s="169">
        <v>3879.55</v>
      </c>
      <c r="D896" s="247">
        <f t="shared" si="16"/>
        <v>0.10762005367441338</v>
      </c>
      <c r="E896" s="248">
        <v>5.5449528034252102E-4</v>
      </c>
    </row>
    <row r="897" spans="2:5" ht="15" thickBot="1" x14ac:dyDescent="0.35">
      <c r="B897" s="170">
        <v>44406.645833333336</v>
      </c>
      <c r="C897" s="169">
        <v>3502.6</v>
      </c>
      <c r="D897" s="247">
        <f t="shared" si="16"/>
        <v>-0.11868756762197123</v>
      </c>
      <c r="E897" s="248">
        <v>5.1416819012789277E-4</v>
      </c>
    </row>
    <row r="898" spans="2:5" ht="15" thickBot="1" x14ac:dyDescent="0.35">
      <c r="B898" s="170">
        <v>45785.645833333336</v>
      </c>
      <c r="C898" s="168">
        <v>3974.3</v>
      </c>
      <c r="D898" s="247">
        <f t="shared" si="16"/>
        <v>0.19346556358012643</v>
      </c>
      <c r="E898" s="248">
        <v>4.7830027187596691E-4</v>
      </c>
    </row>
    <row r="899" spans="2:5" ht="15" thickBot="1" x14ac:dyDescent="0.35">
      <c r="B899" s="170">
        <v>44391.645833333336</v>
      </c>
      <c r="C899" s="169">
        <v>3330.05</v>
      </c>
      <c r="D899" s="247">
        <f t="shared" si="16"/>
        <v>-0.12181067788341082</v>
      </c>
      <c r="E899" s="248">
        <v>4.6567522908222381E-4</v>
      </c>
    </row>
    <row r="900" spans="2:5" ht="15" thickBot="1" x14ac:dyDescent="0.35">
      <c r="B900" s="170">
        <v>45245.645833333336</v>
      </c>
      <c r="C900" s="169">
        <v>3791.95</v>
      </c>
      <c r="D900" s="247">
        <f t="shared" si="16"/>
        <v>-3.5728362725527346E-2</v>
      </c>
      <c r="E900" s="248">
        <v>4.4851922696387259E-4</v>
      </c>
    </row>
    <row r="901" spans="2:5" ht="15" thickBot="1" x14ac:dyDescent="0.35">
      <c r="B901" s="170">
        <v>45595.645833333336</v>
      </c>
      <c r="C901" s="169">
        <v>3932.45</v>
      </c>
      <c r="D901" s="247">
        <f t="shared" ref="D901:D964" si="17">(C901-C902)/C902</f>
        <v>-3.6164215686274558E-2</v>
      </c>
      <c r="E901" s="248">
        <v>4.4521332078255782E-4</v>
      </c>
    </row>
    <row r="902" spans="2:5" ht="15" thickBot="1" x14ac:dyDescent="0.35">
      <c r="B902" s="170">
        <v>45818.645833333336</v>
      </c>
      <c r="C902" s="168">
        <v>4080</v>
      </c>
      <c r="D902" s="247">
        <f t="shared" si="17"/>
        <v>-5.4548825137878218E-2</v>
      </c>
      <c r="E902" s="248">
        <v>4.4137119317350348E-4</v>
      </c>
    </row>
    <row r="903" spans="2:5" ht="15" thickBot="1" x14ac:dyDescent="0.35">
      <c r="B903" s="170">
        <v>45834.645833333336</v>
      </c>
      <c r="C903" s="168">
        <v>4315.3999999999996</v>
      </c>
      <c r="D903" s="247">
        <f t="shared" si="17"/>
        <v>0.42521219326926235</v>
      </c>
      <c r="E903" s="248">
        <v>4.4047757041836938E-4</v>
      </c>
    </row>
    <row r="904" spans="2:5" ht="15" thickBot="1" x14ac:dyDescent="0.35">
      <c r="B904" s="170">
        <v>44335.645833333336</v>
      </c>
      <c r="C904" s="169">
        <v>3027.9</v>
      </c>
      <c r="D904" s="247">
        <f t="shared" si="17"/>
        <v>-8.6785396528584136E-2</v>
      </c>
      <c r="E904" s="248">
        <v>4.2952487940269013E-4</v>
      </c>
    </row>
    <row r="905" spans="2:5" ht="15" thickBot="1" x14ac:dyDescent="0.35">
      <c r="B905" s="170">
        <v>44378.645833333336</v>
      </c>
      <c r="C905" s="169">
        <v>3315.65</v>
      </c>
      <c r="D905" s="247">
        <f t="shared" si="17"/>
        <v>1.3880226151463861</v>
      </c>
      <c r="E905" s="248">
        <v>4.0732583049208249E-4</v>
      </c>
    </row>
    <row r="906" spans="2:5" ht="15" thickBot="1" x14ac:dyDescent="0.35">
      <c r="B906" s="170">
        <v>43419.645833333336</v>
      </c>
      <c r="C906" s="169">
        <v>1388.45</v>
      </c>
      <c r="D906" s="247">
        <f t="shared" si="17"/>
        <v>-0.63883831026948279</v>
      </c>
      <c r="E906" s="248">
        <v>3.9628215289282695E-4</v>
      </c>
    </row>
    <row r="907" spans="2:5" ht="15" thickBot="1" x14ac:dyDescent="0.35">
      <c r="B907" s="170">
        <v>45253.645833333336</v>
      </c>
      <c r="C907" s="169">
        <v>3844.4</v>
      </c>
      <c r="D907" s="247">
        <f t="shared" si="17"/>
        <v>0.99646863315330303</v>
      </c>
      <c r="E907" s="248">
        <v>3.903302193655833E-4</v>
      </c>
    </row>
    <row r="908" spans="2:5" ht="15" thickBot="1" x14ac:dyDescent="0.35">
      <c r="B908" s="170">
        <v>43755.645833333336</v>
      </c>
      <c r="C908" s="169">
        <v>1925.6</v>
      </c>
      <c r="D908" s="247">
        <f t="shared" si="17"/>
        <v>-0.44462390401476698</v>
      </c>
      <c r="E908" s="248">
        <v>3.8964075122736836E-4</v>
      </c>
    </row>
    <row r="909" spans="2:5" ht="15" thickBot="1" x14ac:dyDescent="0.35">
      <c r="B909" s="170">
        <v>45040.645833333336</v>
      </c>
      <c r="C909" s="169">
        <v>3467.2</v>
      </c>
      <c r="D909" s="247">
        <f t="shared" si="17"/>
        <v>-0.27746345326289684</v>
      </c>
      <c r="E909" s="248">
        <v>3.8951483762999237E-4</v>
      </c>
    </row>
    <row r="910" spans="2:5" ht="15" thickBot="1" x14ac:dyDescent="0.35">
      <c r="B910" s="170">
        <v>45421.645833333336</v>
      </c>
      <c r="C910" s="169">
        <v>4798.6499999999996</v>
      </c>
      <c r="D910" s="247">
        <f t="shared" si="17"/>
        <v>1.3225642514883111</v>
      </c>
      <c r="E910" s="248">
        <v>3.8567378252156735E-4</v>
      </c>
    </row>
    <row r="911" spans="2:5" ht="15" thickBot="1" x14ac:dyDescent="0.35">
      <c r="B911" s="170">
        <v>44111.645833333336</v>
      </c>
      <c r="C911" s="169">
        <v>2066.1</v>
      </c>
      <c r="D911" s="247">
        <f t="shared" si="17"/>
        <v>-0.48735190124682093</v>
      </c>
      <c r="E911" s="248">
        <v>3.6313457767448619E-4</v>
      </c>
    </row>
    <row r="912" spans="2:5" ht="15" thickBot="1" x14ac:dyDescent="0.35">
      <c r="B912" s="170">
        <v>44672.645833333336</v>
      </c>
      <c r="C912" s="169">
        <v>4030.25</v>
      </c>
      <c r="D912" s="247">
        <f t="shared" si="17"/>
        <v>1.6479960578186597</v>
      </c>
      <c r="E912" s="248">
        <v>3.4749370167667969E-4</v>
      </c>
    </row>
    <row r="913" spans="2:5" ht="15" thickBot="1" x14ac:dyDescent="0.35">
      <c r="B913" s="170">
        <v>43300.645833333336</v>
      </c>
      <c r="C913" s="169">
        <v>1522</v>
      </c>
      <c r="D913" s="247">
        <f t="shared" si="17"/>
        <v>-0.68638602130596937</v>
      </c>
      <c r="E913" s="248">
        <v>3.2862306933946765E-4</v>
      </c>
    </row>
    <row r="914" spans="2:5" ht="15" thickBot="1" x14ac:dyDescent="0.35">
      <c r="B914" s="170">
        <v>45478.645833333336</v>
      </c>
      <c r="C914" s="169">
        <v>4853.1000000000004</v>
      </c>
      <c r="D914" s="247">
        <f t="shared" si="17"/>
        <v>0.40240713181430698</v>
      </c>
      <c r="E914" s="248">
        <v>3.1948552524454696E-4</v>
      </c>
    </row>
    <row r="915" spans="2:5" ht="15" thickBot="1" x14ac:dyDescent="0.35">
      <c r="B915" s="170">
        <v>45649.645833333336</v>
      </c>
      <c r="C915" s="169">
        <v>3460.55</v>
      </c>
      <c r="D915" s="247">
        <f t="shared" si="17"/>
        <v>3.2460654881778232E-2</v>
      </c>
      <c r="E915" s="248">
        <v>2.6014192187073576E-4</v>
      </c>
    </row>
    <row r="916" spans="2:5" ht="15" thickBot="1" x14ac:dyDescent="0.35">
      <c r="B916" s="170">
        <v>44998.645833333336</v>
      </c>
      <c r="C916" s="169">
        <v>3351.75</v>
      </c>
      <c r="D916" s="247">
        <f t="shared" si="17"/>
        <v>-5.8986200991057995E-2</v>
      </c>
      <c r="E916" s="248">
        <v>2.3873826825234097E-4</v>
      </c>
    </row>
    <row r="917" spans="2:5" ht="15" thickBot="1" x14ac:dyDescent="0.35">
      <c r="B917" s="170">
        <v>45657.645833333336</v>
      </c>
      <c r="C917" s="169">
        <v>3561.85</v>
      </c>
      <c r="D917" s="247">
        <f t="shared" si="17"/>
        <v>-0.16215421528039139</v>
      </c>
      <c r="E917" s="248">
        <v>2.3869699522603455E-4</v>
      </c>
    </row>
    <row r="918" spans="2:5" ht="15" thickBot="1" x14ac:dyDescent="0.35">
      <c r="B918" s="170">
        <v>44468.645833333336</v>
      </c>
      <c r="C918" s="169">
        <v>4251.2</v>
      </c>
      <c r="D918" s="247">
        <f t="shared" si="17"/>
        <v>4.4354095783228652E-2</v>
      </c>
      <c r="E918" s="248">
        <v>2.35283045503741E-4</v>
      </c>
    </row>
    <row r="919" spans="2:5" ht="15" thickBot="1" x14ac:dyDescent="0.35">
      <c r="B919" s="170">
        <v>45268.645833333336</v>
      </c>
      <c r="C919" s="169">
        <v>4070.65</v>
      </c>
      <c r="D919" s="247">
        <f t="shared" si="17"/>
        <v>0.18281272700857187</v>
      </c>
      <c r="E919" s="248">
        <v>2.2114380490204335E-4</v>
      </c>
    </row>
    <row r="920" spans="2:5" ht="15" thickBot="1" x14ac:dyDescent="0.35">
      <c r="B920" s="170">
        <v>44963.645833333336</v>
      </c>
      <c r="C920" s="169">
        <v>3441.5</v>
      </c>
      <c r="D920" s="247">
        <f t="shared" si="17"/>
        <v>-0.30606524982860822</v>
      </c>
      <c r="E920" s="248">
        <v>1.7437298381234824E-4</v>
      </c>
    </row>
    <row r="921" spans="2:5" ht="15" thickBot="1" x14ac:dyDescent="0.35">
      <c r="B921" s="170">
        <v>45530.645833333336</v>
      </c>
      <c r="C921" s="169">
        <v>4959.3999999999996</v>
      </c>
      <c r="D921" s="247">
        <f t="shared" si="17"/>
        <v>0.29759288330716893</v>
      </c>
      <c r="E921" s="248">
        <v>1.7142108075938616E-4</v>
      </c>
    </row>
    <row r="922" spans="2:5" ht="15" thickBot="1" x14ac:dyDescent="0.35">
      <c r="B922" s="170">
        <v>45301.645833333336</v>
      </c>
      <c r="C922" s="169">
        <v>3822</v>
      </c>
      <c r="D922" s="247">
        <f t="shared" si="17"/>
        <v>-6.5571365703388548E-2</v>
      </c>
      <c r="E922" s="248">
        <v>1.7009695526452458E-4</v>
      </c>
    </row>
    <row r="923" spans="2:5" ht="15" thickBot="1" x14ac:dyDescent="0.35">
      <c r="B923" s="170">
        <v>44914.645833333336</v>
      </c>
      <c r="C923" s="169">
        <v>4090.2</v>
      </c>
      <c r="D923" s="247">
        <f t="shared" si="17"/>
        <v>3.4132281553398057E-2</v>
      </c>
      <c r="E923" s="248">
        <v>1.5894169285120274E-4</v>
      </c>
    </row>
    <row r="924" spans="2:5" ht="15" thickBot="1" x14ac:dyDescent="0.35">
      <c r="B924" s="170">
        <v>44887.645833333336</v>
      </c>
      <c r="C924" s="169">
        <v>3955.2</v>
      </c>
      <c r="D924" s="247">
        <f t="shared" si="17"/>
        <v>0.85155536830278755</v>
      </c>
      <c r="E924" s="248">
        <v>1.1378721790247628E-4</v>
      </c>
    </row>
    <row r="925" spans="2:5" ht="15" thickBot="1" x14ac:dyDescent="0.35">
      <c r="B925" s="170">
        <v>44089.645833333336</v>
      </c>
      <c r="C925" s="169">
        <v>2136.15</v>
      </c>
      <c r="D925" s="247">
        <f t="shared" si="17"/>
        <v>0.43082487692153121</v>
      </c>
      <c r="E925" s="248">
        <v>9.363515063567633E-5</v>
      </c>
    </row>
    <row r="926" spans="2:5" ht="15" thickBot="1" x14ac:dyDescent="0.35">
      <c r="B926" s="170">
        <v>43556.645833333336</v>
      </c>
      <c r="C926" s="169">
        <v>1492.95</v>
      </c>
      <c r="D926" s="247">
        <f t="shared" si="17"/>
        <v>-0.53267912480045065</v>
      </c>
      <c r="E926" s="248">
        <v>6.6985966440122208E-5</v>
      </c>
    </row>
    <row r="927" spans="2:5" ht="15" thickBot="1" x14ac:dyDescent="0.35">
      <c r="B927" s="170">
        <v>44356.645833333336</v>
      </c>
      <c r="C927" s="169">
        <v>3194.7</v>
      </c>
      <c r="D927" s="247">
        <f t="shared" si="17"/>
        <v>-0.12466778091349974</v>
      </c>
      <c r="E927" s="248">
        <v>6.2607606824172202E-5</v>
      </c>
    </row>
    <row r="928" spans="2:5" ht="15" thickBot="1" x14ac:dyDescent="0.35">
      <c r="B928" s="170">
        <v>45233.645833333336</v>
      </c>
      <c r="C928" s="169">
        <v>3649.7</v>
      </c>
      <c r="D928" s="247">
        <f t="shared" si="17"/>
        <v>1.5837669463027855</v>
      </c>
      <c r="E928" s="248">
        <v>4.1100957652213615E-5</v>
      </c>
    </row>
    <row r="929" spans="2:5" ht="15" thickBot="1" x14ac:dyDescent="0.35">
      <c r="B929" s="170">
        <v>43423.645833333336</v>
      </c>
      <c r="C929" s="169">
        <v>1412.55</v>
      </c>
      <c r="D929" s="247">
        <f t="shared" si="17"/>
        <v>-0.66820909720835731</v>
      </c>
      <c r="E929" s="248">
        <v>3.539823008846338E-5</v>
      </c>
    </row>
    <row r="930" spans="2:5" ht="15" thickBot="1" x14ac:dyDescent="0.35">
      <c r="B930" s="170">
        <v>44473.645833333336</v>
      </c>
      <c r="C930" s="169">
        <v>4257.3500000000004</v>
      </c>
      <c r="D930" s="247">
        <f t="shared" si="17"/>
        <v>5.3199910941790607E-2</v>
      </c>
      <c r="E930" s="248">
        <v>1.17445329199685E-5</v>
      </c>
    </row>
    <row r="931" spans="2:5" ht="15" thickBot="1" x14ac:dyDescent="0.35">
      <c r="B931" s="170">
        <v>45805.645833333336</v>
      </c>
      <c r="C931" s="168">
        <v>4042.3</v>
      </c>
      <c r="D931" s="247">
        <f t="shared" si="17"/>
        <v>6.4211246840775088E-2</v>
      </c>
      <c r="E931" s="248">
        <v>0</v>
      </c>
    </row>
    <row r="932" spans="2:5" ht="15" thickBot="1" x14ac:dyDescent="0.35">
      <c r="B932" s="170">
        <v>45240.645833333336</v>
      </c>
      <c r="C932" s="169">
        <v>3798.4</v>
      </c>
      <c r="D932" s="247">
        <f t="shared" si="17"/>
        <v>0.11806434521531801</v>
      </c>
      <c r="E932" s="248">
        <v>-1.3163263962860417E-5</v>
      </c>
    </row>
    <row r="933" spans="2:5" ht="15" thickBot="1" x14ac:dyDescent="0.35">
      <c r="B933" s="170">
        <v>44397.645833333336</v>
      </c>
      <c r="C933" s="169">
        <v>3397.3</v>
      </c>
      <c r="D933" s="247">
        <f t="shared" si="17"/>
        <v>1.272517475500853</v>
      </c>
      <c r="E933" s="248">
        <v>-1.471735323111459E-5</v>
      </c>
    </row>
    <row r="934" spans="2:5" ht="15" thickBot="1" x14ac:dyDescent="0.35">
      <c r="B934" s="170">
        <v>43236.645833333336</v>
      </c>
      <c r="C934" s="169">
        <v>1494.95</v>
      </c>
      <c r="D934" s="247">
        <f t="shared" si="17"/>
        <v>-0.66655886157826649</v>
      </c>
      <c r="E934" s="248">
        <v>-3.3444816053481287E-5</v>
      </c>
    </row>
    <row r="935" spans="2:5" ht="15" thickBot="1" x14ac:dyDescent="0.35">
      <c r="B935" s="170">
        <v>44580.645833333336</v>
      </c>
      <c r="C935" s="169">
        <v>4483.3999999999996</v>
      </c>
      <c r="D935" s="247">
        <f t="shared" si="17"/>
        <v>2.4113753091116603</v>
      </c>
      <c r="E935" s="248">
        <v>-3.3455632255811952E-5</v>
      </c>
    </row>
    <row r="936" spans="2:5" ht="15" thickBot="1" x14ac:dyDescent="0.35">
      <c r="B936" s="170">
        <v>43160.645833333336</v>
      </c>
      <c r="C936" s="169">
        <v>1314.25</v>
      </c>
      <c r="D936" s="247">
        <f t="shared" si="17"/>
        <v>-0.70931711363008021</v>
      </c>
      <c r="E936" s="248">
        <v>-3.8043064749261604E-5</v>
      </c>
    </row>
    <row r="937" spans="2:5" ht="15" thickBot="1" x14ac:dyDescent="0.35">
      <c r="B937" s="170">
        <v>44490.645833333336</v>
      </c>
      <c r="C937" s="169">
        <v>4521.25</v>
      </c>
      <c r="D937" s="247">
        <f t="shared" si="17"/>
        <v>1.1137326817922639E-2</v>
      </c>
      <c r="E937" s="248">
        <v>-4.4233597629038936E-5</v>
      </c>
    </row>
    <row r="938" spans="2:5" ht="15" thickBot="1" x14ac:dyDescent="0.35">
      <c r="B938" s="170">
        <v>44841.645833333336</v>
      </c>
      <c r="C938" s="169">
        <v>4471.45</v>
      </c>
      <c r="D938" s="247">
        <f t="shared" si="17"/>
        <v>1.7868183234652539</v>
      </c>
      <c r="E938" s="248">
        <v>-6.7087829149702446E-5</v>
      </c>
    </row>
    <row r="939" spans="2:5" ht="15" thickBot="1" x14ac:dyDescent="0.35">
      <c r="B939" s="170">
        <v>43343.645833333336</v>
      </c>
      <c r="C939" s="169">
        <v>1604.5</v>
      </c>
      <c r="D939" s="247">
        <f t="shared" si="17"/>
        <v>-0.6173977322857177</v>
      </c>
      <c r="E939" s="248">
        <v>-9.3478328607541177E-5</v>
      </c>
    </row>
    <row r="940" spans="2:5" ht="15" thickBot="1" x14ac:dyDescent="0.35">
      <c r="B940" s="170">
        <v>44867.645833333336</v>
      </c>
      <c r="C940" s="169">
        <v>4193.6499999999996</v>
      </c>
      <c r="D940" s="247">
        <f t="shared" si="17"/>
        <v>1.8652978955998907</v>
      </c>
      <c r="E940" s="248">
        <v>-1.3113347003008486E-4</v>
      </c>
    </row>
    <row r="941" spans="2:5" ht="15" thickBot="1" x14ac:dyDescent="0.35">
      <c r="B941" s="170">
        <v>43662.645833333336</v>
      </c>
      <c r="C941" s="169">
        <v>1463.6</v>
      </c>
      <c r="D941" s="247">
        <f t="shared" si="17"/>
        <v>-0.68021324943191752</v>
      </c>
      <c r="E941" s="248">
        <v>-1.3663068725238794E-4</v>
      </c>
    </row>
    <row r="942" spans="2:5" ht="15" thickBot="1" x14ac:dyDescent="0.35">
      <c r="B942" s="170">
        <v>44806.645833333336</v>
      </c>
      <c r="C942" s="169">
        <v>4576.8</v>
      </c>
      <c r="D942" s="247">
        <f t="shared" si="17"/>
        <v>7.6881448453547607E-2</v>
      </c>
      <c r="E942" s="248">
        <v>-1.4200045877063347E-4</v>
      </c>
    </row>
    <row r="943" spans="2:5" ht="15" thickBot="1" x14ac:dyDescent="0.35">
      <c r="B943" s="170">
        <v>44781.645833333336</v>
      </c>
      <c r="C943" s="169">
        <v>4250.05</v>
      </c>
      <c r="D943" s="247">
        <f t="shared" si="17"/>
        <v>1.8745688197497465</v>
      </c>
      <c r="E943" s="248">
        <v>-1.5291599030739319E-4</v>
      </c>
    </row>
    <row r="944" spans="2:5" ht="15" thickBot="1" x14ac:dyDescent="0.35">
      <c r="B944" s="170">
        <v>43539.645833333336</v>
      </c>
      <c r="C944" s="169">
        <v>1478.5</v>
      </c>
      <c r="D944" s="247">
        <f t="shared" si="17"/>
        <v>-0.19526466185875629</v>
      </c>
      <c r="E944" s="248">
        <v>-2.0286718961316915E-4</v>
      </c>
    </row>
    <row r="945" spans="2:5" ht="15" thickBot="1" x14ac:dyDescent="0.35">
      <c r="B945" s="170">
        <v>43791.645833333336</v>
      </c>
      <c r="C945" s="169">
        <v>1837.25</v>
      </c>
      <c r="D945" s="247">
        <f t="shared" si="17"/>
        <v>-0.49435805696986379</v>
      </c>
      <c r="E945" s="248">
        <v>-2.1766930590705027E-4</v>
      </c>
    </row>
    <row r="946" spans="2:5" ht="15" thickBot="1" x14ac:dyDescent="0.35">
      <c r="B946" s="170">
        <v>44424.645833333336</v>
      </c>
      <c r="C946" s="169">
        <v>3633.5</v>
      </c>
      <c r="D946" s="247">
        <f t="shared" si="17"/>
        <v>1.4385087748733263</v>
      </c>
      <c r="E946" s="248">
        <v>-2.338795107790689E-4</v>
      </c>
    </row>
    <row r="947" spans="2:5" ht="15" thickBot="1" x14ac:dyDescent="0.35">
      <c r="B947" s="170">
        <v>43682.645833333336</v>
      </c>
      <c r="C947" s="169">
        <v>1490.05</v>
      </c>
      <c r="D947" s="247">
        <f t="shared" si="17"/>
        <v>-0.67634345540640339</v>
      </c>
      <c r="E947" s="248">
        <v>-2.6837532288912137E-4</v>
      </c>
    </row>
    <row r="948" spans="2:5" ht="15" thickBot="1" x14ac:dyDescent="0.35">
      <c r="B948" s="170">
        <v>45412.645833333336</v>
      </c>
      <c r="C948" s="169">
        <v>4603.8</v>
      </c>
      <c r="D948" s="247">
        <f t="shared" si="17"/>
        <v>9.7187797902764578E-2</v>
      </c>
      <c r="E948" s="248">
        <v>-2.7144113527540419E-4</v>
      </c>
    </row>
    <row r="949" spans="2:5" ht="15" thickBot="1" x14ac:dyDescent="0.35">
      <c r="B949" s="170">
        <v>45870.645833333336</v>
      </c>
      <c r="C949" s="168">
        <v>4196</v>
      </c>
      <c r="D949" s="247">
        <f t="shared" si="17"/>
        <v>-3.4958601655933765E-2</v>
      </c>
      <c r="E949" s="248">
        <v>-2.8590488897355814E-4</v>
      </c>
    </row>
    <row r="950" spans="2:5" ht="15" thickBot="1" x14ac:dyDescent="0.35">
      <c r="B950" s="170">
        <v>44823.645833333336</v>
      </c>
      <c r="C950" s="169">
        <v>4348</v>
      </c>
      <c r="D950" s="247">
        <f t="shared" si="17"/>
        <v>2.2552219809837539</v>
      </c>
      <c r="E950" s="248">
        <v>-2.9889867334977624E-4</v>
      </c>
    </row>
    <row r="951" spans="2:5" ht="15" thickBot="1" x14ac:dyDescent="0.35">
      <c r="B951" s="170">
        <v>43635.645833333336</v>
      </c>
      <c r="C951" s="169">
        <v>1335.7</v>
      </c>
      <c r="D951" s="247">
        <f t="shared" si="17"/>
        <v>-0.42415554741221362</v>
      </c>
      <c r="E951" s="248">
        <v>-3.3678853422149118E-4</v>
      </c>
    </row>
    <row r="952" spans="2:5" ht="15" thickBot="1" x14ac:dyDescent="0.35">
      <c r="B952" s="170">
        <v>44020.645833333336</v>
      </c>
      <c r="C952" s="169">
        <v>2319.5500000000002</v>
      </c>
      <c r="D952" s="247">
        <f t="shared" si="17"/>
        <v>-0.53708064741453287</v>
      </c>
      <c r="E952" s="248">
        <v>-3.4477557265056013E-4</v>
      </c>
    </row>
    <row r="953" spans="2:5" ht="15" thickBot="1" x14ac:dyDescent="0.35">
      <c r="B953" s="170">
        <v>45492.645833333336</v>
      </c>
      <c r="C953" s="169">
        <v>5010.7</v>
      </c>
      <c r="D953" s="247">
        <f t="shared" si="17"/>
        <v>0.43091311487113582</v>
      </c>
      <c r="E953" s="248">
        <v>-4.2889773282674435E-4</v>
      </c>
    </row>
    <row r="954" spans="2:5" ht="15" thickBot="1" x14ac:dyDescent="0.35">
      <c r="B954" s="170">
        <v>45072.645833333336</v>
      </c>
      <c r="C954" s="169">
        <v>3501.75</v>
      </c>
      <c r="D954" s="247">
        <f t="shared" si="17"/>
        <v>1.243992310157001</v>
      </c>
      <c r="E954" s="248">
        <v>-4.4243998515690401E-4</v>
      </c>
    </row>
    <row r="955" spans="2:5" ht="15" thickBot="1" x14ac:dyDescent="0.35">
      <c r="B955" s="170">
        <v>43349.645833333336</v>
      </c>
      <c r="C955" s="169">
        <v>1560.5</v>
      </c>
      <c r="D955" s="247">
        <f t="shared" si="17"/>
        <v>-0.55585598406147718</v>
      </c>
      <c r="E955" s="248">
        <v>-4.4837304637461277E-4</v>
      </c>
    </row>
    <row r="956" spans="2:5" ht="15" thickBot="1" x14ac:dyDescent="0.35">
      <c r="B956" s="170">
        <v>44950.645833333336</v>
      </c>
      <c r="C956" s="169">
        <v>3513.5</v>
      </c>
      <c r="D956" s="247">
        <f t="shared" si="17"/>
        <v>3.627742230347297E-3</v>
      </c>
      <c r="E956" s="248">
        <v>-4.5517908452104039E-4</v>
      </c>
    </row>
    <row r="957" spans="2:5" ht="15" thickBot="1" x14ac:dyDescent="0.35">
      <c r="B957" s="170">
        <v>44407.645833333336</v>
      </c>
      <c r="C957" s="169">
        <v>3500.8</v>
      </c>
      <c r="D957" s="247">
        <f t="shared" si="17"/>
        <v>1.5475185562509097</v>
      </c>
      <c r="E957" s="248">
        <v>-4.568296025582198E-4</v>
      </c>
    </row>
    <row r="958" spans="2:5" ht="15" thickBot="1" x14ac:dyDescent="0.35">
      <c r="B958" s="170">
        <v>43495.645833333336</v>
      </c>
      <c r="C958" s="169">
        <v>1374.2</v>
      </c>
      <c r="D958" s="247">
        <f t="shared" si="17"/>
        <v>-0.64309738075759337</v>
      </c>
      <c r="E958" s="248">
        <v>-4.7277884860156644E-4</v>
      </c>
    </row>
    <row r="959" spans="2:5" ht="15" thickBot="1" x14ac:dyDescent="0.35">
      <c r="B959" s="170">
        <v>45348.645833333336</v>
      </c>
      <c r="C959" s="169">
        <v>3850.35</v>
      </c>
      <c r="D959" s="247">
        <f t="shared" si="17"/>
        <v>-1.8981617131864914E-2</v>
      </c>
      <c r="E959" s="248">
        <v>-4.8024505477387187E-4</v>
      </c>
    </row>
    <row r="960" spans="2:5" ht="15" thickBot="1" x14ac:dyDescent="0.35">
      <c r="B960" s="170">
        <v>44756.645833333336</v>
      </c>
      <c r="C960" s="169">
        <v>3924.85</v>
      </c>
      <c r="D960" s="247">
        <f t="shared" si="17"/>
        <v>3.3943624868282375E-2</v>
      </c>
      <c r="E960" s="248">
        <v>-4.9658755220542748E-4</v>
      </c>
    </row>
    <row r="961" spans="2:5" ht="15" thickBot="1" x14ac:dyDescent="0.35">
      <c r="B961" s="170">
        <v>45184.645833333336</v>
      </c>
      <c r="C961" s="169">
        <v>3796</v>
      </c>
      <c r="D961" s="247">
        <f t="shared" si="17"/>
        <v>1.5669461725723559</v>
      </c>
      <c r="E961" s="248">
        <v>-5.0027646857476256E-4</v>
      </c>
    </row>
    <row r="962" spans="2:5" ht="15" thickBot="1" x14ac:dyDescent="0.35">
      <c r="B962" s="170">
        <v>43542.645833333336</v>
      </c>
      <c r="C962" s="169">
        <v>1478.8</v>
      </c>
      <c r="D962" s="247">
        <f t="shared" si="17"/>
        <v>1.5798873471630719E-2</v>
      </c>
      <c r="E962" s="248">
        <v>-5.0691088506640532E-4</v>
      </c>
    </row>
    <row r="963" spans="2:5" ht="15" thickBot="1" x14ac:dyDescent="0.35">
      <c r="B963" s="170">
        <v>43524.645833333336</v>
      </c>
      <c r="C963" s="169">
        <v>1455.8</v>
      </c>
      <c r="D963" s="247">
        <f t="shared" si="17"/>
        <v>-0.20028565150516375</v>
      </c>
      <c r="E963" s="248">
        <v>-5.1491538223885213E-4</v>
      </c>
    </row>
    <row r="964" spans="2:5" ht="15" thickBot="1" x14ac:dyDescent="0.35">
      <c r="B964" s="170">
        <v>43747.645833333336</v>
      </c>
      <c r="C964" s="169">
        <v>1820.4</v>
      </c>
      <c r="D964" s="247">
        <f t="shared" si="17"/>
        <v>0.14235511907376622</v>
      </c>
      <c r="E964" s="248">
        <v>-5.2159112746030041E-4</v>
      </c>
    </row>
    <row r="965" spans="2:5" ht="15" thickBot="1" x14ac:dyDescent="0.35">
      <c r="B965" s="170">
        <v>43259.645833333336</v>
      </c>
      <c r="C965" s="169">
        <v>1593.55</v>
      </c>
      <c r="D965" s="247">
        <f t="shared" ref="D965:D1028" si="18">(C965-C966)/C966</f>
        <v>-0.64385566941188299</v>
      </c>
      <c r="E965" s="248">
        <v>-5.3311590566993002E-4</v>
      </c>
    </row>
    <row r="966" spans="2:5" ht="15" thickBot="1" x14ac:dyDescent="0.35">
      <c r="B966" s="170">
        <v>45440.645833333336</v>
      </c>
      <c r="C966" s="169">
        <v>4474.45</v>
      </c>
      <c r="D966" s="247">
        <f t="shared" si="18"/>
        <v>9.4345390955560451E-2</v>
      </c>
      <c r="E966" s="248">
        <v>-5.36091224856885E-4</v>
      </c>
    </row>
    <row r="967" spans="2:5" ht="15" thickBot="1" x14ac:dyDescent="0.35">
      <c r="B967" s="170">
        <v>44663.645833333336</v>
      </c>
      <c r="C967" s="169">
        <v>4088.7</v>
      </c>
      <c r="D967" s="247">
        <f t="shared" si="18"/>
        <v>0.11739065083421005</v>
      </c>
      <c r="E967" s="248">
        <v>-5.3777897284222858E-4</v>
      </c>
    </row>
    <row r="968" spans="2:5" ht="15" thickBot="1" x14ac:dyDescent="0.35">
      <c r="B968" s="170">
        <v>45622.645833333336</v>
      </c>
      <c r="C968" s="169">
        <v>3659.15</v>
      </c>
      <c r="D968" s="247">
        <f t="shared" si="18"/>
        <v>-7.540107677077185E-3</v>
      </c>
      <c r="E968" s="248">
        <v>-5.7357459883916942E-4</v>
      </c>
    </row>
    <row r="969" spans="2:5" ht="15" thickBot="1" x14ac:dyDescent="0.35">
      <c r="B969" s="170">
        <v>45190.645833333336</v>
      </c>
      <c r="C969" s="169">
        <v>3686.95</v>
      </c>
      <c r="D969" s="247">
        <f t="shared" si="18"/>
        <v>1.4866459836784245</v>
      </c>
      <c r="E969" s="248">
        <v>-5.8279797240521833E-4</v>
      </c>
    </row>
    <row r="970" spans="2:5" ht="15" thickBot="1" x14ac:dyDescent="0.35">
      <c r="B970" s="170">
        <v>43677.645833333336</v>
      </c>
      <c r="C970" s="169">
        <v>1482.7</v>
      </c>
      <c r="D970" s="247">
        <f t="shared" si="18"/>
        <v>-0.59349682655005553</v>
      </c>
      <c r="E970" s="248">
        <v>-6.0663251550273898E-4</v>
      </c>
    </row>
    <row r="971" spans="2:5" ht="15" thickBot="1" x14ac:dyDescent="0.35">
      <c r="B971" s="170">
        <v>45232.645833333336</v>
      </c>
      <c r="C971" s="169">
        <v>3647.45</v>
      </c>
      <c r="D971" s="247">
        <f t="shared" si="18"/>
        <v>0.62996313261088144</v>
      </c>
      <c r="E971" s="248">
        <v>-6.164890264953284E-4</v>
      </c>
    </row>
    <row r="972" spans="2:5" ht="15" thickBot="1" x14ac:dyDescent="0.35">
      <c r="B972" s="170">
        <v>44084.645833333336</v>
      </c>
      <c r="C972" s="169">
        <v>2237.75</v>
      </c>
      <c r="D972" s="247">
        <f t="shared" si="18"/>
        <v>-0.43770887252808</v>
      </c>
      <c r="E972" s="248">
        <v>-7.1449304485672594E-4</v>
      </c>
    </row>
    <row r="973" spans="2:5" ht="15" thickBot="1" x14ac:dyDescent="0.35">
      <c r="B973" s="170">
        <v>44453.645833333336</v>
      </c>
      <c r="C973" s="169">
        <v>3979.7</v>
      </c>
      <c r="D973" s="247">
        <f t="shared" si="18"/>
        <v>-3.0913274810368506E-2</v>
      </c>
      <c r="E973" s="248">
        <v>-7.2816752875008565E-4</v>
      </c>
    </row>
    <row r="974" spans="2:5" ht="15" thickBot="1" x14ac:dyDescent="0.35">
      <c r="B974" s="170">
        <v>44655.645833333336</v>
      </c>
      <c r="C974" s="169">
        <v>4106.6499999999996</v>
      </c>
      <c r="D974" s="247">
        <f t="shared" si="18"/>
        <v>0.15874493870007461</v>
      </c>
      <c r="E974" s="248">
        <v>-7.4214662870773589E-4</v>
      </c>
    </row>
    <row r="975" spans="2:5" ht="15" thickBot="1" x14ac:dyDescent="0.35">
      <c r="B975" s="170">
        <v>45084.645833333336</v>
      </c>
      <c r="C975" s="169">
        <v>3544.05</v>
      </c>
      <c r="D975" s="247">
        <f t="shared" si="18"/>
        <v>1.2557044203290584</v>
      </c>
      <c r="E975" s="248">
        <v>-7.7534679147400472E-4</v>
      </c>
    </row>
    <row r="976" spans="2:5" ht="15" thickBot="1" x14ac:dyDescent="0.35">
      <c r="B976" s="170">
        <v>43472.645833333336</v>
      </c>
      <c r="C976" s="169">
        <v>1571.15</v>
      </c>
      <c r="D976" s="247">
        <f t="shared" si="18"/>
        <v>1.8491949625379187E-3</v>
      </c>
      <c r="E976" s="248">
        <v>-7.9496311371152369E-4</v>
      </c>
    </row>
    <row r="977" spans="2:5" ht="15" thickBot="1" x14ac:dyDescent="0.35">
      <c r="B977" s="170">
        <v>43720.645833333336</v>
      </c>
      <c r="C977" s="169">
        <v>1568.25</v>
      </c>
      <c r="D977" s="247">
        <f t="shared" si="18"/>
        <v>-0.59834291641588444</v>
      </c>
      <c r="E977" s="248">
        <v>-8.2826287789490908E-4</v>
      </c>
    </row>
    <row r="978" spans="2:5" ht="15" thickBot="1" x14ac:dyDescent="0.35">
      <c r="B978" s="170">
        <v>44890.645833333336</v>
      </c>
      <c r="C978" s="169">
        <v>3904.45</v>
      </c>
      <c r="D978" s="247">
        <f t="shared" si="18"/>
        <v>0.62807522308397967</v>
      </c>
      <c r="E978" s="248">
        <v>-8.3169127619827526E-4</v>
      </c>
    </row>
    <row r="979" spans="2:5" ht="15" thickBot="1" x14ac:dyDescent="0.35">
      <c r="B979" s="170">
        <v>44146.645833333336</v>
      </c>
      <c r="C979" s="169">
        <v>2398.1999999999998</v>
      </c>
      <c r="D979" s="247">
        <f t="shared" si="18"/>
        <v>-0.40202715338295253</v>
      </c>
      <c r="E979" s="248">
        <v>-8.7489063867031772E-4</v>
      </c>
    </row>
    <row r="980" spans="2:5" ht="15" thickBot="1" x14ac:dyDescent="0.35">
      <c r="B980" s="170">
        <v>45369.645833333336</v>
      </c>
      <c r="C980" s="169">
        <v>4010.55</v>
      </c>
      <c r="D980" s="247">
        <f t="shared" si="18"/>
        <v>2.2065160903457928</v>
      </c>
      <c r="E980" s="248">
        <v>-8.8438255150587359E-4</v>
      </c>
    </row>
    <row r="981" spans="2:5" ht="15" thickBot="1" x14ac:dyDescent="0.35">
      <c r="B981" s="170">
        <v>43595.645833333336</v>
      </c>
      <c r="C981" s="169">
        <v>1250.75</v>
      </c>
      <c r="D981" s="247">
        <f t="shared" si="18"/>
        <v>-0.64685038258463445</v>
      </c>
      <c r="E981" s="248">
        <v>-9.1860372234211271E-4</v>
      </c>
    </row>
    <row r="982" spans="2:5" ht="15" thickBot="1" x14ac:dyDescent="0.35">
      <c r="B982" s="170">
        <v>44973.645833333336</v>
      </c>
      <c r="C982" s="169">
        <v>3541.7</v>
      </c>
      <c r="D982" s="247">
        <f t="shared" si="18"/>
        <v>1.3963598227274265</v>
      </c>
      <c r="E982" s="248">
        <v>-9.3088857545844342E-4</v>
      </c>
    </row>
    <row r="983" spans="2:5" ht="15" thickBot="1" x14ac:dyDescent="0.35">
      <c r="B983" s="170">
        <v>43550.645833333336</v>
      </c>
      <c r="C983" s="169">
        <v>1477.95</v>
      </c>
      <c r="D983" s="247">
        <f t="shared" si="18"/>
        <v>-0.63675576036866366</v>
      </c>
      <c r="E983" s="248">
        <v>-9.801270785453869E-4</v>
      </c>
    </row>
    <row r="984" spans="2:5" ht="15" thickBot="1" x14ac:dyDescent="0.35">
      <c r="B984" s="170">
        <v>44925.645833333336</v>
      </c>
      <c r="C984" s="169">
        <v>4068.75</v>
      </c>
      <c r="D984" s="247">
        <f t="shared" si="18"/>
        <v>1.1258994146814347E-2</v>
      </c>
      <c r="E984" s="248">
        <v>-9.8213737646553312E-4</v>
      </c>
    </row>
    <row r="985" spans="2:5" ht="15" thickBot="1" x14ac:dyDescent="0.35">
      <c r="B985" s="170">
        <v>45286.645833333336</v>
      </c>
      <c r="C985" s="169">
        <v>4023.45</v>
      </c>
      <c r="D985" s="247">
        <f t="shared" si="18"/>
        <v>1.03528340541771</v>
      </c>
      <c r="E985" s="248">
        <v>-9.9318427292703821E-4</v>
      </c>
    </row>
    <row r="986" spans="2:5" ht="15" thickBot="1" x14ac:dyDescent="0.35">
      <c r="B986" s="170">
        <v>43774.645833333336</v>
      </c>
      <c r="C986" s="169">
        <v>1976.85</v>
      </c>
      <c r="D986" s="247">
        <f t="shared" si="18"/>
        <v>-0.14803801150688475</v>
      </c>
      <c r="E986" s="248">
        <v>-1.0106880258736134E-3</v>
      </c>
    </row>
    <row r="987" spans="2:5" ht="15" thickBot="1" x14ac:dyDescent="0.35">
      <c r="B987" s="170">
        <v>44021.645833333336</v>
      </c>
      <c r="C987" s="169">
        <v>2320.35</v>
      </c>
      <c r="D987" s="247">
        <f t="shared" si="18"/>
        <v>-0.3275712174341438</v>
      </c>
      <c r="E987" s="248">
        <v>-1.0117535626641017E-3</v>
      </c>
    </row>
    <row r="988" spans="2:5" ht="15" thickBot="1" x14ac:dyDescent="0.35">
      <c r="B988" s="170">
        <v>45026.645833333336</v>
      </c>
      <c r="C988" s="169">
        <v>3450.7</v>
      </c>
      <c r="D988" s="247">
        <f t="shared" si="18"/>
        <v>-5.4486169527750095E-2</v>
      </c>
      <c r="E988" s="248">
        <v>-1.0132592206589081E-3</v>
      </c>
    </row>
    <row r="989" spans="2:5" ht="15" thickBot="1" x14ac:dyDescent="0.35">
      <c r="B989" s="170">
        <v>45236.645833333336</v>
      </c>
      <c r="C989" s="169">
        <v>3649.55</v>
      </c>
      <c r="D989" s="247">
        <f t="shared" si="18"/>
        <v>0.15790726081507694</v>
      </c>
      <c r="E989" s="248">
        <v>-1.0264692196096678E-3</v>
      </c>
    </row>
    <row r="990" spans="2:5" ht="15" thickBot="1" x14ac:dyDescent="0.35">
      <c r="B990" s="170">
        <v>44264.645833333336</v>
      </c>
      <c r="C990" s="169">
        <v>3151.85</v>
      </c>
      <c r="D990" s="247">
        <f t="shared" si="18"/>
        <v>1.3712383388504361</v>
      </c>
      <c r="E990" s="248">
        <v>-1.0617393509127502E-3</v>
      </c>
    </row>
    <row r="991" spans="2:5" ht="15" thickBot="1" x14ac:dyDescent="0.35">
      <c r="B991" s="170">
        <v>43640.645833333336</v>
      </c>
      <c r="C991" s="169">
        <v>1329.2</v>
      </c>
      <c r="D991" s="247">
        <f t="shared" si="18"/>
        <v>-0.6135316266154941</v>
      </c>
      <c r="E991" s="248">
        <v>-1.0896930071769776E-3</v>
      </c>
    </row>
    <row r="992" spans="2:5" ht="15" thickBot="1" x14ac:dyDescent="0.35">
      <c r="B992" s="170">
        <v>44986.645833333336</v>
      </c>
      <c r="C992" s="169">
        <v>3439.35</v>
      </c>
      <c r="D992" s="247">
        <f t="shared" si="18"/>
        <v>2.4347748391708363E-2</v>
      </c>
      <c r="E992" s="248">
        <v>-1.1181459107806428E-3</v>
      </c>
    </row>
    <row r="993" spans="2:5" ht="15" thickBot="1" x14ac:dyDescent="0.35">
      <c r="B993" s="170">
        <v>45006.645833333336</v>
      </c>
      <c r="C993" s="169">
        <v>3357.6</v>
      </c>
      <c r="D993" s="247">
        <f t="shared" si="18"/>
        <v>1.1305920426422995</v>
      </c>
      <c r="E993" s="248">
        <v>-1.1304813470578276E-3</v>
      </c>
    </row>
    <row r="994" spans="2:5" ht="15" thickBot="1" x14ac:dyDescent="0.35">
      <c r="B994" s="170">
        <v>43468.645833333336</v>
      </c>
      <c r="C994" s="169">
        <v>1575.9</v>
      </c>
      <c r="D994" s="247">
        <f t="shared" si="18"/>
        <v>-0.53107285792926961</v>
      </c>
      <c r="E994" s="248">
        <v>-1.1725558548565419E-3</v>
      </c>
    </row>
    <row r="995" spans="2:5" ht="15" thickBot="1" x14ac:dyDescent="0.35">
      <c r="B995" s="170">
        <v>44382.645833333336</v>
      </c>
      <c r="C995" s="169">
        <v>3360.65</v>
      </c>
      <c r="D995" s="247">
        <f t="shared" si="18"/>
        <v>-4.0718750892016126E-2</v>
      </c>
      <c r="E995" s="248">
        <v>-1.1739879926290846E-3</v>
      </c>
    </row>
    <row r="996" spans="2:5" ht="15" thickBot="1" x14ac:dyDescent="0.35">
      <c r="B996" s="170">
        <v>45075.645833333336</v>
      </c>
      <c r="C996" s="169">
        <v>3503.3</v>
      </c>
      <c r="D996" s="247">
        <f t="shared" si="18"/>
        <v>1.1282425126055526</v>
      </c>
      <c r="E996" s="248">
        <v>-1.1974340698502688E-3</v>
      </c>
    </row>
    <row r="997" spans="2:5" ht="15" thickBot="1" x14ac:dyDescent="0.35">
      <c r="B997" s="170">
        <v>43454.645833333336</v>
      </c>
      <c r="C997" s="169">
        <v>1646.1</v>
      </c>
      <c r="D997" s="247">
        <f t="shared" si="18"/>
        <v>-0.13922660600831438</v>
      </c>
      <c r="E997" s="248">
        <v>-1.2135185971725018E-3</v>
      </c>
    </row>
    <row r="998" spans="2:5" ht="15" thickBot="1" x14ac:dyDescent="0.35">
      <c r="B998" s="170">
        <v>43851.645833333336</v>
      </c>
      <c r="C998" s="169">
        <v>1912.35</v>
      </c>
      <c r="D998" s="247">
        <f t="shared" si="18"/>
        <v>-0.47907274485501428</v>
      </c>
      <c r="E998" s="248">
        <v>-1.2273463205724846E-3</v>
      </c>
    </row>
    <row r="999" spans="2:5" ht="15" thickBot="1" x14ac:dyDescent="0.35">
      <c r="B999" s="170">
        <v>45197.645833333336</v>
      </c>
      <c r="C999" s="169">
        <v>3671.05</v>
      </c>
      <c r="D999" s="247">
        <f t="shared" si="18"/>
        <v>-0.25965251938570749</v>
      </c>
      <c r="E999" s="248">
        <v>-1.2378931330938425E-3</v>
      </c>
    </row>
    <row r="1000" spans="2:5" ht="15" thickBot="1" x14ac:dyDescent="0.35">
      <c r="B1000" s="170">
        <v>45531.645833333336</v>
      </c>
      <c r="C1000" s="169">
        <v>4958.55</v>
      </c>
      <c r="D1000" s="247">
        <f t="shared" si="18"/>
        <v>0.27850402227722776</v>
      </c>
      <c r="E1000" s="248">
        <v>-1.2689205111937282E-3</v>
      </c>
    </row>
    <row r="1001" spans="2:5" ht="15" thickBot="1" x14ac:dyDescent="0.35">
      <c r="B1001" s="170">
        <v>44754.645833333336</v>
      </c>
      <c r="C1001" s="169">
        <v>3878.4</v>
      </c>
      <c r="D1001" s="247">
        <f t="shared" si="18"/>
        <v>0.34929028666852213</v>
      </c>
      <c r="E1001" s="248">
        <v>-1.2746726408899064E-3</v>
      </c>
    </row>
    <row r="1002" spans="2:5" ht="15" thickBot="1" x14ac:dyDescent="0.35">
      <c r="B1002" s="170">
        <v>44321.645833333336</v>
      </c>
      <c r="C1002" s="169">
        <v>2874.4</v>
      </c>
      <c r="D1002" s="247">
        <f t="shared" si="18"/>
        <v>-9.9696181914993492E-2</v>
      </c>
      <c r="E1002" s="248">
        <v>-1.3029202786512168E-3</v>
      </c>
    </row>
    <row r="1003" spans="2:5" ht="15" thickBot="1" x14ac:dyDescent="0.35">
      <c r="B1003" s="170">
        <v>44350.645833333336</v>
      </c>
      <c r="C1003" s="169">
        <v>3192.7</v>
      </c>
      <c r="D1003" s="247">
        <f t="shared" si="18"/>
        <v>-0.33687118348357087</v>
      </c>
      <c r="E1003" s="248">
        <v>-1.3450109477635853E-3</v>
      </c>
    </row>
    <row r="1004" spans="2:5" ht="15" thickBot="1" x14ac:dyDescent="0.35">
      <c r="B1004" s="170">
        <v>44538.645833333336</v>
      </c>
      <c r="C1004" s="169">
        <v>4814.6000000000004</v>
      </c>
      <c r="D1004" s="247">
        <f t="shared" si="18"/>
        <v>2.507905282331512</v>
      </c>
      <c r="E1004" s="248">
        <v>-1.3689537874386987E-3</v>
      </c>
    </row>
    <row r="1005" spans="2:5" ht="15" thickBot="1" x14ac:dyDescent="0.35">
      <c r="B1005" s="170">
        <v>43382.645833333336</v>
      </c>
      <c r="C1005" s="169">
        <v>1372.5</v>
      </c>
      <c r="D1005" s="247">
        <f t="shared" si="18"/>
        <v>-0.66275569752441799</v>
      </c>
      <c r="E1005" s="248">
        <v>-1.3824214202561779E-3</v>
      </c>
    </row>
    <row r="1006" spans="2:5" ht="15" thickBot="1" x14ac:dyDescent="0.35">
      <c r="B1006" s="170">
        <v>45271.645833333336</v>
      </c>
      <c r="C1006" s="169">
        <v>4069.75</v>
      </c>
      <c r="D1006" s="247">
        <f t="shared" si="18"/>
        <v>-6.5692509010766925E-2</v>
      </c>
      <c r="E1006" s="248">
        <v>-1.3863669823821196E-3</v>
      </c>
    </row>
    <row r="1007" spans="2:5" ht="15" thickBot="1" x14ac:dyDescent="0.35">
      <c r="B1007" s="170">
        <v>44459.645833333336</v>
      </c>
      <c r="C1007" s="169">
        <v>4355.8999999999996</v>
      </c>
      <c r="D1007" s="247">
        <f t="shared" si="18"/>
        <v>1.9222460754058768</v>
      </c>
      <c r="E1007" s="248">
        <v>-1.3869943488577774E-3</v>
      </c>
    </row>
    <row r="1008" spans="2:5" ht="15" thickBot="1" x14ac:dyDescent="0.35">
      <c r="B1008" s="170">
        <v>43691.645833333336</v>
      </c>
      <c r="C1008" s="169">
        <v>1490.6</v>
      </c>
      <c r="D1008" s="247">
        <f t="shared" si="18"/>
        <v>-4.9847016828148932E-2</v>
      </c>
      <c r="E1008" s="248">
        <v>-1.4068466537148364E-3</v>
      </c>
    </row>
    <row r="1009" spans="2:5" ht="15" thickBot="1" x14ac:dyDescent="0.35">
      <c r="B1009" s="170">
        <v>43717.645833333336</v>
      </c>
      <c r="C1009" s="169">
        <v>1568.8</v>
      </c>
      <c r="D1009" s="247">
        <f t="shared" si="18"/>
        <v>-0.18746601061763565</v>
      </c>
      <c r="E1009" s="248">
        <v>-1.4321632029534387E-3</v>
      </c>
    </row>
    <row r="1010" spans="2:5" ht="15" thickBot="1" x14ac:dyDescent="0.35">
      <c r="B1010" s="170">
        <v>43844.645833333336</v>
      </c>
      <c r="C1010" s="169">
        <v>1930.75</v>
      </c>
      <c r="D1010" s="247">
        <f t="shared" si="18"/>
        <v>-9.6069664552072775E-2</v>
      </c>
      <c r="E1010" s="248">
        <v>-1.4481135734788109E-3</v>
      </c>
    </row>
    <row r="1011" spans="2:5" ht="15" thickBot="1" x14ac:dyDescent="0.35">
      <c r="B1011" s="170">
        <v>44090.645833333336</v>
      </c>
      <c r="C1011" s="169">
        <v>2135.9499999999998</v>
      </c>
      <c r="D1011" s="247">
        <f t="shared" si="18"/>
        <v>-0.49751220372875377</v>
      </c>
      <c r="E1011" s="248">
        <v>-1.4492414857064414E-3</v>
      </c>
    </row>
    <row r="1012" spans="2:5" ht="15" thickBot="1" x14ac:dyDescent="0.35">
      <c r="B1012" s="170">
        <v>44795.645833333336</v>
      </c>
      <c r="C1012" s="169">
        <v>4250.75</v>
      </c>
      <c r="D1012" s="247">
        <f t="shared" si="18"/>
        <v>1.9015358361774743</v>
      </c>
      <c r="E1012" s="248">
        <v>-1.456441818672951E-3</v>
      </c>
    </row>
    <row r="1013" spans="2:5" ht="15" thickBot="1" x14ac:dyDescent="0.35">
      <c r="B1013" s="170">
        <v>43227.645833333336</v>
      </c>
      <c r="C1013" s="169">
        <v>1465</v>
      </c>
      <c r="D1013" s="247">
        <f t="shared" si="18"/>
        <v>-0.64845765294491708</v>
      </c>
      <c r="E1013" s="248">
        <v>-1.4654261663770514E-3</v>
      </c>
    </row>
    <row r="1014" spans="2:5" ht="15" thickBot="1" x14ac:dyDescent="0.35">
      <c r="B1014" s="170">
        <v>44869.645833333336</v>
      </c>
      <c r="C1014" s="169">
        <v>4167.3500000000004</v>
      </c>
      <c r="D1014" s="247">
        <f t="shared" si="18"/>
        <v>0.18001755578208192</v>
      </c>
      <c r="E1014" s="248">
        <v>-1.4735833233496193E-3</v>
      </c>
    </row>
    <row r="1015" spans="2:5" ht="15" thickBot="1" x14ac:dyDescent="0.35">
      <c r="B1015" s="170">
        <v>45079.645833333336</v>
      </c>
      <c r="C1015" s="169">
        <v>3531.6</v>
      </c>
      <c r="D1015" s="247">
        <f t="shared" si="18"/>
        <v>0.81237811762290879</v>
      </c>
      <c r="E1015" s="248">
        <v>-1.4843716866703423E-3</v>
      </c>
    </row>
    <row r="1016" spans="2:5" ht="15" thickBot="1" x14ac:dyDescent="0.35">
      <c r="B1016" s="170">
        <v>43854.645833333336</v>
      </c>
      <c r="C1016" s="169">
        <v>1948.6</v>
      </c>
      <c r="D1016" s="247">
        <f t="shared" si="18"/>
        <v>-0.11658166156636068</v>
      </c>
      <c r="E1016" s="248">
        <v>-1.4860363822700954E-3</v>
      </c>
    </row>
    <row r="1017" spans="2:5" ht="15" thickBot="1" x14ac:dyDescent="0.35">
      <c r="B1017" s="170">
        <v>44137.645833333336</v>
      </c>
      <c r="C1017" s="169">
        <v>2205.75</v>
      </c>
      <c r="D1017" s="247">
        <f t="shared" si="18"/>
        <v>-0.52101497269302177</v>
      </c>
      <c r="E1017" s="248">
        <v>-1.4938548244721403E-3</v>
      </c>
    </row>
    <row r="1018" spans="2:5" ht="15" thickBot="1" x14ac:dyDescent="0.35">
      <c r="B1018" s="170">
        <v>45414.645833333336</v>
      </c>
      <c r="C1018" s="169">
        <v>4605.05</v>
      </c>
      <c r="D1018" s="247">
        <f t="shared" si="18"/>
        <v>1.3322022739358335</v>
      </c>
      <c r="E1018" s="248">
        <v>-1.5827072967142955E-3</v>
      </c>
    </row>
    <row r="1019" spans="2:5" ht="15" thickBot="1" x14ac:dyDescent="0.35">
      <c r="B1019" s="170">
        <v>44118.645833333336</v>
      </c>
      <c r="C1019" s="169">
        <v>1974.55</v>
      </c>
      <c r="D1019" s="247">
        <f t="shared" si="18"/>
        <v>-0.48555982544128184</v>
      </c>
      <c r="E1019" s="248">
        <v>-1.5927592658138701E-3</v>
      </c>
    </row>
    <row r="1020" spans="2:5" ht="15" thickBot="1" x14ac:dyDescent="0.35">
      <c r="B1020" s="170">
        <v>45252.645833333336</v>
      </c>
      <c r="C1020" s="169">
        <v>3838.25</v>
      </c>
      <c r="D1020" s="247">
        <f t="shared" si="18"/>
        <v>5.6379699455055846E-2</v>
      </c>
      <c r="E1020" s="248">
        <v>-1.599729476641372E-3</v>
      </c>
    </row>
    <row r="1021" spans="2:5" ht="15" thickBot="1" x14ac:dyDescent="0.35">
      <c r="B1021" s="170">
        <v>45230.645833333336</v>
      </c>
      <c r="C1021" s="169">
        <v>3633.4</v>
      </c>
      <c r="D1021" s="247">
        <f t="shared" si="18"/>
        <v>-4.4947954999474293E-2</v>
      </c>
      <c r="E1021" s="248">
        <v>-1.6623390896975442E-3</v>
      </c>
    </row>
    <row r="1022" spans="2:5" ht="15" thickBot="1" x14ac:dyDescent="0.35">
      <c r="B1022" s="170">
        <v>45299.645833333336</v>
      </c>
      <c r="C1022" s="169">
        <v>3804.4</v>
      </c>
      <c r="D1022" s="247">
        <f t="shared" si="18"/>
        <v>0.10930005394293708</v>
      </c>
      <c r="E1022" s="248">
        <v>-1.6663386472478931E-3</v>
      </c>
    </row>
    <row r="1023" spans="2:5" ht="15" thickBot="1" x14ac:dyDescent="0.35">
      <c r="B1023" s="170">
        <v>45070.645833333336</v>
      </c>
      <c r="C1023" s="169">
        <v>3429.55</v>
      </c>
      <c r="D1023" s="247">
        <f t="shared" si="18"/>
        <v>-1.3419826247051275E-2</v>
      </c>
      <c r="E1023" s="248">
        <v>-1.688328700132367E-3</v>
      </c>
    </row>
    <row r="1024" spans="2:5" ht="15" thickBot="1" x14ac:dyDescent="0.35">
      <c r="B1024" s="170">
        <v>45035.645833333336</v>
      </c>
      <c r="C1024" s="169">
        <v>3476.2</v>
      </c>
      <c r="D1024" s="247">
        <f t="shared" si="18"/>
        <v>-6.7480383609415912E-2</v>
      </c>
      <c r="E1024" s="248">
        <v>-1.7230486474068118E-3</v>
      </c>
    </row>
    <row r="1025" spans="2:5" ht="15" thickBot="1" x14ac:dyDescent="0.35">
      <c r="B1025" s="170">
        <v>45315.645833333336</v>
      </c>
      <c r="C1025" s="169">
        <v>3727.75</v>
      </c>
      <c r="D1025" s="247">
        <f t="shared" si="18"/>
        <v>1.5195160690750564</v>
      </c>
      <c r="E1025" s="248">
        <v>-1.7406440382941688E-3</v>
      </c>
    </row>
    <row r="1026" spans="2:5" ht="15" thickBot="1" x14ac:dyDescent="0.35">
      <c r="B1026" s="170">
        <v>43543.645833333336</v>
      </c>
      <c r="C1026" s="169">
        <v>1479.55</v>
      </c>
      <c r="D1026" s="247">
        <f t="shared" si="18"/>
        <v>-0.55821800212000416</v>
      </c>
      <c r="E1026" s="248">
        <v>-1.7542084134535211E-3</v>
      </c>
    </row>
    <row r="1027" spans="2:5" ht="15" thickBot="1" x14ac:dyDescent="0.35">
      <c r="B1027" s="170">
        <v>44389.645833333336</v>
      </c>
      <c r="C1027" s="169">
        <v>3349.05</v>
      </c>
      <c r="D1027" s="247">
        <f t="shared" si="18"/>
        <v>-9.2373777067129167E-2</v>
      </c>
      <c r="E1027" s="248">
        <v>-1.7734724292100799E-3</v>
      </c>
    </row>
    <row r="1028" spans="2:5" ht="15" thickBot="1" x14ac:dyDescent="0.35">
      <c r="B1028" s="170">
        <v>45700.645833333336</v>
      </c>
      <c r="C1028" s="169">
        <v>3689.9</v>
      </c>
      <c r="D1028" s="247">
        <f t="shared" si="18"/>
        <v>-0.22293355796567335</v>
      </c>
      <c r="E1028" s="248">
        <v>-1.7854727444880046E-3</v>
      </c>
    </row>
    <row r="1029" spans="2:5" ht="15" thickBot="1" x14ac:dyDescent="0.35">
      <c r="B1029" s="170">
        <v>44508.645833333336</v>
      </c>
      <c r="C1029" s="169">
        <v>4748.5</v>
      </c>
      <c r="D1029" s="247">
        <f t="shared" ref="D1029:D1092" si="19">(C1029-C1030)/C1030</f>
        <v>1.473692435924151</v>
      </c>
      <c r="E1029" s="248">
        <v>-1.8183155881146562E-3</v>
      </c>
    </row>
    <row r="1030" spans="2:5" ht="15" thickBot="1" x14ac:dyDescent="0.35">
      <c r="B1030" s="170">
        <v>43819.645833333336</v>
      </c>
      <c r="C1030" s="169">
        <v>1919.6</v>
      </c>
      <c r="D1030" s="247">
        <f t="shared" si="19"/>
        <v>-0.17247919989653832</v>
      </c>
      <c r="E1030" s="248">
        <v>-1.8199781602620769E-3</v>
      </c>
    </row>
    <row r="1031" spans="2:5" ht="15" thickBot="1" x14ac:dyDescent="0.35">
      <c r="B1031" s="170">
        <v>43888.645833333336</v>
      </c>
      <c r="C1031" s="169">
        <v>2319.6999999999998</v>
      </c>
      <c r="D1031" s="247">
        <f t="shared" si="19"/>
        <v>-0.1322060528973851</v>
      </c>
      <c r="E1031" s="248">
        <v>-1.8287828911981757E-3</v>
      </c>
    </row>
    <row r="1032" spans="2:5" ht="15" thickBot="1" x14ac:dyDescent="0.35">
      <c r="B1032" s="170">
        <v>44189.645833333336</v>
      </c>
      <c r="C1032" s="169">
        <v>2673.1</v>
      </c>
      <c r="D1032" s="247">
        <f t="shared" si="19"/>
        <v>0.19926422755108913</v>
      </c>
      <c r="E1032" s="248">
        <v>-1.8297236743839026E-3</v>
      </c>
    </row>
    <row r="1033" spans="2:5" ht="15" thickBot="1" x14ac:dyDescent="0.35">
      <c r="B1033" s="170">
        <v>43892.645833333336</v>
      </c>
      <c r="C1033" s="169">
        <v>2228.9499999999998</v>
      </c>
      <c r="D1033" s="247">
        <f t="shared" si="19"/>
        <v>0.37178816506139023</v>
      </c>
      <c r="E1033" s="248">
        <v>-1.8360538277245755E-3</v>
      </c>
    </row>
    <row r="1034" spans="2:5" ht="15" thickBot="1" x14ac:dyDescent="0.35">
      <c r="B1034" s="170">
        <v>43319.645833333336</v>
      </c>
      <c r="C1034" s="169">
        <v>1624.85</v>
      </c>
      <c r="D1034" s="247">
        <f t="shared" si="19"/>
        <v>-0.627925349209984</v>
      </c>
      <c r="E1034" s="248">
        <v>-1.842921645114722E-3</v>
      </c>
    </row>
    <row r="1035" spans="2:5" ht="15" thickBot="1" x14ac:dyDescent="0.35">
      <c r="B1035" s="170">
        <v>44827.645833333336</v>
      </c>
      <c r="C1035" s="169">
        <v>4367</v>
      </c>
      <c r="D1035" s="247">
        <f t="shared" si="19"/>
        <v>0.23328485293494691</v>
      </c>
      <c r="E1035" s="248">
        <v>-1.8970127762668117E-3</v>
      </c>
    </row>
    <row r="1036" spans="2:5" ht="15" thickBot="1" x14ac:dyDescent="0.35">
      <c r="B1036" s="170">
        <v>45156.645833333336</v>
      </c>
      <c r="C1036" s="169">
        <v>3540.95</v>
      </c>
      <c r="D1036" s="247">
        <f t="shared" si="19"/>
        <v>-3.1733661471151267E-2</v>
      </c>
      <c r="E1036" s="248">
        <v>-1.9026411477858895E-3</v>
      </c>
    </row>
    <row r="1037" spans="2:5" ht="15" thickBot="1" x14ac:dyDescent="0.35">
      <c r="B1037" s="170">
        <v>44698.645833333336</v>
      </c>
      <c r="C1037" s="169">
        <v>3657</v>
      </c>
      <c r="D1037" s="247">
        <f t="shared" si="19"/>
        <v>6.4398943196829839E-3</v>
      </c>
      <c r="E1037" s="248">
        <v>-1.9241003807262951E-3</v>
      </c>
    </row>
    <row r="1038" spans="2:5" ht="15" thickBot="1" x14ac:dyDescent="0.35">
      <c r="B1038" s="170">
        <v>45195.645833333336</v>
      </c>
      <c r="C1038" s="169">
        <v>3633.6</v>
      </c>
      <c r="D1038" s="247">
        <f t="shared" si="19"/>
        <v>-1.3332609226925873E-2</v>
      </c>
      <c r="E1038" s="248">
        <v>-1.9501744170076934E-3</v>
      </c>
    </row>
    <row r="1039" spans="2:5" ht="15" thickBot="1" x14ac:dyDescent="0.35">
      <c r="B1039" s="170">
        <v>45699.645833333336</v>
      </c>
      <c r="C1039" s="169">
        <v>3682.7</v>
      </c>
      <c r="D1039" s="247">
        <f t="shared" si="19"/>
        <v>0.29192611952079411</v>
      </c>
      <c r="E1039" s="248">
        <v>-1.9512723922058247E-3</v>
      </c>
    </row>
    <row r="1040" spans="2:5" ht="15" thickBot="1" x14ac:dyDescent="0.35">
      <c r="B1040" s="170">
        <v>44327.645833333336</v>
      </c>
      <c r="C1040" s="169">
        <v>2850.55</v>
      </c>
      <c r="D1040" s="247">
        <f t="shared" si="19"/>
        <v>-0.427611895343467</v>
      </c>
      <c r="E1040" s="248">
        <v>-1.9606813367644936E-3</v>
      </c>
    </row>
    <row r="1041" spans="2:5" ht="15" thickBot="1" x14ac:dyDescent="0.35">
      <c r="B1041" s="170">
        <v>45512.645833333336</v>
      </c>
      <c r="C1041" s="169">
        <v>4980.1000000000004</v>
      </c>
      <c r="D1041" s="247">
        <f t="shared" si="19"/>
        <v>2.2527350511087163</v>
      </c>
      <c r="E1041" s="248">
        <v>-1.9739676750266948E-3</v>
      </c>
    </row>
    <row r="1042" spans="2:5" ht="15" thickBot="1" x14ac:dyDescent="0.35">
      <c r="B1042" s="170">
        <v>43703.645833333336</v>
      </c>
      <c r="C1042" s="169">
        <v>1531.05</v>
      </c>
      <c r="D1042" s="247">
        <f t="shared" si="19"/>
        <v>-0.60584646277417364</v>
      </c>
      <c r="E1042" s="248">
        <v>-1.9881363665992793E-3</v>
      </c>
    </row>
    <row r="1043" spans="2:5" ht="15" thickBot="1" x14ac:dyDescent="0.35">
      <c r="B1043" s="170">
        <v>45736.645833333336</v>
      </c>
      <c r="C1043" s="169">
        <v>3884.4</v>
      </c>
      <c r="D1043" s="247">
        <f t="shared" si="19"/>
        <v>8.8646618648580533E-2</v>
      </c>
      <c r="E1043" s="248">
        <v>-2.0040080160319941E-3</v>
      </c>
    </row>
    <row r="1044" spans="2:5" ht="15" thickBot="1" x14ac:dyDescent="0.35">
      <c r="B1044" s="170">
        <v>45686.645833333336</v>
      </c>
      <c r="C1044" s="169">
        <v>3568.1</v>
      </c>
      <c r="D1044" s="247">
        <f t="shared" si="19"/>
        <v>-1.2604983880564023E-2</v>
      </c>
      <c r="E1044" s="248">
        <v>-2.0417295966885332E-3</v>
      </c>
    </row>
    <row r="1045" spans="2:5" ht="15" thickBot="1" x14ac:dyDescent="0.35">
      <c r="B1045" s="170">
        <v>45618.645833333336</v>
      </c>
      <c r="C1045" s="169">
        <v>3613.65</v>
      </c>
      <c r="D1045" s="247">
        <f t="shared" si="19"/>
        <v>0.1909925349768469</v>
      </c>
      <c r="E1045" s="248">
        <v>-2.0436061363416939E-3</v>
      </c>
    </row>
    <row r="1046" spans="2:5" ht="15" thickBot="1" x14ac:dyDescent="0.35">
      <c r="B1046" s="170">
        <v>44337.645833333336</v>
      </c>
      <c r="C1046" s="169">
        <v>3034.15</v>
      </c>
      <c r="D1046" s="247">
        <f t="shared" si="19"/>
        <v>-0.27976119828138718</v>
      </c>
      <c r="E1046" s="248">
        <v>-2.0720617013927963E-3</v>
      </c>
    </row>
    <row r="1047" spans="2:5" ht="15" thickBot="1" x14ac:dyDescent="0.35">
      <c r="B1047" s="170">
        <v>45762.645833333336</v>
      </c>
      <c r="C1047" s="168">
        <v>4212.7</v>
      </c>
      <c r="D1047" s="247">
        <f t="shared" si="19"/>
        <v>5.2832829330467505E-2</v>
      </c>
      <c r="E1047" s="248">
        <v>-2.084567097003478E-3</v>
      </c>
    </row>
    <row r="1048" spans="2:5" ht="15" thickBot="1" x14ac:dyDescent="0.35">
      <c r="B1048" s="170">
        <v>44645.645833333336</v>
      </c>
      <c r="C1048" s="169">
        <v>4001.3</v>
      </c>
      <c r="D1048" s="247">
        <f t="shared" si="19"/>
        <v>9.9424363571418858E-2</v>
      </c>
      <c r="E1048" s="248">
        <v>-2.1820176805775488E-3</v>
      </c>
    </row>
    <row r="1049" spans="2:5" ht="15" thickBot="1" x14ac:dyDescent="0.35">
      <c r="B1049" s="170">
        <v>45231.645833333336</v>
      </c>
      <c r="C1049" s="169">
        <v>3639.45</v>
      </c>
      <c r="D1049" s="247">
        <f t="shared" si="19"/>
        <v>2.6643159379407564E-2</v>
      </c>
      <c r="E1049" s="248">
        <v>-2.1933131365748674E-3</v>
      </c>
    </row>
    <row r="1050" spans="2:5" ht="15" thickBot="1" x14ac:dyDescent="0.35">
      <c r="B1050" s="170">
        <v>44974.645833333336</v>
      </c>
      <c r="C1050" s="169">
        <v>3545</v>
      </c>
      <c r="D1050" s="247">
        <f t="shared" si="19"/>
        <v>-2.6192536431936465E-2</v>
      </c>
      <c r="E1050" s="248">
        <v>-2.2094937866782749E-3</v>
      </c>
    </row>
    <row r="1051" spans="2:5" ht="15" thickBot="1" x14ac:dyDescent="0.35">
      <c r="B1051" s="170">
        <v>45145.645833333336</v>
      </c>
      <c r="C1051" s="169">
        <v>3640.35</v>
      </c>
      <c r="D1051" s="247">
        <f t="shared" si="19"/>
        <v>0.24885504039520409</v>
      </c>
      <c r="E1051" s="248">
        <v>-2.2201208732475185E-3</v>
      </c>
    </row>
    <row r="1052" spans="2:5" ht="15" thickBot="1" x14ac:dyDescent="0.35">
      <c r="B1052" s="170">
        <v>44202.645833333336</v>
      </c>
      <c r="C1052" s="169">
        <v>2914.95</v>
      </c>
      <c r="D1052" s="247">
        <f t="shared" si="19"/>
        <v>1.1009405744351146</v>
      </c>
      <c r="E1052" s="248">
        <v>-2.2249225555802769E-3</v>
      </c>
    </row>
    <row r="1053" spans="2:5" ht="15" thickBot="1" x14ac:dyDescent="0.35">
      <c r="B1053" s="170">
        <v>43642.645833333336</v>
      </c>
      <c r="C1053" s="169">
        <v>1387.45</v>
      </c>
      <c r="D1053" s="247">
        <f t="shared" si="19"/>
        <v>-0.63729642119572327</v>
      </c>
      <c r="E1053" s="248">
        <v>-2.2293337168745528E-3</v>
      </c>
    </row>
    <row r="1054" spans="2:5" ht="15" thickBot="1" x14ac:dyDescent="0.35">
      <c r="B1054" s="170">
        <v>45733.645833333336</v>
      </c>
      <c r="C1054" s="169">
        <v>3825.3</v>
      </c>
      <c r="D1054" s="247">
        <f t="shared" si="19"/>
        <v>7.8795228291830027E-2</v>
      </c>
      <c r="E1054" s="248">
        <v>-2.2301341993035012E-3</v>
      </c>
    </row>
    <row r="1055" spans="2:5" ht="15" thickBot="1" x14ac:dyDescent="0.35">
      <c r="B1055" s="170">
        <v>45048.645833333336</v>
      </c>
      <c r="C1055" s="169">
        <v>3545.9</v>
      </c>
      <c r="D1055" s="247">
        <f t="shared" si="19"/>
        <v>2.0001692190540652</v>
      </c>
      <c r="E1055" s="248">
        <v>-2.279122115925692E-3</v>
      </c>
    </row>
    <row r="1056" spans="2:5" ht="15" thickBot="1" x14ac:dyDescent="0.35">
      <c r="B1056" s="170">
        <v>43129.645833333336</v>
      </c>
      <c r="C1056" s="169">
        <v>1181.9000000000001</v>
      </c>
      <c r="D1056" s="247">
        <f t="shared" si="19"/>
        <v>-0.6785345155850514</v>
      </c>
      <c r="E1056" s="248">
        <v>-2.2792503798749098E-3</v>
      </c>
    </row>
    <row r="1057" spans="2:5" ht="15" thickBot="1" x14ac:dyDescent="0.35">
      <c r="B1057" s="170">
        <v>45706.645833333336</v>
      </c>
      <c r="C1057" s="169">
        <v>3676.6</v>
      </c>
      <c r="D1057" s="247">
        <f t="shared" si="19"/>
        <v>7.3428513036115736E-2</v>
      </c>
      <c r="E1057" s="248">
        <v>-2.2795115332429013E-3</v>
      </c>
    </row>
    <row r="1058" spans="2:5" ht="15" thickBot="1" x14ac:dyDescent="0.35">
      <c r="B1058" s="170">
        <v>45068.645833333336</v>
      </c>
      <c r="C1058" s="169">
        <v>3425.1</v>
      </c>
      <c r="D1058" s="247">
        <f t="shared" si="19"/>
        <v>1.7670867668444015</v>
      </c>
      <c r="E1058" s="248">
        <v>-2.2866630740325114E-3</v>
      </c>
    </row>
    <row r="1059" spans="2:5" ht="15" thickBot="1" x14ac:dyDescent="0.35">
      <c r="B1059" s="170">
        <v>43152.645833333336</v>
      </c>
      <c r="C1059" s="169">
        <v>1237.8</v>
      </c>
      <c r="D1059" s="247">
        <f t="shared" si="19"/>
        <v>-0.35568164072666703</v>
      </c>
      <c r="E1059" s="248">
        <v>-2.2971829283038214E-3</v>
      </c>
    </row>
    <row r="1060" spans="2:5" ht="15" thickBot="1" x14ac:dyDescent="0.35">
      <c r="B1060" s="170">
        <v>43825.645833333336</v>
      </c>
      <c r="C1060" s="169">
        <v>1921.1</v>
      </c>
      <c r="D1060" s="247">
        <f t="shared" si="19"/>
        <v>-0.5958981909970551</v>
      </c>
      <c r="E1060" s="248">
        <v>-2.3110280179689155E-3</v>
      </c>
    </row>
    <row r="1061" spans="2:5" ht="15" thickBot="1" x14ac:dyDescent="0.35">
      <c r="B1061" s="170">
        <v>45392.645833333336</v>
      </c>
      <c r="C1061" s="169">
        <v>4754</v>
      </c>
      <c r="D1061" s="247">
        <f t="shared" si="19"/>
        <v>2.4201438848920862</v>
      </c>
      <c r="E1061" s="248">
        <v>-2.3189683214237377E-3</v>
      </c>
    </row>
    <row r="1062" spans="2:5" ht="15" thickBot="1" x14ac:dyDescent="0.35">
      <c r="B1062" s="170">
        <v>43480.645833333336</v>
      </c>
      <c r="C1062" s="169">
        <v>1390</v>
      </c>
      <c r="D1062" s="247">
        <f t="shared" si="19"/>
        <v>7.1993213280376278E-2</v>
      </c>
      <c r="E1062" s="248">
        <v>-2.3326753992463662E-3</v>
      </c>
    </row>
    <row r="1063" spans="2:5" ht="15" thickBot="1" x14ac:dyDescent="0.35">
      <c r="B1063" s="170">
        <v>43623.645833333336</v>
      </c>
      <c r="C1063" s="169">
        <v>1296.6500000000001</v>
      </c>
      <c r="D1063" s="247">
        <f t="shared" si="19"/>
        <v>-0.27095105563520838</v>
      </c>
      <c r="E1063" s="248">
        <v>-2.3466953912440981E-3</v>
      </c>
    </row>
    <row r="1064" spans="2:5" ht="15" thickBot="1" x14ac:dyDescent="0.35">
      <c r="B1064" s="170">
        <v>43811.645833333336</v>
      </c>
      <c r="C1064" s="169">
        <v>1778.55</v>
      </c>
      <c r="D1064" s="247">
        <f t="shared" si="19"/>
        <v>-0.4917484675725492</v>
      </c>
      <c r="E1064" s="248">
        <v>-2.3559108119478589E-3</v>
      </c>
    </row>
    <row r="1065" spans="2:5" ht="15" thickBot="1" x14ac:dyDescent="0.35">
      <c r="B1065" s="170">
        <v>45154.645833333336</v>
      </c>
      <c r="C1065" s="169">
        <v>3499.35</v>
      </c>
      <c r="D1065" s="247">
        <f t="shared" si="19"/>
        <v>-0.16355531121522143</v>
      </c>
      <c r="E1065" s="248">
        <v>-2.3662566105512755E-3</v>
      </c>
    </row>
    <row r="1066" spans="2:5" ht="15" thickBot="1" x14ac:dyDescent="0.35">
      <c r="B1066" s="170">
        <v>45579.645833333336</v>
      </c>
      <c r="C1066" s="169">
        <v>4183.6000000000004</v>
      </c>
      <c r="D1066" s="247">
        <f t="shared" si="19"/>
        <v>3.9739543206501617E-2</v>
      </c>
      <c r="E1066" s="248">
        <v>-2.3726913951186506E-3</v>
      </c>
    </row>
    <row r="1067" spans="2:5" ht="15" thickBot="1" x14ac:dyDescent="0.35">
      <c r="B1067" s="170">
        <v>45859.645833333336</v>
      </c>
      <c r="C1067" s="168">
        <v>4023.7</v>
      </c>
      <c r="D1067" s="247">
        <f t="shared" si="19"/>
        <v>-0.11874021266576881</v>
      </c>
      <c r="E1067" s="248">
        <v>-2.3801849602063728E-3</v>
      </c>
    </row>
    <row r="1068" spans="2:5" ht="15" thickBot="1" x14ac:dyDescent="0.35">
      <c r="B1068" s="170">
        <v>44805.645833333336</v>
      </c>
      <c r="C1068" s="169">
        <v>4565.8500000000004</v>
      </c>
      <c r="D1068" s="247">
        <f t="shared" si="19"/>
        <v>0.34697760863793276</v>
      </c>
      <c r="E1068" s="248">
        <v>-2.3925013109595827E-3</v>
      </c>
    </row>
    <row r="1069" spans="2:5" ht="15" thickBot="1" x14ac:dyDescent="0.35">
      <c r="B1069" s="170">
        <v>44993.645833333336</v>
      </c>
      <c r="C1069" s="169">
        <v>3389.7</v>
      </c>
      <c r="D1069" s="247">
        <f t="shared" si="19"/>
        <v>-7.5922795921705477E-2</v>
      </c>
      <c r="E1069" s="248">
        <v>-2.3985755698456646E-3</v>
      </c>
    </row>
    <row r="1070" spans="2:5" ht="15" thickBot="1" x14ac:dyDescent="0.35">
      <c r="B1070" s="170">
        <v>45131.645833333336</v>
      </c>
      <c r="C1070" s="169">
        <v>3668.2</v>
      </c>
      <c r="D1070" s="247">
        <f t="shared" si="19"/>
        <v>-0.24871994429197569</v>
      </c>
      <c r="E1070" s="248">
        <v>-2.4068206850601332E-3</v>
      </c>
    </row>
    <row r="1071" spans="2:5" ht="15" thickBot="1" x14ac:dyDescent="0.35">
      <c r="B1071" s="170">
        <v>44524.645833333336</v>
      </c>
      <c r="C1071" s="169">
        <v>4882.6000000000004</v>
      </c>
      <c r="D1071" s="247">
        <f t="shared" si="19"/>
        <v>0.37178658725030206</v>
      </c>
      <c r="E1071" s="248">
        <v>-2.4313004392684926E-3</v>
      </c>
    </row>
    <row r="1072" spans="2:5" ht="15" thickBot="1" x14ac:dyDescent="0.35">
      <c r="B1072" s="170">
        <v>45685.645833333336</v>
      </c>
      <c r="C1072" s="169">
        <v>3559.3</v>
      </c>
      <c r="D1072" s="247">
        <f t="shared" si="19"/>
        <v>-0.23804120952635799</v>
      </c>
      <c r="E1072" s="248">
        <v>-2.4662985902860705E-3</v>
      </c>
    </row>
    <row r="1073" spans="2:5" ht="15" thickBot="1" x14ac:dyDescent="0.35">
      <c r="B1073" s="170">
        <v>45428.645833333336</v>
      </c>
      <c r="C1073" s="169">
        <v>4671.25</v>
      </c>
      <c r="D1073" s="247">
        <f t="shared" si="19"/>
        <v>0.54339853300733498</v>
      </c>
      <c r="E1073" s="248">
        <v>-2.4877746695423E-3</v>
      </c>
    </row>
    <row r="1074" spans="2:5" ht="15" thickBot="1" x14ac:dyDescent="0.35">
      <c r="B1074" s="170">
        <v>44336.645833333336</v>
      </c>
      <c r="C1074" s="169">
        <v>3026.6</v>
      </c>
      <c r="D1074" s="247">
        <f t="shared" si="19"/>
        <v>-0.41327336699977707</v>
      </c>
      <c r="E1074" s="248">
        <v>-2.48834105103577E-3</v>
      </c>
    </row>
    <row r="1075" spans="2:5" ht="15" thickBot="1" x14ac:dyDescent="0.35">
      <c r="B1075" s="170">
        <v>45497.645833333336</v>
      </c>
      <c r="C1075" s="169">
        <v>5158.45</v>
      </c>
      <c r="D1075" s="247">
        <f t="shared" si="19"/>
        <v>0.34315397534207331</v>
      </c>
      <c r="E1075" s="248">
        <v>-2.4945130381816248E-3</v>
      </c>
    </row>
    <row r="1076" spans="2:5" ht="15" thickBot="1" x14ac:dyDescent="0.35">
      <c r="B1076" s="170">
        <v>45345.645833333336</v>
      </c>
      <c r="C1076" s="169">
        <v>3840.55</v>
      </c>
      <c r="D1076" s="247">
        <f t="shared" si="19"/>
        <v>-9.1123154108292345E-2</v>
      </c>
      <c r="E1076" s="248">
        <v>-2.5452231615306991E-3</v>
      </c>
    </row>
    <row r="1077" spans="2:5" ht="15" thickBot="1" x14ac:dyDescent="0.35">
      <c r="B1077" s="170">
        <v>44593.645833333336</v>
      </c>
      <c r="C1077" s="169">
        <v>4225.6000000000004</v>
      </c>
      <c r="D1077" s="247">
        <f t="shared" si="19"/>
        <v>1.8353071426175063</v>
      </c>
      <c r="E1077" s="248">
        <v>-2.6081927938345802E-3</v>
      </c>
    </row>
    <row r="1078" spans="2:5" ht="15" thickBot="1" x14ac:dyDescent="0.35">
      <c r="B1078" s="170">
        <v>43272.645833333336</v>
      </c>
      <c r="C1078" s="169">
        <v>1490.35</v>
      </c>
      <c r="D1078" s="247">
        <f t="shared" si="19"/>
        <v>-0.63048868172464234</v>
      </c>
      <c r="E1078" s="248">
        <v>-2.6100050192404823E-3</v>
      </c>
    </row>
    <row r="1079" spans="2:5" ht="15" thickBot="1" x14ac:dyDescent="0.35">
      <c r="B1079" s="170">
        <v>45860.645833333336</v>
      </c>
      <c r="C1079" s="168">
        <v>4033.3</v>
      </c>
      <c r="D1079" s="247">
        <f t="shared" si="19"/>
        <v>0.76176644025596796</v>
      </c>
      <c r="E1079" s="248">
        <v>-2.6212319790301216E-3</v>
      </c>
    </row>
    <row r="1080" spans="2:5" ht="15" thickBot="1" x14ac:dyDescent="0.35">
      <c r="B1080" s="170">
        <v>44013.645833333336</v>
      </c>
      <c r="C1080" s="169">
        <v>2289.35</v>
      </c>
      <c r="D1080" s="247">
        <f t="shared" si="19"/>
        <v>0.54503121309262692</v>
      </c>
      <c r="E1080" s="248">
        <v>-2.6791548682204708E-3</v>
      </c>
    </row>
    <row r="1081" spans="2:5" ht="15" thickBot="1" x14ac:dyDescent="0.35">
      <c r="B1081" s="170">
        <v>43698.645833333336</v>
      </c>
      <c r="C1081" s="169">
        <v>1481.75</v>
      </c>
      <c r="D1081" s="247">
        <f t="shared" si="19"/>
        <v>-0.29531079088790596</v>
      </c>
      <c r="E1081" s="248">
        <v>-2.6922429749284874E-3</v>
      </c>
    </row>
    <row r="1082" spans="2:5" ht="15" thickBot="1" x14ac:dyDescent="0.35">
      <c r="B1082" s="170">
        <v>44099.645833333336</v>
      </c>
      <c r="C1082" s="169">
        <v>2102.6999999999998</v>
      </c>
      <c r="D1082" s="247">
        <f t="shared" si="19"/>
        <v>-0.36597868202445388</v>
      </c>
      <c r="E1082" s="248">
        <v>-2.7034718269779326E-3</v>
      </c>
    </row>
    <row r="1083" spans="2:5" ht="15" thickBot="1" x14ac:dyDescent="0.35">
      <c r="B1083" s="170">
        <v>45013.645833333336</v>
      </c>
      <c r="C1083" s="169">
        <v>3316.45</v>
      </c>
      <c r="D1083" s="247">
        <f t="shared" si="19"/>
        <v>1.0883130785215036</v>
      </c>
      <c r="E1083" s="248">
        <v>-2.7064006375077058E-3</v>
      </c>
    </row>
    <row r="1084" spans="2:5" ht="15" thickBot="1" x14ac:dyDescent="0.35">
      <c r="B1084" s="170">
        <v>43339.645833333336</v>
      </c>
      <c r="C1084" s="169">
        <v>1588.1</v>
      </c>
      <c r="D1084" s="247">
        <f t="shared" si="19"/>
        <v>-0.44648147502701196</v>
      </c>
      <c r="E1084" s="248">
        <v>-2.7316399259004276E-3</v>
      </c>
    </row>
    <row r="1085" spans="2:5" ht="15" thickBot="1" x14ac:dyDescent="0.35">
      <c r="B1085" s="170">
        <v>44229.645833333336</v>
      </c>
      <c r="C1085" s="169">
        <v>2869.1</v>
      </c>
      <c r="D1085" s="247">
        <f t="shared" si="19"/>
        <v>-0.17957736410168426</v>
      </c>
      <c r="E1085" s="248">
        <v>-2.7459158846020477E-3</v>
      </c>
    </row>
    <row r="1086" spans="2:5" ht="15" thickBot="1" x14ac:dyDescent="0.35">
      <c r="B1086" s="170">
        <v>45033.645833333336</v>
      </c>
      <c r="C1086" s="169">
        <v>3497.1</v>
      </c>
      <c r="D1086" s="247">
        <f t="shared" si="19"/>
        <v>-9.2145740579691396E-2</v>
      </c>
      <c r="E1086" s="248">
        <v>-2.7660545226418022E-3</v>
      </c>
    </row>
    <row r="1087" spans="2:5" ht="15" thickBot="1" x14ac:dyDescent="0.35">
      <c r="B1087" s="170">
        <v>45210.645833333336</v>
      </c>
      <c r="C1087" s="169">
        <v>3852.05</v>
      </c>
      <c r="D1087" s="247">
        <f t="shared" si="19"/>
        <v>-3.9424959166115957E-2</v>
      </c>
      <c r="E1087" s="248">
        <v>-2.7700472461328891E-3</v>
      </c>
    </row>
    <row r="1088" spans="2:5" ht="15" thickBot="1" x14ac:dyDescent="0.35">
      <c r="B1088" s="170">
        <v>45278.645833333336</v>
      </c>
      <c r="C1088" s="169">
        <v>4010.15</v>
      </c>
      <c r="D1088" s="247">
        <f t="shared" si="19"/>
        <v>8.6651407299344202E-3</v>
      </c>
      <c r="E1088" s="248">
        <v>-2.7851343454312156E-3</v>
      </c>
    </row>
    <row r="1089" spans="2:5" ht="15" thickBot="1" x14ac:dyDescent="0.35">
      <c r="B1089" s="170">
        <v>45096.645833333336</v>
      </c>
      <c r="C1089" s="169">
        <v>3975.7</v>
      </c>
      <c r="D1089" s="247">
        <f t="shared" si="19"/>
        <v>-9.8460282546089448E-2</v>
      </c>
      <c r="E1089" s="248">
        <v>-2.8092001304272172E-3</v>
      </c>
    </row>
    <row r="1090" spans="2:5" ht="15" thickBot="1" x14ac:dyDescent="0.35">
      <c r="B1090" s="170">
        <v>44462.645833333336</v>
      </c>
      <c r="C1090" s="169">
        <v>4409.8999999999996</v>
      </c>
      <c r="D1090" s="247">
        <f t="shared" si="19"/>
        <v>0.2271538290293855</v>
      </c>
      <c r="E1090" s="248">
        <v>-2.8152452881388236E-3</v>
      </c>
    </row>
    <row r="1091" spans="2:5" ht="15" thickBot="1" x14ac:dyDescent="0.35">
      <c r="B1091" s="170">
        <v>45723.645833333336</v>
      </c>
      <c r="C1091" s="169">
        <v>3593.6</v>
      </c>
      <c r="D1091" s="247">
        <f t="shared" si="19"/>
        <v>-9.0342994557650949E-2</v>
      </c>
      <c r="E1091" s="248">
        <v>-2.8165105792577428E-3</v>
      </c>
    </row>
    <row r="1092" spans="2:5" ht="15" thickBot="1" x14ac:dyDescent="0.35">
      <c r="B1092" s="170">
        <v>44448.645833333336</v>
      </c>
      <c r="C1092" s="169">
        <v>3950.5</v>
      </c>
      <c r="D1092" s="247">
        <f t="shared" si="19"/>
        <v>1.961543424958059E-2</v>
      </c>
      <c r="E1092" s="248">
        <v>-2.8648232517636736E-3</v>
      </c>
    </row>
    <row r="1093" spans="2:5" ht="15" thickBot="1" x14ac:dyDescent="0.35">
      <c r="B1093" s="170">
        <v>45604.645833333336</v>
      </c>
      <c r="C1093" s="169">
        <v>3874.5</v>
      </c>
      <c r="D1093" s="247">
        <f t="shared" ref="D1093:D1156" si="20">(C1093-C1094)/C1094</f>
        <v>-0.25559099292960347</v>
      </c>
      <c r="E1093" s="248">
        <v>-2.8823635381011962E-3</v>
      </c>
    </row>
    <row r="1094" spans="2:5" ht="15" thickBot="1" x14ac:dyDescent="0.35">
      <c r="B1094" s="170">
        <v>45551.645833333336</v>
      </c>
      <c r="C1094" s="169">
        <v>5204.8</v>
      </c>
      <c r="D1094" s="247">
        <f t="shared" si="20"/>
        <v>0.57396879158098457</v>
      </c>
      <c r="E1094" s="248">
        <v>-2.8832246137341457E-3</v>
      </c>
    </row>
    <row r="1095" spans="2:5" ht="15" thickBot="1" x14ac:dyDescent="0.35">
      <c r="B1095" s="170">
        <v>45012.645833333336</v>
      </c>
      <c r="C1095" s="169">
        <v>3306.8</v>
      </c>
      <c r="D1095" s="247">
        <f t="shared" si="20"/>
        <v>0.61362416434880196</v>
      </c>
      <c r="E1095" s="248">
        <v>-2.9097378220686687E-3</v>
      </c>
    </row>
    <row r="1096" spans="2:5" ht="15" thickBot="1" x14ac:dyDescent="0.35">
      <c r="B1096" s="170">
        <v>44096.645833333336</v>
      </c>
      <c r="C1096" s="169">
        <v>2049.3000000000002</v>
      </c>
      <c r="D1096" s="247">
        <f t="shared" si="20"/>
        <v>0.38293349529304604</v>
      </c>
      <c r="E1096" s="248">
        <v>-2.9192818566632604E-3</v>
      </c>
    </row>
    <row r="1097" spans="2:5" ht="15" thickBot="1" x14ac:dyDescent="0.35">
      <c r="B1097" s="170">
        <v>43563.645833333336</v>
      </c>
      <c r="C1097" s="169">
        <v>1481.85</v>
      </c>
      <c r="D1097" s="247">
        <f t="shared" si="20"/>
        <v>0.10375777438456665</v>
      </c>
      <c r="E1097" s="248">
        <v>-2.926927735163596E-3</v>
      </c>
    </row>
    <row r="1098" spans="2:5" ht="15" thickBot="1" x14ac:dyDescent="0.35">
      <c r="B1098" s="170">
        <v>43178.645833333336</v>
      </c>
      <c r="C1098" s="169">
        <v>1342.55</v>
      </c>
      <c r="D1098" s="247">
        <f t="shared" si="20"/>
        <v>-0.64769402348619032</v>
      </c>
      <c r="E1098" s="248">
        <v>-2.9335313776457819E-3</v>
      </c>
    </row>
    <row r="1099" spans="2:5" ht="15" thickBot="1" x14ac:dyDescent="0.35">
      <c r="B1099" s="170">
        <v>45300.645833333336</v>
      </c>
      <c r="C1099" s="169">
        <v>3810.75</v>
      </c>
      <c r="D1099" s="247">
        <f t="shared" si="20"/>
        <v>-6.0252748542587503E-3</v>
      </c>
      <c r="E1099" s="248">
        <v>-2.9434850863422294E-3</v>
      </c>
    </row>
    <row r="1100" spans="2:5" ht="15" thickBot="1" x14ac:dyDescent="0.35">
      <c r="B1100" s="170">
        <v>45734.645833333336</v>
      </c>
      <c r="C1100" s="169">
        <v>3833.85</v>
      </c>
      <c r="D1100" s="247">
        <f t="shared" si="20"/>
        <v>0.76220353006067298</v>
      </c>
      <c r="E1100" s="248">
        <v>-2.9517320295433034E-3</v>
      </c>
    </row>
    <row r="1101" spans="2:5" ht="15" thickBot="1" x14ac:dyDescent="0.35">
      <c r="B1101" s="170">
        <v>43957.645833333336</v>
      </c>
      <c r="C1101" s="169">
        <v>2175.6</v>
      </c>
      <c r="D1101" s="247">
        <f t="shared" si="20"/>
        <v>-5.5524202300846578E-2</v>
      </c>
      <c r="E1101" s="248">
        <v>-2.9787819073369692E-3</v>
      </c>
    </row>
    <row r="1102" spans="2:5" ht="15" thickBot="1" x14ac:dyDescent="0.35">
      <c r="B1102" s="170">
        <v>43944.645833333336</v>
      </c>
      <c r="C1102" s="169">
        <v>2303.5</v>
      </c>
      <c r="D1102" s="247">
        <f t="shared" si="20"/>
        <v>0.56090123665932579</v>
      </c>
      <c r="E1102" s="248">
        <v>-3.0296472624972951E-3</v>
      </c>
    </row>
    <row r="1103" spans="2:5" ht="15" thickBot="1" x14ac:dyDescent="0.35">
      <c r="B1103" s="170">
        <v>43214.645833333336</v>
      </c>
      <c r="C1103" s="169">
        <v>1475.75</v>
      </c>
      <c r="D1103" s="247">
        <f t="shared" si="20"/>
        <v>0.13593503444559896</v>
      </c>
      <c r="E1103" s="248">
        <v>-3.0400270224624219E-3</v>
      </c>
    </row>
    <row r="1104" spans="2:5" ht="15" thickBot="1" x14ac:dyDescent="0.35">
      <c r="B1104" s="170">
        <v>43607.645833333336</v>
      </c>
      <c r="C1104" s="169">
        <v>1299.1500000000001</v>
      </c>
      <c r="D1104" s="247">
        <f t="shared" si="20"/>
        <v>-0.73093014104343146</v>
      </c>
      <c r="E1104" s="248">
        <v>-3.0694854774968344E-3</v>
      </c>
    </row>
    <row r="1105" spans="2:5" ht="15" thickBot="1" x14ac:dyDescent="0.35">
      <c r="B1105" s="170">
        <v>44522.645833333336</v>
      </c>
      <c r="C1105" s="169">
        <v>4828.3</v>
      </c>
      <c r="D1105" s="247">
        <f t="shared" si="20"/>
        <v>0.31262658528960002</v>
      </c>
      <c r="E1105" s="248">
        <v>-3.0970619205913322E-3</v>
      </c>
    </row>
    <row r="1106" spans="2:5" ht="15" thickBot="1" x14ac:dyDescent="0.35">
      <c r="B1106" s="170">
        <v>44942.645833333336</v>
      </c>
      <c r="C1106" s="169">
        <v>3678.35</v>
      </c>
      <c r="D1106" s="247">
        <f t="shared" si="20"/>
        <v>1.3657265974209731</v>
      </c>
      <c r="E1106" s="248">
        <v>-3.1031492221801379E-3</v>
      </c>
    </row>
    <row r="1107" spans="2:5" ht="15" thickBot="1" x14ac:dyDescent="0.35">
      <c r="B1107" s="170">
        <v>43335.645833333336</v>
      </c>
      <c r="C1107" s="169">
        <v>1554.85</v>
      </c>
      <c r="D1107" s="247">
        <f t="shared" si="20"/>
        <v>-0.61734304629242243</v>
      </c>
      <c r="E1107" s="248">
        <v>-3.1095723536578423E-3</v>
      </c>
    </row>
    <row r="1108" spans="2:5" ht="15" thickBot="1" x14ac:dyDescent="0.35">
      <c r="B1108" s="170">
        <v>44588.645833333336</v>
      </c>
      <c r="C1108" s="169">
        <v>4063.3</v>
      </c>
      <c r="D1108" s="247">
        <f t="shared" si="20"/>
        <v>-5.6658966650028481E-2</v>
      </c>
      <c r="E1108" s="248">
        <v>-3.1157998037291018E-3</v>
      </c>
    </row>
    <row r="1109" spans="2:5" ht="15" thickBot="1" x14ac:dyDescent="0.35">
      <c r="B1109" s="170">
        <v>44862.645833333336</v>
      </c>
      <c r="C1109" s="169">
        <v>4307.3500000000004</v>
      </c>
      <c r="D1109" s="247">
        <f t="shared" si="20"/>
        <v>0.90637101949589538</v>
      </c>
      <c r="E1109" s="248">
        <v>-3.1359207572494788E-3</v>
      </c>
    </row>
    <row r="1110" spans="2:5" ht="15" thickBot="1" x14ac:dyDescent="0.35">
      <c r="B1110" s="170">
        <v>44061.645833333336</v>
      </c>
      <c r="C1110" s="169">
        <v>2259.4499999999998</v>
      </c>
      <c r="D1110" s="247">
        <f t="shared" si="20"/>
        <v>-0.35459037934186483</v>
      </c>
      <c r="E1110" s="248">
        <v>-3.1545045442513417E-3</v>
      </c>
    </row>
    <row r="1111" spans="2:5" ht="15" thickBot="1" x14ac:dyDescent="0.35">
      <c r="B1111" s="170">
        <v>45043.645833333336</v>
      </c>
      <c r="C1111" s="169">
        <v>3500.8</v>
      </c>
      <c r="D1111" s="247">
        <f t="shared" si="20"/>
        <v>1.2992274082004714E-2</v>
      </c>
      <c r="E1111" s="248">
        <v>-3.174874357550545E-3</v>
      </c>
    </row>
    <row r="1112" spans="2:5" ht="15" thickBot="1" x14ac:dyDescent="0.35">
      <c r="B1112" s="170">
        <v>45037.645833333336</v>
      </c>
      <c r="C1112" s="169">
        <v>3455.9</v>
      </c>
      <c r="D1112" s="247">
        <f t="shared" si="20"/>
        <v>-0.26649686936219885</v>
      </c>
      <c r="E1112" s="248">
        <v>-3.2591139824641579E-3</v>
      </c>
    </row>
    <row r="1113" spans="2:5" ht="15" thickBot="1" x14ac:dyDescent="0.35">
      <c r="B1113" s="170">
        <v>44564.645833333336</v>
      </c>
      <c r="C1113" s="169">
        <v>4711.5</v>
      </c>
      <c r="D1113" s="247">
        <f t="shared" si="20"/>
        <v>1.3823127875815342</v>
      </c>
      <c r="E1113" s="248">
        <v>-3.2684923682289465E-3</v>
      </c>
    </row>
    <row r="1114" spans="2:5" ht="15" thickBot="1" x14ac:dyDescent="0.35">
      <c r="B1114" s="170">
        <v>44119.645833333336</v>
      </c>
      <c r="C1114" s="169">
        <v>1977.7</v>
      </c>
      <c r="D1114" s="247">
        <f t="shared" si="20"/>
        <v>-0.49188119829402394</v>
      </c>
      <c r="E1114" s="248">
        <v>-3.2758794476363271E-3</v>
      </c>
    </row>
    <row r="1115" spans="2:5" ht="15" thickBot="1" x14ac:dyDescent="0.35">
      <c r="B1115" s="170">
        <v>45737.645833333336</v>
      </c>
      <c r="C1115" s="169">
        <v>3892.2</v>
      </c>
      <c r="D1115" s="247">
        <f t="shared" si="20"/>
        <v>1.6160614051118617E-2</v>
      </c>
      <c r="E1115" s="248">
        <v>-3.3033725128678118E-3</v>
      </c>
    </row>
    <row r="1116" spans="2:5" ht="15" thickBot="1" x14ac:dyDescent="0.35">
      <c r="B1116" s="170">
        <v>45664.645833333336</v>
      </c>
      <c r="C1116" s="169">
        <v>3830.3</v>
      </c>
      <c r="D1116" s="247">
        <f t="shared" si="20"/>
        <v>-3.146848726215306E-2</v>
      </c>
      <c r="E1116" s="248">
        <v>-3.304709862086864E-3</v>
      </c>
    </row>
    <row r="1117" spans="2:5" ht="15" thickBot="1" x14ac:dyDescent="0.35">
      <c r="B1117" s="170">
        <v>44888.645833333336</v>
      </c>
      <c r="C1117" s="169">
        <v>3954.75</v>
      </c>
      <c r="D1117" s="247">
        <f t="shared" si="20"/>
        <v>-0.17315673381490498</v>
      </c>
      <c r="E1117" s="248">
        <v>-3.351772281095294E-3</v>
      </c>
    </row>
    <row r="1118" spans="2:5" ht="15" thickBot="1" x14ac:dyDescent="0.35">
      <c r="B1118" s="170">
        <v>44532.645833333336</v>
      </c>
      <c r="C1118" s="169">
        <v>4782.95</v>
      </c>
      <c r="D1118" s="247">
        <f t="shared" si="20"/>
        <v>0.28342769742667778</v>
      </c>
      <c r="E1118" s="248">
        <v>-3.3548306435649479E-3</v>
      </c>
    </row>
    <row r="1119" spans="2:5" ht="15" thickBot="1" x14ac:dyDescent="0.35">
      <c r="B1119" s="170">
        <v>44719.645833333336</v>
      </c>
      <c r="C1119" s="169">
        <v>3726.7</v>
      </c>
      <c r="D1119" s="247">
        <f t="shared" si="20"/>
        <v>-0.28153767555739784</v>
      </c>
      <c r="E1119" s="248">
        <v>-3.3962667807670406E-3</v>
      </c>
    </row>
    <row r="1120" spans="2:5" ht="15" thickBot="1" x14ac:dyDescent="0.35">
      <c r="B1120" s="170">
        <v>45548.645833333336</v>
      </c>
      <c r="C1120" s="169">
        <v>5187.05</v>
      </c>
      <c r="D1120" s="247">
        <f t="shared" si="20"/>
        <v>0.4173429516080554</v>
      </c>
      <c r="E1120" s="248">
        <v>-3.4103135567168765E-3</v>
      </c>
    </row>
    <row r="1121" spans="2:5" ht="15" thickBot="1" x14ac:dyDescent="0.35">
      <c r="B1121" s="170">
        <v>45055.645833333336</v>
      </c>
      <c r="C1121" s="169">
        <v>3659.7</v>
      </c>
      <c r="D1121" s="247">
        <f t="shared" si="20"/>
        <v>1.5769813047917471</v>
      </c>
      <c r="E1121" s="248">
        <v>-3.4310922310269759E-3</v>
      </c>
    </row>
    <row r="1122" spans="2:5" ht="15" thickBot="1" x14ac:dyDescent="0.35">
      <c r="B1122" s="170">
        <v>43671.645833333336</v>
      </c>
      <c r="C1122" s="169">
        <v>1420.15</v>
      </c>
      <c r="D1122" s="247">
        <f t="shared" si="20"/>
        <v>-0.65944461763506868</v>
      </c>
      <c r="E1122" s="248">
        <v>-3.4384758429527834E-3</v>
      </c>
    </row>
    <row r="1123" spans="2:5" ht="15" thickBot="1" x14ac:dyDescent="0.35">
      <c r="B1123" s="170">
        <v>45877.645833333336</v>
      </c>
      <c r="C1123" s="168">
        <v>4170.1000000000004</v>
      </c>
      <c r="D1123" s="247">
        <f t="shared" si="20"/>
        <v>0.17413033378852091</v>
      </c>
      <c r="E1123" s="248">
        <v>-3.4412713585851682E-3</v>
      </c>
    </row>
    <row r="1124" spans="2:5" ht="15" thickBot="1" x14ac:dyDescent="0.35">
      <c r="B1124" s="170">
        <v>44418.645833333336</v>
      </c>
      <c r="C1124" s="169">
        <v>3551.65</v>
      </c>
      <c r="D1124" s="247">
        <f t="shared" si="20"/>
        <v>0.12120781639675483</v>
      </c>
      <c r="E1124" s="248">
        <v>-3.4512268690637432E-3</v>
      </c>
    </row>
    <row r="1125" spans="2:5" ht="15" thickBot="1" x14ac:dyDescent="0.35">
      <c r="B1125" s="170">
        <v>44258.645833333336</v>
      </c>
      <c r="C1125" s="169">
        <v>3167.7</v>
      </c>
      <c r="D1125" s="247">
        <f t="shared" si="20"/>
        <v>1.1250461208197764</v>
      </c>
      <c r="E1125" s="248">
        <v>-3.4605341806398845E-3</v>
      </c>
    </row>
    <row r="1126" spans="2:5" ht="15" thickBot="1" x14ac:dyDescent="0.35">
      <c r="B1126" s="170">
        <v>43220.645833333336</v>
      </c>
      <c r="C1126" s="169">
        <v>1490.65</v>
      </c>
      <c r="D1126" s="247">
        <f t="shared" si="20"/>
        <v>-0.62307828461616266</v>
      </c>
      <c r="E1126" s="248">
        <v>-3.4762843868033685E-3</v>
      </c>
    </row>
    <row r="1127" spans="2:5" ht="15" thickBot="1" x14ac:dyDescent="0.35">
      <c r="B1127" s="170">
        <v>44439.645833333336</v>
      </c>
      <c r="C1127" s="169">
        <v>3954.8</v>
      </c>
      <c r="D1127" s="247">
        <f t="shared" si="20"/>
        <v>1.5253344401519748</v>
      </c>
      <c r="E1127" s="248">
        <v>-3.4772967797207397E-3</v>
      </c>
    </row>
    <row r="1128" spans="2:5" ht="15" thickBot="1" x14ac:dyDescent="0.35">
      <c r="B1128" s="170">
        <v>43325.645833333336</v>
      </c>
      <c r="C1128" s="169">
        <v>1566.05</v>
      </c>
      <c r="D1128" s="247">
        <f t="shared" si="20"/>
        <v>-0.57875837211178949</v>
      </c>
      <c r="E1128" s="248">
        <v>-3.5314329345889251E-3</v>
      </c>
    </row>
    <row r="1129" spans="2:5" ht="15" thickBot="1" x14ac:dyDescent="0.35">
      <c r="B1129" s="170">
        <v>45329.645833333336</v>
      </c>
      <c r="C1129" s="169">
        <v>3717.7</v>
      </c>
      <c r="D1129" s="247">
        <f t="shared" si="20"/>
        <v>-3.4388717176177266E-2</v>
      </c>
      <c r="E1129" s="248">
        <v>-3.5780812371853403E-3</v>
      </c>
    </row>
    <row r="1130" spans="2:5" ht="15" thickBot="1" x14ac:dyDescent="0.35">
      <c r="B1130" s="170">
        <v>45630.645833333336</v>
      </c>
      <c r="C1130" s="169">
        <v>3850.1</v>
      </c>
      <c r="D1130" s="247">
        <f t="shared" si="20"/>
        <v>0.14538585113345623</v>
      </c>
      <c r="E1130" s="248">
        <v>-3.5844149122012214E-3</v>
      </c>
    </row>
    <row r="1131" spans="2:5" ht="15" thickBot="1" x14ac:dyDescent="0.35">
      <c r="B1131" s="170">
        <v>45007.645833333336</v>
      </c>
      <c r="C1131" s="169">
        <v>3361.4</v>
      </c>
      <c r="D1131" s="247">
        <f t="shared" si="20"/>
        <v>-0.29727074121692959</v>
      </c>
      <c r="E1131" s="248">
        <v>-3.5867793093226348E-3</v>
      </c>
    </row>
    <row r="1132" spans="2:5" ht="15" thickBot="1" x14ac:dyDescent="0.35">
      <c r="B1132" s="170">
        <v>45468.645833333336</v>
      </c>
      <c r="C1132" s="169">
        <v>4783.3500000000004</v>
      </c>
      <c r="D1132" s="247">
        <f t="shared" si="20"/>
        <v>0.29514255543822598</v>
      </c>
      <c r="E1132" s="248">
        <v>-3.6763174338678684E-3</v>
      </c>
    </row>
    <row r="1133" spans="2:5" ht="15" thickBot="1" x14ac:dyDescent="0.35">
      <c r="B1133" s="170">
        <v>45338.645833333336</v>
      </c>
      <c r="C1133" s="169">
        <v>3693.3</v>
      </c>
      <c r="D1133" s="247">
        <f t="shared" si="20"/>
        <v>3.0352908355419216E-2</v>
      </c>
      <c r="E1133" s="248">
        <v>-3.7628970260974626E-3</v>
      </c>
    </row>
    <row r="1134" spans="2:5" ht="15" thickBot="1" x14ac:dyDescent="0.35">
      <c r="B1134" s="170">
        <v>45050.645833333336</v>
      </c>
      <c r="C1134" s="169">
        <v>3584.5</v>
      </c>
      <c r="D1134" s="247">
        <f t="shared" si="20"/>
        <v>-0.17823450520982584</v>
      </c>
      <c r="E1134" s="248">
        <v>-3.8074592851981043E-3</v>
      </c>
    </row>
    <row r="1135" spans="2:5" ht="15" thickBot="1" x14ac:dyDescent="0.35">
      <c r="B1135" s="170">
        <v>44460.645833333336</v>
      </c>
      <c r="C1135" s="169">
        <v>4361.95</v>
      </c>
      <c r="D1135" s="247">
        <f t="shared" si="20"/>
        <v>0.48542482547250121</v>
      </c>
      <c r="E1135" s="248">
        <v>-3.8139609240290546E-3</v>
      </c>
    </row>
    <row r="1136" spans="2:5" ht="15" thickBot="1" x14ac:dyDescent="0.35">
      <c r="B1136" s="170">
        <v>44294.645833333336</v>
      </c>
      <c r="C1136" s="169">
        <v>2936.5</v>
      </c>
      <c r="D1136" s="247">
        <f t="shared" si="20"/>
        <v>-0.26794306085309005</v>
      </c>
      <c r="E1136" s="248">
        <v>-3.8164701891273004E-3</v>
      </c>
    </row>
    <row r="1137" spans="2:5" ht="15" thickBot="1" x14ac:dyDescent="0.35">
      <c r="B1137" s="170">
        <v>45852.645833333336</v>
      </c>
      <c r="C1137" s="168">
        <v>4011.3</v>
      </c>
      <c r="D1137" s="247">
        <f t="shared" si="20"/>
        <v>2.0505253517185327E-2</v>
      </c>
      <c r="E1137" s="248">
        <v>-3.8244716517246472E-3</v>
      </c>
    </row>
    <row r="1138" spans="2:5" ht="15" thickBot="1" x14ac:dyDescent="0.35">
      <c r="B1138" s="170">
        <v>45596.645833333336</v>
      </c>
      <c r="C1138" s="169">
        <v>3930.7</v>
      </c>
      <c r="D1138" s="247">
        <f t="shared" si="20"/>
        <v>-1.9274192542322134E-2</v>
      </c>
      <c r="E1138" s="248">
        <v>-3.8394769187881169E-3</v>
      </c>
    </row>
    <row r="1139" spans="2:5" ht="15" thickBot="1" x14ac:dyDescent="0.35">
      <c r="B1139" s="170">
        <v>45282.645833333336</v>
      </c>
      <c r="C1139" s="169">
        <v>4007.95</v>
      </c>
      <c r="D1139" s="247">
        <f t="shared" si="20"/>
        <v>-0.14495242565174721</v>
      </c>
      <c r="E1139" s="248">
        <v>-3.8524152157973879E-3</v>
      </c>
    </row>
    <row r="1140" spans="2:5" ht="15" thickBot="1" x14ac:dyDescent="0.35">
      <c r="B1140" s="170">
        <v>44566.645833333336</v>
      </c>
      <c r="C1140" s="169">
        <v>4687.3999999999996</v>
      </c>
      <c r="D1140" s="247">
        <f t="shared" si="20"/>
        <v>2.2323552735923866</v>
      </c>
      <c r="E1140" s="248">
        <v>-3.8783164918767868E-3</v>
      </c>
    </row>
    <row r="1141" spans="2:5" ht="15" thickBot="1" x14ac:dyDescent="0.35">
      <c r="B1141" s="170">
        <v>43523.645833333336</v>
      </c>
      <c r="C1141" s="169">
        <v>1450.15</v>
      </c>
      <c r="D1141" s="247">
        <f t="shared" si="20"/>
        <v>-0.5620073091908544</v>
      </c>
      <c r="E1141" s="248">
        <v>-3.8810276136831048E-3</v>
      </c>
    </row>
    <row r="1142" spans="2:5" ht="15" thickBot="1" x14ac:dyDescent="0.35">
      <c r="B1142" s="170">
        <v>44370.645833333336</v>
      </c>
      <c r="C1142" s="169">
        <v>3310.9</v>
      </c>
      <c r="D1142" s="247">
        <f t="shared" si="20"/>
        <v>1.2935023552230538</v>
      </c>
      <c r="E1142" s="248">
        <v>-3.8810999458451442E-3</v>
      </c>
    </row>
    <row r="1143" spans="2:5" ht="15" thickBot="1" x14ac:dyDescent="0.35">
      <c r="B1143" s="170">
        <v>43559.645833333336</v>
      </c>
      <c r="C1143" s="169">
        <v>1443.6</v>
      </c>
      <c r="D1143" s="247">
        <f t="shared" si="20"/>
        <v>-7.8131485679619486E-2</v>
      </c>
      <c r="E1143" s="248">
        <v>-3.9329331401366492E-3</v>
      </c>
    </row>
    <row r="1144" spans="2:5" ht="15" thickBot="1" x14ac:dyDescent="0.35">
      <c r="B1144" s="170">
        <v>43250.645833333336</v>
      </c>
      <c r="C1144" s="169">
        <v>1565.95</v>
      </c>
      <c r="D1144" s="247">
        <f t="shared" si="20"/>
        <v>-0.69169357379114826</v>
      </c>
      <c r="E1144" s="248">
        <v>-3.9436440543205451E-3</v>
      </c>
    </row>
    <row r="1145" spans="2:5" ht="15" thickBot="1" x14ac:dyDescent="0.35">
      <c r="B1145" s="170">
        <v>45524.645833333336</v>
      </c>
      <c r="C1145" s="169">
        <v>5079.2</v>
      </c>
      <c r="D1145" s="247">
        <f t="shared" si="20"/>
        <v>6.3963048692355112E-2</v>
      </c>
      <c r="E1145" s="248">
        <v>-3.9710164821696462E-3</v>
      </c>
    </row>
    <row r="1146" spans="2:5" ht="15" thickBot="1" x14ac:dyDescent="0.35">
      <c r="B1146" s="170">
        <v>45475.645833333336</v>
      </c>
      <c r="C1146" s="169">
        <v>4773.8500000000004</v>
      </c>
      <c r="D1146" s="247">
        <f t="shared" si="20"/>
        <v>0.29773555156853165</v>
      </c>
      <c r="E1146" s="248">
        <v>-3.9746291389345231E-3</v>
      </c>
    </row>
    <row r="1147" spans="2:5" ht="15" thickBot="1" x14ac:dyDescent="0.35">
      <c r="B1147" s="170">
        <v>45337.645833333336</v>
      </c>
      <c r="C1147" s="169">
        <v>3678.6</v>
      </c>
      <c r="D1147" s="247">
        <f t="shared" si="20"/>
        <v>8.3052380560808391E-3</v>
      </c>
      <c r="E1147" s="248">
        <v>-3.980180326537317E-3</v>
      </c>
    </row>
    <row r="1148" spans="2:5" ht="15" thickBot="1" x14ac:dyDescent="0.35">
      <c r="B1148" s="170">
        <v>44726.645833333336</v>
      </c>
      <c r="C1148" s="169">
        <v>3648.3</v>
      </c>
      <c r="D1148" s="247">
        <f t="shared" si="20"/>
        <v>-4.1522718614946004E-2</v>
      </c>
      <c r="E1148" s="248">
        <v>-3.9859128013322526E-3</v>
      </c>
    </row>
    <row r="1149" spans="2:5" ht="15" thickBot="1" x14ac:dyDescent="0.35">
      <c r="B1149" s="170">
        <v>45119.645833333336</v>
      </c>
      <c r="C1149" s="169">
        <v>3806.35</v>
      </c>
      <c r="D1149" s="247">
        <f t="shared" si="20"/>
        <v>-0.18186116992122428</v>
      </c>
      <c r="E1149" s="248">
        <v>-4.0035063388850845E-3</v>
      </c>
    </row>
    <row r="1150" spans="2:5" ht="15" thickBot="1" x14ac:dyDescent="0.35">
      <c r="B1150" s="170">
        <v>45427.645833333336</v>
      </c>
      <c r="C1150" s="169">
        <v>4652.45</v>
      </c>
      <c r="D1150" s="247">
        <f t="shared" si="20"/>
        <v>0.33365343270746733</v>
      </c>
      <c r="E1150" s="248">
        <v>-4.0246186780840635E-3</v>
      </c>
    </row>
    <row r="1151" spans="2:5" ht="15" thickBot="1" x14ac:dyDescent="0.35">
      <c r="B1151" s="170">
        <v>44405.645833333336</v>
      </c>
      <c r="C1151" s="169">
        <v>3488.5</v>
      </c>
      <c r="D1151" s="247">
        <f t="shared" si="20"/>
        <v>0.48421545268890398</v>
      </c>
      <c r="E1151" s="248">
        <v>-4.0255809969736512E-3</v>
      </c>
    </row>
    <row r="1152" spans="2:5" ht="15" thickBot="1" x14ac:dyDescent="0.35">
      <c r="B1152" s="170">
        <v>44004.645833333336</v>
      </c>
      <c r="C1152" s="169">
        <v>2350.4</v>
      </c>
      <c r="D1152" s="247">
        <f t="shared" si="20"/>
        <v>1.1185682326621923E-2</v>
      </c>
      <c r="E1152" s="248">
        <v>-4.0255943048434252E-3</v>
      </c>
    </row>
    <row r="1153" spans="2:5" ht="15" thickBot="1" x14ac:dyDescent="0.35">
      <c r="B1153" s="170">
        <v>43965.645833333336</v>
      </c>
      <c r="C1153" s="169">
        <v>2324.4</v>
      </c>
      <c r="D1153" s="247">
        <f t="shared" si="20"/>
        <v>-0.37754569190600518</v>
      </c>
      <c r="E1153" s="248">
        <v>-4.0277658753963882E-3</v>
      </c>
    </row>
    <row r="1154" spans="2:5" ht="15" thickBot="1" x14ac:dyDescent="0.35">
      <c r="B1154" s="170">
        <v>45316.645833333336</v>
      </c>
      <c r="C1154" s="169">
        <v>3734.25</v>
      </c>
      <c r="D1154" s="247">
        <f t="shared" si="20"/>
        <v>-0.2083002067101288</v>
      </c>
      <c r="E1154" s="248">
        <v>-4.040646503440575E-3</v>
      </c>
    </row>
    <row r="1155" spans="2:5" ht="15" thickBot="1" x14ac:dyDescent="0.35">
      <c r="B1155" s="170">
        <v>45471.645833333336</v>
      </c>
      <c r="C1155" s="169">
        <v>4716.75</v>
      </c>
      <c r="D1155" s="247">
        <f t="shared" si="20"/>
        <v>0.12579659641501784</v>
      </c>
      <c r="E1155" s="248">
        <v>-4.0435820013090731E-3</v>
      </c>
    </row>
    <row r="1156" spans="2:5" ht="15" thickBot="1" x14ac:dyDescent="0.35">
      <c r="B1156" s="170">
        <v>45793.645833333336</v>
      </c>
      <c r="C1156" s="168">
        <v>4189.7</v>
      </c>
      <c r="D1156" s="247">
        <f t="shared" si="20"/>
        <v>0.10467476995280407</v>
      </c>
      <c r="E1156" s="248">
        <v>-4.0648473899401833E-3</v>
      </c>
    </row>
    <row r="1157" spans="2:5" ht="15" thickBot="1" x14ac:dyDescent="0.35">
      <c r="B1157" s="170">
        <v>45322.645833333336</v>
      </c>
      <c r="C1157" s="169">
        <v>3792.7</v>
      </c>
      <c r="D1157" s="247">
        <f t="shared" ref="D1157:D1220" si="21">(C1157-C1158)/C1158</f>
        <v>-1.12233591865998E-2</v>
      </c>
      <c r="E1157" s="248">
        <v>-4.0701643821227877E-3</v>
      </c>
    </row>
    <row r="1158" spans="2:5" ht="15" thickBot="1" x14ac:dyDescent="0.35">
      <c r="B1158" s="170">
        <v>45343.645833333336</v>
      </c>
      <c r="C1158" s="169">
        <v>3835.75</v>
      </c>
      <c r="D1158" s="247">
        <f t="shared" si="21"/>
        <v>-0.18724639523673306</v>
      </c>
      <c r="E1158" s="248">
        <v>-4.0763868153552091E-3</v>
      </c>
    </row>
    <row r="1159" spans="2:5" ht="15" thickBot="1" x14ac:dyDescent="0.35">
      <c r="B1159" s="170">
        <v>44480.645833333336</v>
      </c>
      <c r="C1159" s="169">
        <v>4719.45</v>
      </c>
      <c r="D1159" s="247">
        <f t="shared" si="21"/>
        <v>0.20354219264019574</v>
      </c>
      <c r="E1159" s="248">
        <v>-4.1253428993458918E-3</v>
      </c>
    </row>
    <row r="1160" spans="2:5" ht="15" thickBot="1" x14ac:dyDescent="0.35">
      <c r="B1160" s="170">
        <v>44445.645833333336</v>
      </c>
      <c r="C1160" s="169">
        <v>3921.3</v>
      </c>
      <c r="D1160" s="247">
        <f t="shared" si="21"/>
        <v>-7.3471557682083952E-2</v>
      </c>
      <c r="E1160" s="248">
        <v>-4.1269317215019488E-3</v>
      </c>
    </row>
    <row r="1161" spans="2:5" ht="15" thickBot="1" x14ac:dyDescent="0.35">
      <c r="B1161" s="170">
        <v>44778.645833333336</v>
      </c>
      <c r="C1161" s="169">
        <v>4232.25</v>
      </c>
      <c r="D1161" s="247">
        <f t="shared" si="21"/>
        <v>0.58996562541089848</v>
      </c>
      <c r="E1161" s="248">
        <v>-4.188186021340968E-3</v>
      </c>
    </row>
    <row r="1162" spans="2:5" ht="15" thickBot="1" x14ac:dyDescent="0.35">
      <c r="B1162" s="170">
        <v>44188.645833333336</v>
      </c>
      <c r="C1162" s="169">
        <v>2661.85</v>
      </c>
      <c r="D1162" s="247">
        <f t="shared" si="21"/>
        <v>0.66756460454189503</v>
      </c>
      <c r="E1162" s="248">
        <v>-4.2085967603157385E-3</v>
      </c>
    </row>
    <row r="1163" spans="2:5" ht="15" thickBot="1" x14ac:dyDescent="0.35">
      <c r="B1163" s="170">
        <v>43724.645833333336</v>
      </c>
      <c r="C1163" s="169">
        <v>1596.25</v>
      </c>
      <c r="D1163" s="247">
        <f t="shared" si="21"/>
        <v>-0.60365740108505384</v>
      </c>
      <c r="E1163" s="248">
        <v>-4.2419138517201301E-3</v>
      </c>
    </row>
    <row r="1164" spans="2:5" ht="15" thickBot="1" x14ac:dyDescent="0.35">
      <c r="B1164" s="170">
        <v>45287.645833333336</v>
      </c>
      <c r="C1164" s="169">
        <v>4027.45</v>
      </c>
      <c r="D1164" s="247">
        <f t="shared" si="21"/>
        <v>0.11414028244602126</v>
      </c>
      <c r="E1164" s="248">
        <v>-4.2525311213579102E-3</v>
      </c>
    </row>
    <row r="1165" spans="2:5" ht="15" thickBot="1" x14ac:dyDescent="0.35">
      <c r="B1165" s="170">
        <v>44700.645833333336</v>
      </c>
      <c r="C1165" s="169">
        <v>3614.85</v>
      </c>
      <c r="D1165" s="247">
        <f t="shared" si="21"/>
        <v>1.8926899531868921</v>
      </c>
      <c r="E1165" s="248">
        <v>-4.2832745702953345E-3</v>
      </c>
    </row>
    <row r="1166" spans="2:5" ht="15" thickBot="1" x14ac:dyDescent="0.35">
      <c r="B1166" s="170">
        <v>43591.645833333336</v>
      </c>
      <c r="C1166" s="169">
        <v>1249.6500000000001</v>
      </c>
      <c r="D1166" s="247">
        <f t="shared" si="21"/>
        <v>-8.1004559494043143E-2</v>
      </c>
      <c r="E1166" s="248">
        <v>-4.3422834833876335E-3</v>
      </c>
    </row>
    <row r="1167" spans="2:5" ht="15" thickBot="1" x14ac:dyDescent="0.35">
      <c r="B1167" s="170">
        <v>43174.645833333336</v>
      </c>
      <c r="C1167" s="169">
        <v>1359.8</v>
      </c>
      <c r="D1167" s="247">
        <f t="shared" si="21"/>
        <v>-0.39603366719225386</v>
      </c>
      <c r="E1167" s="248">
        <v>-4.3930297261678139E-3</v>
      </c>
    </row>
    <row r="1168" spans="2:5" ht="15" thickBot="1" x14ac:dyDescent="0.35">
      <c r="B1168" s="170">
        <v>44078.645833333336</v>
      </c>
      <c r="C1168" s="169">
        <v>2251.4499999999998</v>
      </c>
      <c r="D1168" s="247">
        <f t="shared" si="21"/>
        <v>0.51740522325189542</v>
      </c>
      <c r="E1168" s="248">
        <v>-4.3999292473690067E-3</v>
      </c>
    </row>
    <row r="1169" spans="2:5" ht="15" thickBot="1" x14ac:dyDescent="0.35">
      <c r="B1169" s="170">
        <v>43271.645833333336</v>
      </c>
      <c r="C1169" s="169">
        <v>1483.75</v>
      </c>
      <c r="D1169" s="247">
        <f t="shared" si="21"/>
        <v>-0.62273865673349516</v>
      </c>
      <c r="E1169" s="248">
        <v>-4.4284899520246317E-3</v>
      </c>
    </row>
    <row r="1170" spans="2:5" ht="15" thickBot="1" x14ac:dyDescent="0.35">
      <c r="B1170" s="170">
        <v>44447.645833333336</v>
      </c>
      <c r="C1170" s="169">
        <v>3932.95</v>
      </c>
      <c r="D1170" s="247">
        <f t="shared" si="21"/>
        <v>0.68046060502478189</v>
      </c>
      <c r="E1170" s="248">
        <v>-4.4424756359954893E-3</v>
      </c>
    </row>
    <row r="1171" spans="2:5" ht="15" thickBot="1" x14ac:dyDescent="0.35">
      <c r="B1171" s="170">
        <v>43999.645833333336</v>
      </c>
      <c r="C1171" s="169">
        <v>2340.4</v>
      </c>
      <c r="D1171" s="247">
        <f t="shared" si="21"/>
        <v>-0.35603340349718654</v>
      </c>
      <c r="E1171" s="248">
        <v>-4.4452006720972492E-3</v>
      </c>
    </row>
    <row r="1172" spans="2:5" ht="15" thickBot="1" x14ac:dyDescent="0.35">
      <c r="B1172" s="170">
        <v>44425.645833333336</v>
      </c>
      <c r="C1172" s="169">
        <v>3634.35</v>
      </c>
      <c r="D1172" s="247">
        <f t="shared" si="21"/>
        <v>0.21759887431529223</v>
      </c>
      <c r="E1172" s="248">
        <v>-4.4513230701802445E-3</v>
      </c>
    </row>
    <row r="1173" spans="2:5" ht="15" thickBot="1" x14ac:dyDescent="0.35">
      <c r="B1173" s="170">
        <v>44207.645833333336</v>
      </c>
      <c r="C1173" s="169">
        <v>2984.85</v>
      </c>
      <c r="D1173" s="247">
        <f t="shared" si="21"/>
        <v>-0.21896301335810453</v>
      </c>
      <c r="E1173" s="248">
        <v>-4.4526716029617474E-3</v>
      </c>
    </row>
    <row r="1174" spans="2:5" ht="15" thickBot="1" x14ac:dyDescent="0.35">
      <c r="B1174" s="170">
        <v>45120.645833333336</v>
      </c>
      <c r="C1174" s="169">
        <v>3821.65</v>
      </c>
      <c r="D1174" s="247">
        <f t="shared" si="21"/>
        <v>-5.9864698646986444E-2</v>
      </c>
      <c r="E1174" s="248">
        <v>-4.4545750569846719E-3</v>
      </c>
    </row>
    <row r="1175" spans="2:5" ht="15" thickBot="1" x14ac:dyDescent="0.35">
      <c r="B1175" s="170">
        <v>45743.645833333336</v>
      </c>
      <c r="C1175" s="169">
        <v>4065</v>
      </c>
      <c r="D1175" s="247">
        <f t="shared" si="21"/>
        <v>5.8318146316063524E-2</v>
      </c>
      <c r="E1175" s="248">
        <v>-4.4572884012538741E-3</v>
      </c>
    </row>
    <row r="1176" spans="2:5" ht="15" thickBot="1" x14ac:dyDescent="0.35">
      <c r="B1176" s="170">
        <v>45303.645833333336</v>
      </c>
      <c r="C1176" s="169">
        <v>3841</v>
      </c>
      <c r="D1176" s="247">
        <f t="shared" si="21"/>
        <v>-3.050342642957202E-2</v>
      </c>
      <c r="E1176" s="248">
        <v>-4.4709388971684054E-3</v>
      </c>
    </row>
    <row r="1177" spans="2:5" ht="15" thickBot="1" x14ac:dyDescent="0.35">
      <c r="B1177" s="170">
        <v>44452.645833333336</v>
      </c>
      <c r="C1177" s="169">
        <v>3961.85</v>
      </c>
      <c r="D1177" s="247">
        <f t="shared" si="21"/>
        <v>1.0020971776536878</v>
      </c>
      <c r="E1177" s="248">
        <v>-4.4852627082443176E-3</v>
      </c>
    </row>
    <row r="1178" spans="2:5" ht="15" thickBot="1" x14ac:dyDescent="0.35">
      <c r="B1178" s="170">
        <v>43775.645833333336</v>
      </c>
      <c r="C1178" s="169">
        <v>1978.85</v>
      </c>
      <c r="D1178" s="247">
        <f t="shared" si="21"/>
        <v>-0.43194442450948034</v>
      </c>
      <c r="E1178" s="248">
        <v>-4.5275045903865989E-3</v>
      </c>
    </row>
    <row r="1179" spans="2:5" ht="15" thickBot="1" x14ac:dyDescent="0.35">
      <c r="B1179" s="170">
        <v>44403.645833333336</v>
      </c>
      <c r="C1179" s="169">
        <v>3483.55</v>
      </c>
      <c r="D1179" s="247">
        <f t="shared" si="21"/>
        <v>0.9008785332314746</v>
      </c>
      <c r="E1179" s="248">
        <v>-4.5293478882093815E-3</v>
      </c>
    </row>
    <row r="1180" spans="2:5" ht="15" thickBot="1" x14ac:dyDescent="0.35">
      <c r="B1180" s="170">
        <v>43802.645833333336</v>
      </c>
      <c r="C1180" s="169">
        <v>1832.6</v>
      </c>
      <c r="D1180" s="247">
        <f t="shared" si="21"/>
        <v>0.24244067796610164</v>
      </c>
      <c r="E1180" s="248">
        <v>-4.5357016757653036E-3</v>
      </c>
    </row>
    <row r="1181" spans="2:5" ht="15" thickBot="1" x14ac:dyDescent="0.35">
      <c r="B1181" s="170">
        <v>43697.645833333336</v>
      </c>
      <c r="C1181" s="169">
        <v>1475</v>
      </c>
      <c r="D1181" s="247">
        <f t="shared" si="21"/>
        <v>2.5829255029907248E-3</v>
      </c>
      <c r="E1181" s="248">
        <v>-4.5554243293403074E-3</v>
      </c>
    </row>
    <row r="1182" spans="2:5" ht="15" thickBot="1" x14ac:dyDescent="0.35">
      <c r="B1182" s="170">
        <v>43549.645833333336</v>
      </c>
      <c r="C1182" s="169">
        <v>1471.2</v>
      </c>
      <c r="D1182" s="247">
        <f t="shared" si="21"/>
        <v>7.0469676574380719E-2</v>
      </c>
      <c r="E1182" s="248">
        <v>-4.567136912615447E-3</v>
      </c>
    </row>
    <row r="1183" spans="2:5" ht="15" thickBot="1" x14ac:dyDescent="0.35">
      <c r="B1183" s="170">
        <v>43417.645833333336</v>
      </c>
      <c r="C1183" s="169">
        <v>1374.35</v>
      </c>
      <c r="D1183" s="247">
        <f t="shared" si="21"/>
        <v>-0.61041740486145568</v>
      </c>
      <c r="E1183" s="248">
        <v>-4.5991163902369351E-3</v>
      </c>
    </row>
    <row r="1184" spans="2:5" ht="15" thickBot="1" x14ac:dyDescent="0.35">
      <c r="B1184" s="170">
        <v>45083.645833333336</v>
      </c>
      <c r="C1184" s="169">
        <v>3527.75</v>
      </c>
      <c r="D1184" s="247">
        <f t="shared" si="21"/>
        <v>-0.12364923611973667</v>
      </c>
      <c r="E1184" s="248">
        <v>-4.5992579111469025E-3</v>
      </c>
    </row>
    <row r="1185" spans="2:5" ht="15" thickBot="1" x14ac:dyDescent="0.35">
      <c r="B1185" s="170">
        <v>44895.645833333336</v>
      </c>
      <c r="C1185" s="169">
        <v>4025.5</v>
      </c>
      <c r="D1185" s="247">
        <f t="shared" si="21"/>
        <v>0.18489410864350159</v>
      </c>
      <c r="E1185" s="248">
        <v>-4.6115994708406192E-3</v>
      </c>
    </row>
    <row r="1186" spans="2:5" ht="15" thickBot="1" x14ac:dyDescent="0.35">
      <c r="B1186" s="170">
        <v>44399.645833333336</v>
      </c>
      <c r="C1186" s="169">
        <v>3397.35</v>
      </c>
      <c r="D1186" s="247">
        <f t="shared" si="21"/>
        <v>0.58825179402070993</v>
      </c>
      <c r="E1186" s="248">
        <v>-4.6437360834407334E-3</v>
      </c>
    </row>
    <row r="1187" spans="2:5" ht="15" thickBot="1" x14ac:dyDescent="0.35">
      <c r="B1187" s="170">
        <v>44091.645833333336</v>
      </c>
      <c r="C1187" s="169">
        <v>2139.0500000000002</v>
      </c>
      <c r="D1187" s="247">
        <f t="shared" si="21"/>
        <v>-0.32730045914837408</v>
      </c>
      <c r="E1187" s="248">
        <v>-4.6532188641492745E-3</v>
      </c>
    </row>
    <row r="1188" spans="2:5" ht="15" thickBot="1" x14ac:dyDescent="0.35">
      <c r="B1188" s="170">
        <v>44355.645833333336</v>
      </c>
      <c r="C1188" s="169">
        <v>3179.8</v>
      </c>
      <c r="D1188" s="247">
        <f t="shared" si="21"/>
        <v>-0.26521935044078054</v>
      </c>
      <c r="E1188" s="248">
        <v>-4.6639747081101942E-3</v>
      </c>
    </row>
    <row r="1189" spans="2:5" ht="15" thickBot="1" x14ac:dyDescent="0.35">
      <c r="B1189" s="170">
        <v>44820.645833333336</v>
      </c>
      <c r="C1189" s="169">
        <v>4327.55</v>
      </c>
      <c r="D1189" s="247">
        <f t="shared" si="21"/>
        <v>2.6568300696231808E-2</v>
      </c>
      <c r="E1189" s="248">
        <v>-4.7033118675252573E-3</v>
      </c>
    </row>
    <row r="1190" spans="2:5" ht="15" thickBot="1" x14ac:dyDescent="0.35">
      <c r="B1190" s="170">
        <v>44855.645833333336</v>
      </c>
      <c r="C1190" s="169">
        <v>4215.55</v>
      </c>
      <c r="D1190" s="247">
        <f t="shared" si="21"/>
        <v>3.9541822844742641E-2</v>
      </c>
      <c r="E1190" s="248">
        <v>-4.7336859004627873E-3</v>
      </c>
    </row>
    <row r="1191" spans="2:5" ht="15" thickBot="1" x14ac:dyDescent="0.35">
      <c r="B1191" s="170">
        <v>45811.645833333336</v>
      </c>
      <c r="C1191" s="168">
        <v>4055.2</v>
      </c>
      <c r="D1191" s="247">
        <f t="shared" si="21"/>
        <v>-0.18732652631789898</v>
      </c>
      <c r="E1191" s="248">
        <v>-4.7367775187139973E-3</v>
      </c>
    </row>
    <row r="1192" spans="2:5" ht="15" thickBot="1" x14ac:dyDescent="0.35">
      <c r="B1192" s="170">
        <v>45513.645833333336</v>
      </c>
      <c r="C1192" s="169">
        <v>4989.95</v>
      </c>
      <c r="D1192" s="247">
        <f t="shared" si="21"/>
        <v>0.43304949670452736</v>
      </c>
      <c r="E1192" s="248">
        <v>-4.7568710359408755E-3</v>
      </c>
    </row>
    <row r="1193" spans="2:5" ht="15" thickBot="1" x14ac:dyDescent="0.35">
      <c r="B1193" s="170">
        <v>44966.645833333336</v>
      </c>
      <c r="C1193" s="169">
        <v>3482.05</v>
      </c>
      <c r="D1193" s="247">
        <f t="shared" si="21"/>
        <v>-0.11326016094529896</v>
      </c>
      <c r="E1193" s="248">
        <v>-4.8015776612314693E-3</v>
      </c>
    </row>
    <row r="1194" spans="2:5" ht="15" thickBot="1" x14ac:dyDescent="0.35">
      <c r="B1194" s="170">
        <v>44757.645833333336</v>
      </c>
      <c r="C1194" s="169">
        <v>3926.8</v>
      </c>
      <c r="D1194" s="247">
        <f t="shared" si="21"/>
        <v>2.1526634819959054</v>
      </c>
      <c r="E1194" s="248">
        <v>-4.8026357473230233E-3</v>
      </c>
    </row>
    <row r="1195" spans="2:5" ht="15" thickBot="1" x14ac:dyDescent="0.35">
      <c r="B1195" s="170">
        <v>43593.645833333336</v>
      </c>
      <c r="C1195" s="169">
        <v>1245.55</v>
      </c>
      <c r="D1195" s="247">
        <f t="shared" si="21"/>
        <v>-0.69347098488950143</v>
      </c>
      <c r="E1195" s="248">
        <v>-4.8338127197187237E-3</v>
      </c>
    </row>
    <row r="1196" spans="2:5" ht="15" thickBot="1" x14ac:dyDescent="0.35">
      <c r="B1196" s="170">
        <v>44901.645833333336</v>
      </c>
      <c r="C1196" s="169">
        <v>4063.4</v>
      </c>
      <c r="D1196" s="247">
        <f t="shared" si="21"/>
        <v>2.0070302671501521</v>
      </c>
      <c r="E1196" s="248">
        <v>-4.8369518631448758E-3</v>
      </c>
    </row>
    <row r="1197" spans="2:5" ht="15" thickBot="1" x14ac:dyDescent="0.35">
      <c r="B1197" s="170">
        <v>43486.645833333336</v>
      </c>
      <c r="C1197" s="169">
        <v>1351.3</v>
      </c>
      <c r="D1197" s="247">
        <f t="shared" si="21"/>
        <v>-0.71143949262209305</v>
      </c>
      <c r="E1197" s="248">
        <v>-4.8604462773401101E-3</v>
      </c>
    </row>
    <row r="1198" spans="2:5" ht="15" thickBot="1" x14ac:dyDescent="0.35">
      <c r="B1198" s="170">
        <v>45429.645833333336</v>
      </c>
      <c r="C1198" s="169">
        <v>4682.8999999999996</v>
      </c>
      <c r="D1198" s="247">
        <f t="shared" si="21"/>
        <v>6.1966369212976088E-2</v>
      </c>
      <c r="E1198" s="248">
        <v>-4.8874816719437306E-3</v>
      </c>
    </row>
    <row r="1199" spans="2:5" ht="15" thickBot="1" x14ac:dyDescent="0.35">
      <c r="B1199" s="170">
        <v>44799.645833333336</v>
      </c>
      <c r="C1199" s="169">
        <v>4409.6499999999996</v>
      </c>
      <c r="D1199" s="247">
        <f t="shared" si="21"/>
        <v>1.3390886908550816</v>
      </c>
      <c r="E1199" s="248">
        <v>-4.9418375060645923E-3</v>
      </c>
    </row>
    <row r="1200" spans="2:5" ht="15" thickBot="1" x14ac:dyDescent="0.35">
      <c r="B1200" s="170">
        <v>43741.645833333336</v>
      </c>
      <c r="C1200" s="169">
        <v>1885.2</v>
      </c>
      <c r="D1200" s="247">
        <f t="shared" si="21"/>
        <v>-0.55558698727015565</v>
      </c>
      <c r="E1200" s="248">
        <v>-4.9877286042277176E-3</v>
      </c>
    </row>
    <row r="1201" spans="2:5" ht="15" thickBot="1" x14ac:dyDescent="0.35">
      <c r="B1201" s="170">
        <v>45875.645833333336</v>
      </c>
      <c r="C1201" s="168">
        <v>4242</v>
      </c>
      <c r="D1201" s="247">
        <f t="shared" si="21"/>
        <v>0.27950291824392604</v>
      </c>
      <c r="E1201" s="248">
        <v>-5.0428052069895627E-3</v>
      </c>
    </row>
    <row r="1202" spans="2:5" ht="15" thickBot="1" x14ac:dyDescent="0.35">
      <c r="B1202" s="170">
        <v>44372.645833333336</v>
      </c>
      <c r="C1202" s="169">
        <v>3315.35</v>
      </c>
      <c r="D1202" s="247">
        <f t="shared" si="21"/>
        <v>-0.21726555859854574</v>
      </c>
      <c r="E1202" s="248">
        <v>-5.0567192845567223E-3</v>
      </c>
    </row>
    <row r="1203" spans="2:5" ht="15" thickBot="1" x14ac:dyDescent="0.35">
      <c r="B1203" s="170">
        <v>44470.645833333336</v>
      </c>
      <c r="C1203" s="169">
        <v>4235.6000000000004</v>
      </c>
      <c r="D1203" s="247">
        <f t="shared" si="21"/>
        <v>0.10840409802818388</v>
      </c>
      <c r="E1203" s="248">
        <v>-5.1088118195591146E-3</v>
      </c>
    </row>
    <row r="1204" spans="2:5" ht="15" thickBot="1" x14ac:dyDescent="0.35">
      <c r="B1204" s="170">
        <v>45302.645833333336</v>
      </c>
      <c r="C1204" s="169">
        <v>3821.35</v>
      </c>
      <c r="D1204" s="247">
        <f t="shared" si="21"/>
        <v>0.11056700281902986</v>
      </c>
      <c r="E1204" s="248">
        <v>-5.1158552460297034E-3</v>
      </c>
    </row>
    <row r="1205" spans="2:5" ht="15" thickBot="1" x14ac:dyDescent="0.35">
      <c r="B1205" s="170">
        <v>44964.645833333336</v>
      </c>
      <c r="C1205" s="169">
        <v>3440.9</v>
      </c>
      <c r="D1205" s="247">
        <f t="shared" si="21"/>
        <v>1.5351064613571064</v>
      </c>
      <c r="E1205" s="248">
        <v>-5.117677673046845E-3</v>
      </c>
    </row>
    <row r="1206" spans="2:5" ht="15" thickBot="1" x14ac:dyDescent="0.35">
      <c r="B1206" s="170">
        <v>43192.645833333336</v>
      </c>
      <c r="C1206" s="169">
        <v>1357.3</v>
      </c>
      <c r="D1206" s="247">
        <f t="shared" si="21"/>
        <v>-8.4760620364126807E-2</v>
      </c>
      <c r="E1206" s="248">
        <v>-5.1308363263211903E-3</v>
      </c>
    </row>
    <row r="1207" spans="2:5" ht="15" thickBot="1" x14ac:dyDescent="0.35">
      <c r="B1207" s="170">
        <v>43217.645833333336</v>
      </c>
      <c r="C1207" s="169">
        <v>1483</v>
      </c>
      <c r="D1207" s="247">
        <f t="shared" si="21"/>
        <v>8.5890019770081247E-2</v>
      </c>
      <c r="E1207" s="248">
        <v>-5.1319894005971154E-3</v>
      </c>
    </row>
    <row r="1208" spans="2:5" ht="15" thickBot="1" x14ac:dyDescent="0.35">
      <c r="B1208" s="170">
        <v>43490.645833333336</v>
      </c>
      <c r="C1208" s="169">
        <v>1365.7</v>
      </c>
      <c r="D1208" s="247">
        <f t="shared" si="21"/>
        <v>-0.63121084467487576</v>
      </c>
      <c r="E1208" s="248">
        <v>-5.1356765616462977E-3</v>
      </c>
    </row>
    <row r="1209" spans="2:5" ht="15" thickBot="1" x14ac:dyDescent="0.35">
      <c r="B1209" s="170">
        <v>45335.645833333336</v>
      </c>
      <c r="C1209" s="169">
        <v>3703.2</v>
      </c>
      <c r="D1209" s="247">
        <f t="shared" si="21"/>
        <v>0.56862080650626889</v>
      </c>
      <c r="E1209" s="248">
        <v>-5.1579626047711883E-3</v>
      </c>
    </row>
    <row r="1210" spans="2:5" ht="15" thickBot="1" x14ac:dyDescent="0.35">
      <c r="B1210" s="170">
        <v>44160.645833333336</v>
      </c>
      <c r="C1210" s="169">
        <v>2360.8000000000002</v>
      </c>
      <c r="D1210" s="247">
        <f t="shared" si="21"/>
        <v>0.23298689089674629</v>
      </c>
      <c r="E1210" s="248">
        <v>-5.1621331198246981E-3</v>
      </c>
    </row>
    <row r="1211" spans="2:5" ht="15" thickBot="1" x14ac:dyDescent="0.35">
      <c r="B1211" s="170">
        <v>43852.645833333336</v>
      </c>
      <c r="C1211" s="169">
        <v>1914.7</v>
      </c>
      <c r="D1211" s="247">
        <f t="shared" si="21"/>
        <v>0.2582224412682767</v>
      </c>
      <c r="E1211" s="248">
        <v>-5.1956149010235356E-3</v>
      </c>
    </row>
    <row r="1212" spans="2:5" ht="15" thickBot="1" x14ac:dyDescent="0.35">
      <c r="B1212" s="170">
        <v>43713.645833333336</v>
      </c>
      <c r="C1212" s="169">
        <v>1521.75</v>
      </c>
      <c r="D1212" s="247">
        <f t="shared" si="21"/>
        <v>-0.35268094519003762</v>
      </c>
      <c r="E1212" s="248">
        <v>-5.1970974700922042E-3</v>
      </c>
    </row>
    <row r="1213" spans="2:5" ht="15" thickBot="1" x14ac:dyDescent="0.35">
      <c r="B1213" s="170">
        <v>44000.645833333336</v>
      </c>
      <c r="C1213" s="169">
        <v>2350.85</v>
      </c>
      <c r="D1213" s="247">
        <f t="shared" si="21"/>
        <v>-0.37757155339034659</v>
      </c>
      <c r="E1213" s="248">
        <v>-5.2049171656476231E-3</v>
      </c>
    </row>
    <row r="1214" spans="2:5" ht="15" thickBot="1" x14ac:dyDescent="0.35">
      <c r="B1214" s="170">
        <v>45174.645833333336</v>
      </c>
      <c r="C1214" s="169">
        <v>3776.9</v>
      </c>
      <c r="D1214" s="247">
        <f t="shared" si="21"/>
        <v>1.7161195210528211</v>
      </c>
      <c r="E1214" s="248">
        <v>-5.2412557943531633E-3</v>
      </c>
    </row>
    <row r="1215" spans="2:5" ht="15" thickBot="1" x14ac:dyDescent="0.35">
      <c r="B1215" s="170">
        <v>43643.645833333336</v>
      </c>
      <c r="C1215" s="169">
        <v>1390.55</v>
      </c>
      <c r="D1215" s="247">
        <f t="shared" si="21"/>
        <v>-0.63691789495672158</v>
      </c>
      <c r="E1215" s="248">
        <v>-5.2578868302454651E-3</v>
      </c>
    </row>
    <row r="1216" spans="2:5" ht="15" thickBot="1" x14ac:dyDescent="0.35">
      <c r="B1216" s="170">
        <v>45629.645833333336</v>
      </c>
      <c r="C1216" s="169">
        <v>3829.85</v>
      </c>
      <c r="D1216" s="247">
        <f t="shared" si="21"/>
        <v>1.4896639147110449</v>
      </c>
      <c r="E1216" s="248">
        <v>-5.2596036466585287E-3</v>
      </c>
    </row>
    <row r="1217" spans="2:5" ht="15" thickBot="1" x14ac:dyDescent="0.35">
      <c r="B1217" s="170">
        <v>43285.645833333336</v>
      </c>
      <c r="C1217" s="169">
        <v>1538.3</v>
      </c>
      <c r="D1217" s="247">
        <f t="shared" si="21"/>
        <v>-0.555475285720478</v>
      </c>
      <c r="E1217" s="248">
        <v>-5.2701348249216537E-3</v>
      </c>
    </row>
    <row r="1218" spans="2:5" ht="15" thickBot="1" x14ac:dyDescent="0.35">
      <c r="B1218" s="170">
        <v>44729.645833333336</v>
      </c>
      <c r="C1218" s="169">
        <v>3460.55</v>
      </c>
      <c r="D1218" s="247">
        <f t="shared" si="21"/>
        <v>-5.5243113380108629E-2</v>
      </c>
      <c r="E1218" s="248">
        <v>-5.3318386939150151E-3</v>
      </c>
    </row>
    <row r="1219" spans="2:5" ht="15" thickBot="1" x14ac:dyDescent="0.35">
      <c r="B1219" s="170">
        <v>44727.645833333336</v>
      </c>
      <c r="C1219" s="169">
        <v>3662.9</v>
      </c>
      <c r="D1219" s="247">
        <f t="shared" si="21"/>
        <v>0.68177226813590452</v>
      </c>
      <c r="E1219" s="248">
        <v>-5.3494813447020634E-3</v>
      </c>
    </row>
    <row r="1220" spans="2:5" ht="15" thickBot="1" x14ac:dyDescent="0.35">
      <c r="B1220" s="170">
        <v>44057.645833333336</v>
      </c>
      <c r="C1220" s="169">
        <v>2178</v>
      </c>
      <c r="D1220" s="247">
        <f t="shared" si="21"/>
        <v>0.46380805161637195</v>
      </c>
      <c r="E1220" s="248">
        <v>-5.3659093503824638E-3</v>
      </c>
    </row>
    <row r="1221" spans="2:5" ht="15" thickBot="1" x14ac:dyDescent="0.35">
      <c r="B1221" s="170">
        <v>43518.645833333336</v>
      </c>
      <c r="C1221" s="169">
        <v>1487.9</v>
      </c>
      <c r="D1221" s="247">
        <f t="shared" ref="D1221:D1284" si="22">(C1221-C1222)/C1222</f>
        <v>0.11893213009964286</v>
      </c>
      <c r="E1221" s="248">
        <v>-5.381195895584715E-3</v>
      </c>
    </row>
    <row r="1222" spans="2:5" ht="15" thickBot="1" x14ac:dyDescent="0.35">
      <c r="B1222" s="170">
        <v>43388.645833333336</v>
      </c>
      <c r="C1222" s="169">
        <v>1329.75</v>
      </c>
      <c r="D1222" s="247">
        <f t="shared" si="22"/>
        <v>-0.66057457914821383</v>
      </c>
      <c r="E1222" s="248">
        <v>-5.3853921238640528E-3</v>
      </c>
    </row>
    <row r="1223" spans="2:5" ht="15" thickBot="1" x14ac:dyDescent="0.35">
      <c r="B1223" s="170">
        <v>44441.645833333336</v>
      </c>
      <c r="C1223" s="169">
        <v>3917.65</v>
      </c>
      <c r="D1223" s="247">
        <f t="shared" si="22"/>
        <v>-9.6191113366862049E-2</v>
      </c>
      <c r="E1223" s="248">
        <v>-5.3949072075960289E-3</v>
      </c>
    </row>
    <row r="1224" spans="2:5" ht="15" thickBot="1" x14ac:dyDescent="0.35">
      <c r="B1224" s="170">
        <v>45882.645833333336</v>
      </c>
      <c r="C1224" s="168">
        <v>4334.6000000000004</v>
      </c>
      <c r="D1224" s="247">
        <f t="shared" si="22"/>
        <v>0.14361849482224137</v>
      </c>
      <c r="E1224" s="248">
        <v>-5.4150796200264917E-3</v>
      </c>
    </row>
    <row r="1225" spans="2:5" ht="15" thickBot="1" x14ac:dyDescent="0.35">
      <c r="B1225" s="170">
        <v>45246.645833333336</v>
      </c>
      <c r="C1225" s="169">
        <v>3790.25</v>
      </c>
      <c r="D1225" s="247">
        <f t="shared" si="22"/>
        <v>1.8329845279916286</v>
      </c>
      <c r="E1225" s="248">
        <v>-5.41866750636335E-3</v>
      </c>
    </row>
    <row r="1226" spans="2:5" ht="15" thickBot="1" x14ac:dyDescent="0.35">
      <c r="B1226" s="170">
        <v>43172.645833333336</v>
      </c>
      <c r="C1226" s="169">
        <v>1337.9</v>
      </c>
      <c r="D1226" s="247">
        <f t="shared" si="22"/>
        <v>-0.71568221180920799</v>
      </c>
      <c r="E1226" s="248">
        <v>-5.4267023490930377E-3</v>
      </c>
    </row>
    <row r="1227" spans="2:5" ht="15" thickBot="1" x14ac:dyDescent="0.35">
      <c r="B1227" s="170">
        <v>44567.645833333336</v>
      </c>
      <c r="C1227" s="169">
        <v>4705.6499999999996</v>
      </c>
      <c r="D1227" s="247">
        <f t="shared" si="22"/>
        <v>0.30678015523681246</v>
      </c>
      <c r="E1227" s="248">
        <v>-5.4318534879052964E-3</v>
      </c>
    </row>
    <row r="1228" spans="2:5" ht="15" thickBot="1" x14ac:dyDescent="0.35">
      <c r="B1228" s="170">
        <v>45673.645833333336</v>
      </c>
      <c r="C1228" s="169">
        <v>3600.95</v>
      </c>
      <c r="D1228" s="247">
        <f t="shared" si="22"/>
        <v>4.2484511609055642E-2</v>
      </c>
      <c r="E1228" s="248">
        <v>-5.4410119729883504E-3</v>
      </c>
    </row>
    <row r="1229" spans="2:5" ht="15" thickBot="1" x14ac:dyDescent="0.35">
      <c r="B1229" s="170">
        <v>45027.645833333336</v>
      </c>
      <c r="C1229" s="169">
        <v>3454.2</v>
      </c>
      <c r="D1229" s="247">
        <f t="shared" si="22"/>
        <v>0.29579472558802566</v>
      </c>
      <c r="E1229" s="248">
        <v>-5.4418243068152638E-3</v>
      </c>
    </row>
    <row r="1230" spans="2:5" ht="15" thickBot="1" x14ac:dyDescent="0.35">
      <c r="B1230" s="170">
        <v>44194.645833333336</v>
      </c>
      <c r="C1230" s="169">
        <v>2665.7</v>
      </c>
      <c r="D1230" s="247">
        <f t="shared" si="22"/>
        <v>0.46266117969821663</v>
      </c>
      <c r="E1230" s="248">
        <v>-5.4471514382719707E-3</v>
      </c>
    </row>
    <row r="1231" spans="2:5" ht="15" thickBot="1" x14ac:dyDescent="0.35">
      <c r="B1231" s="170">
        <v>43798.645833333336</v>
      </c>
      <c r="C1231" s="169">
        <v>1822.5</v>
      </c>
      <c r="D1231" s="247">
        <f t="shared" si="22"/>
        <v>-0.20134095839084987</v>
      </c>
      <c r="E1231" s="248">
        <v>-5.5112954272617644E-3</v>
      </c>
    </row>
    <row r="1232" spans="2:5" ht="15" thickBot="1" x14ac:dyDescent="0.35">
      <c r="B1232" s="170">
        <v>44140.645833333336</v>
      </c>
      <c r="C1232" s="169">
        <v>2281.9499999999998</v>
      </c>
      <c r="D1232" s="247">
        <f t="shared" si="22"/>
        <v>-0.3821462899535652</v>
      </c>
      <c r="E1232" s="248">
        <v>-5.5129434324065595E-3</v>
      </c>
    </row>
    <row r="1233" spans="2:5" ht="15" thickBot="1" x14ac:dyDescent="0.35">
      <c r="B1233" s="170">
        <v>45134.645833333336</v>
      </c>
      <c r="C1233" s="169">
        <v>3693.35</v>
      </c>
      <c r="D1233" s="247">
        <f t="shared" si="22"/>
        <v>-0.11420896739456303</v>
      </c>
      <c r="E1233" s="248">
        <v>-5.5332669161798059E-3</v>
      </c>
    </row>
    <row r="1234" spans="2:5" ht="15" thickBot="1" x14ac:dyDescent="0.35">
      <c r="B1234" s="170">
        <v>44636.645833333336</v>
      </c>
      <c r="C1234" s="169">
        <v>4169.55</v>
      </c>
      <c r="D1234" s="247">
        <f t="shared" si="22"/>
        <v>1.8221259602693833</v>
      </c>
      <c r="E1234" s="248">
        <v>-5.533361159143717E-3</v>
      </c>
    </row>
    <row r="1235" spans="2:5" ht="15" thickBot="1" x14ac:dyDescent="0.35">
      <c r="B1235" s="170">
        <v>43437.645833333336</v>
      </c>
      <c r="C1235" s="169">
        <v>1477.45</v>
      </c>
      <c r="D1235" s="247">
        <f t="shared" si="22"/>
        <v>-0.63116769643637272</v>
      </c>
      <c r="E1235" s="248">
        <v>-5.5529380090193177E-3</v>
      </c>
    </row>
    <row r="1236" spans="2:5" ht="15" thickBot="1" x14ac:dyDescent="0.35">
      <c r="B1236" s="170">
        <v>44897.645833333336</v>
      </c>
      <c r="C1236" s="169">
        <v>4005.75</v>
      </c>
      <c r="D1236" s="247">
        <f t="shared" si="22"/>
        <v>0.40139588581024344</v>
      </c>
      <c r="E1236" s="248">
        <v>-5.560865409679404E-3</v>
      </c>
    </row>
    <row r="1237" spans="2:5" ht="15" thickBot="1" x14ac:dyDescent="0.35">
      <c r="B1237" s="170">
        <v>44320.645833333336</v>
      </c>
      <c r="C1237" s="169">
        <v>2858.4</v>
      </c>
      <c r="D1237" s="247">
        <f t="shared" si="22"/>
        <v>1.0702542188744839</v>
      </c>
      <c r="E1237" s="248">
        <v>-5.5663790704146947E-3</v>
      </c>
    </row>
    <row r="1238" spans="2:5" ht="15" thickBot="1" x14ac:dyDescent="0.35">
      <c r="B1238" s="170">
        <v>43418.645833333336</v>
      </c>
      <c r="C1238" s="169">
        <v>1380.7</v>
      </c>
      <c r="D1238" s="247">
        <f t="shared" si="22"/>
        <v>-0.63237702189975376</v>
      </c>
      <c r="E1238" s="248">
        <v>-5.5817638373726096E-3</v>
      </c>
    </row>
    <row r="1239" spans="2:5" ht="15" thickBot="1" x14ac:dyDescent="0.35">
      <c r="B1239" s="170">
        <v>45173.645833333336</v>
      </c>
      <c r="C1239" s="169">
        <v>3755.75</v>
      </c>
      <c r="D1239" s="247">
        <f t="shared" si="22"/>
        <v>5.2517269886642313E-2</v>
      </c>
      <c r="E1239" s="248">
        <v>-5.5998305488628476E-3</v>
      </c>
    </row>
    <row r="1240" spans="2:5" ht="15" thickBot="1" x14ac:dyDescent="0.35">
      <c r="B1240" s="170">
        <v>45653.645833333336</v>
      </c>
      <c r="C1240" s="169">
        <v>3568.35</v>
      </c>
      <c r="D1240" s="247">
        <f t="shared" si="22"/>
        <v>-0.16052650151739711</v>
      </c>
      <c r="E1240" s="248">
        <v>-5.6290145044656679E-3</v>
      </c>
    </row>
    <row r="1241" spans="2:5" ht="15" thickBot="1" x14ac:dyDescent="0.35">
      <c r="B1241" s="170">
        <v>44783.645833333336</v>
      </c>
      <c r="C1241" s="169">
        <v>4250.7</v>
      </c>
      <c r="D1241" s="247">
        <f t="shared" si="22"/>
        <v>4.3603152390071426E-2</v>
      </c>
      <c r="E1241" s="248">
        <v>-5.6493210288081552E-3</v>
      </c>
    </row>
    <row r="1242" spans="2:5" ht="15" thickBot="1" x14ac:dyDescent="0.35">
      <c r="B1242" s="170">
        <v>44610.645833333336</v>
      </c>
      <c r="C1242" s="169">
        <v>4073.1</v>
      </c>
      <c r="D1242" s="247">
        <f t="shared" si="22"/>
        <v>7.3874871470378814E-2</v>
      </c>
      <c r="E1242" s="248">
        <v>-5.7364643850999495E-3</v>
      </c>
    </row>
    <row r="1243" spans="2:5" ht="15" thickBot="1" x14ac:dyDescent="0.35">
      <c r="B1243" s="170">
        <v>45250.645833333336</v>
      </c>
      <c r="C1243" s="169">
        <v>3792.9</v>
      </c>
      <c r="D1243" s="247">
        <f t="shared" si="22"/>
        <v>0.64159272884657004</v>
      </c>
      <c r="E1243" s="248">
        <v>-5.7798922659536107E-3</v>
      </c>
    </row>
    <row r="1244" spans="2:5" ht="15" thickBot="1" x14ac:dyDescent="0.35">
      <c r="B1244" s="170">
        <v>43945.645833333336</v>
      </c>
      <c r="C1244" s="169">
        <v>2310.5</v>
      </c>
      <c r="D1244" s="247">
        <f t="shared" si="22"/>
        <v>-0.32896723977695164</v>
      </c>
      <c r="E1244" s="248">
        <v>-5.7875599733212069E-3</v>
      </c>
    </row>
    <row r="1245" spans="2:5" ht="15" thickBot="1" x14ac:dyDescent="0.35">
      <c r="B1245" s="170">
        <v>44987.645833333336</v>
      </c>
      <c r="C1245" s="169">
        <v>3443.2</v>
      </c>
      <c r="D1245" s="247">
        <f t="shared" si="22"/>
        <v>0.88353710237684957</v>
      </c>
      <c r="E1245" s="248">
        <v>-5.7893597054790103E-3</v>
      </c>
    </row>
    <row r="1246" spans="2:5" ht="15" thickBot="1" x14ac:dyDescent="0.35">
      <c r="B1246" s="170">
        <v>43752.645833333336</v>
      </c>
      <c r="C1246" s="169">
        <v>1828.05</v>
      </c>
      <c r="D1246" s="247">
        <f t="shared" si="22"/>
        <v>-0.6196594089069668</v>
      </c>
      <c r="E1246" s="248">
        <v>-5.7921357480829336E-3</v>
      </c>
    </row>
    <row r="1247" spans="2:5" ht="15" thickBot="1" x14ac:dyDescent="0.35">
      <c r="B1247" s="170">
        <v>45482.645833333336</v>
      </c>
      <c r="C1247" s="169">
        <v>4806.3500000000004</v>
      </c>
      <c r="D1247" s="247">
        <f t="shared" si="22"/>
        <v>0.61966301600673979</v>
      </c>
      <c r="E1247" s="248">
        <v>-5.8124502270164042E-3</v>
      </c>
    </row>
    <row r="1248" spans="2:5" ht="15" thickBot="1" x14ac:dyDescent="0.35">
      <c r="B1248" s="170">
        <v>44204.645833333336</v>
      </c>
      <c r="C1248" s="169">
        <v>2967.5</v>
      </c>
      <c r="D1248" s="247">
        <f t="shared" si="22"/>
        <v>-0.25851428000299842</v>
      </c>
      <c r="E1248" s="248">
        <v>-5.8126874047271758E-3</v>
      </c>
    </row>
    <row r="1249" spans="2:5" ht="15" thickBot="1" x14ac:dyDescent="0.35">
      <c r="B1249" s="170">
        <v>45807.645833333336</v>
      </c>
      <c r="C1249" s="168">
        <v>4002.1</v>
      </c>
      <c r="D1249" s="247">
        <f t="shared" si="22"/>
        <v>1.7144843490351682</v>
      </c>
      <c r="E1249" s="248">
        <v>-5.8129424916159708E-3</v>
      </c>
    </row>
    <row r="1250" spans="2:5" ht="15" thickBot="1" x14ac:dyDescent="0.35">
      <c r="B1250" s="170">
        <v>43216.645833333336</v>
      </c>
      <c r="C1250" s="169">
        <v>1474.35</v>
      </c>
      <c r="D1250" s="247">
        <f t="shared" si="22"/>
        <v>-0.35619309622060663</v>
      </c>
      <c r="E1250" s="248">
        <v>-5.8327714093055231E-3</v>
      </c>
    </row>
    <row r="1251" spans="2:5" ht="15" thickBot="1" x14ac:dyDescent="0.35">
      <c r="B1251" s="170">
        <v>43943.645833333336</v>
      </c>
      <c r="C1251" s="169">
        <v>2290.0500000000002</v>
      </c>
      <c r="D1251" s="247">
        <f t="shared" si="22"/>
        <v>-0.34170319798778293</v>
      </c>
      <c r="E1251" s="248">
        <v>-5.8389407423485211E-3</v>
      </c>
    </row>
    <row r="1252" spans="2:5" ht="15" thickBot="1" x14ac:dyDescent="0.35">
      <c r="B1252" s="170">
        <v>44980.645833333336</v>
      </c>
      <c r="C1252" s="169">
        <v>3478.75</v>
      </c>
      <c r="D1252" s="247">
        <f t="shared" si="22"/>
        <v>1.2505256348051108</v>
      </c>
      <c r="E1252" s="248">
        <v>-5.844192958390438E-3</v>
      </c>
    </row>
    <row r="1253" spans="2:5" ht="15" thickBot="1" x14ac:dyDescent="0.35">
      <c r="B1253" s="170">
        <v>43458.645833333336</v>
      </c>
      <c r="C1253" s="169">
        <v>1545.75</v>
      </c>
      <c r="D1253" s="247">
        <f t="shared" si="22"/>
        <v>0.25998532768177379</v>
      </c>
      <c r="E1253" s="248">
        <v>-5.8526545969063955E-3</v>
      </c>
    </row>
    <row r="1254" spans="2:5" ht="15" thickBot="1" x14ac:dyDescent="0.35">
      <c r="B1254" s="170">
        <v>43108.645833333336</v>
      </c>
      <c r="C1254" s="169">
        <v>1226.8</v>
      </c>
      <c r="D1254" s="247">
        <f t="shared" si="22"/>
        <v>-0.65419849479944747</v>
      </c>
      <c r="E1254" s="248">
        <v>-5.9152418766712216E-3</v>
      </c>
    </row>
    <row r="1255" spans="2:5" ht="15" thickBot="1" x14ac:dyDescent="0.35">
      <c r="B1255" s="170">
        <v>45159.645833333336</v>
      </c>
      <c r="C1255" s="169">
        <v>3547.7</v>
      </c>
      <c r="D1255" s="247">
        <f t="shared" si="22"/>
        <v>-0.13093430013228161</v>
      </c>
      <c r="E1255" s="248">
        <v>-5.9402056656113287E-3</v>
      </c>
    </row>
    <row r="1256" spans="2:5" ht="15" thickBot="1" x14ac:dyDescent="0.35">
      <c r="B1256" s="170">
        <v>44652.645833333336</v>
      </c>
      <c r="C1256" s="169">
        <v>4082.2</v>
      </c>
      <c r="D1256" s="247">
        <f t="shared" si="22"/>
        <v>8.149757976884324E-3</v>
      </c>
      <c r="E1256" s="248">
        <v>-5.9537579292123317E-3</v>
      </c>
    </row>
    <row r="1257" spans="2:5" ht="15" thickBot="1" x14ac:dyDescent="0.35">
      <c r="B1257" s="170">
        <v>45791.645833333336</v>
      </c>
      <c r="C1257" s="168">
        <v>4049.2</v>
      </c>
      <c r="D1257" s="247">
        <f t="shared" si="22"/>
        <v>-0.1572681769462107</v>
      </c>
      <c r="E1257" s="248">
        <v>-5.9653860316681434E-3</v>
      </c>
    </row>
    <row r="1258" spans="2:5" ht="15" thickBot="1" x14ac:dyDescent="0.35">
      <c r="B1258" s="170">
        <v>45464.645833333336</v>
      </c>
      <c r="C1258" s="169">
        <v>4804.8500000000004</v>
      </c>
      <c r="D1258" s="247">
        <f t="shared" si="22"/>
        <v>2.3188395786565361</v>
      </c>
      <c r="E1258" s="248">
        <v>-5.968512733516655E-3</v>
      </c>
    </row>
    <row r="1259" spans="2:5" ht="15" thickBot="1" x14ac:dyDescent="0.35">
      <c r="B1259" s="170">
        <v>43229.645833333336</v>
      </c>
      <c r="C1259" s="169">
        <v>1447.75</v>
      </c>
      <c r="D1259" s="247">
        <f t="shared" si="22"/>
        <v>-0.4969859110887202</v>
      </c>
      <c r="E1259" s="248">
        <v>-5.9734285420028465E-3</v>
      </c>
    </row>
    <row r="1260" spans="2:5" ht="15" thickBot="1" x14ac:dyDescent="0.35">
      <c r="B1260" s="170">
        <v>44322.645833333336</v>
      </c>
      <c r="C1260" s="169">
        <v>2878.15</v>
      </c>
      <c r="D1260" s="247">
        <f t="shared" si="22"/>
        <v>0.17188517915309451</v>
      </c>
      <c r="E1260" s="248">
        <v>-5.9920566396131619E-3</v>
      </c>
    </row>
    <row r="1261" spans="2:5" ht="15" thickBot="1" x14ac:dyDescent="0.35">
      <c r="B1261" s="170">
        <v>44167.645833333336</v>
      </c>
      <c r="C1261" s="169">
        <v>2456</v>
      </c>
      <c r="D1261" s="247">
        <f t="shared" si="22"/>
        <v>-0.42219921893379764</v>
      </c>
      <c r="E1261" s="248">
        <v>-6.0100775036930247E-3</v>
      </c>
    </row>
    <row r="1262" spans="2:5" ht="15" thickBot="1" x14ac:dyDescent="0.35">
      <c r="B1262" s="170">
        <v>45832.645833333336</v>
      </c>
      <c r="C1262" s="168">
        <v>4250.6000000000004</v>
      </c>
      <c r="D1262" s="247">
        <f t="shared" si="22"/>
        <v>0.11419546783050907</v>
      </c>
      <c r="E1262" s="248">
        <v>-6.0331119633334753E-3</v>
      </c>
    </row>
    <row r="1263" spans="2:5" ht="15" thickBot="1" x14ac:dyDescent="0.35">
      <c r="B1263" s="170">
        <v>45251.645833333336</v>
      </c>
      <c r="C1263" s="169">
        <v>3814.95</v>
      </c>
      <c r="D1263" s="247">
        <f t="shared" si="22"/>
        <v>-7.9903527283690129E-2</v>
      </c>
      <c r="E1263" s="248">
        <v>-6.0704748257669984E-3</v>
      </c>
    </row>
    <row r="1264" spans="2:5" ht="15" thickBot="1" x14ac:dyDescent="0.35">
      <c r="B1264" s="170">
        <v>44659.645833333336</v>
      </c>
      <c r="C1264" s="169">
        <v>4146.25</v>
      </c>
      <c r="D1264" s="247">
        <f t="shared" si="22"/>
        <v>8.9527137995821834E-2</v>
      </c>
      <c r="E1264" s="248">
        <v>-6.0768050628057244E-3</v>
      </c>
    </row>
    <row r="1265" spans="2:5" ht="15" thickBot="1" x14ac:dyDescent="0.35">
      <c r="B1265" s="170">
        <v>45632.645833333336</v>
      </c>
      <c r="C1265" s="169">
        <v>3805.55</v>
      </c>
      <c r="D1265" s="247">
        <f t="shared" si="22"/>
        <v>-1.1095952705775305E-2</v>
      </c>
      <c r="E1265" s="248">
        <v>-6.1372925399250464E-3</v>
      </c>
    </row>
    <row r="1266" spans="2:5" ht="15" thickBot="1" x14ac:dyDescent="0.35">
      <c r="B1266" s="170">
        <v>45103.645833333336</v>
      </c>
      <c r="C1266" s="169">
        <v>3848.25</v>
      </c>
      <c r="D1266" s="247">
        <f t="shared" si="22"/>
        <v>0.15615141955835962</v>
      </c>
      <c r="E1266" s="248">
        <v>-6.1594483613542804E-3</v>
      </c>
    </row>
    <row r="1267" spans="2:5" ht="15" thickBot="1" x14ac:dyDescent="0.35">
      <c r="B1267" s="170">
        <v>44392.645833333336</v>
      </c>
      <c r="C1267" s="169">
        <v>3328.5</v>
      </c>
      <c r="D1267" s="247">
        <f t="shared" si="22"/>
        <v>-0.32477938939040468</v>
      </c>
      <c r="E1267" s="248">
        <v>-6.1805804371192581E-3</v>
      </c>
    </row>
    <row r="1268" spans="2:5" ht="15" thickBot="1" x14ac:dyDescent="0.35">
      <c r="B1268" s="170">
        <v>45517.645833333336</v>
      </c>
      <c r="C1268" s="169">
        <v>4929.5</v>
      </c>
      <c r="D1268" s="247">
        <f t="shared" si="22"/>
        <v>2.4899115044247786</v>
      </c>
      <c r="E1268" s="248">
        <v>-6.2093018567425723E-3</v>
      </c>
    </row>
    <row r="1269" spans="2:5" ht="15" thickBot="1" x14ac:dyDescent="0.35">
      <c r="B1269" s="170">
        <v>43424.645833333336</v>
      </c>
      <c r="C1269" s="169">
        <v>1412.5</v>
      </c>
      <c r="D1269" s="247">
        <f t="shared" si="22"/>
        <v>-0.60090978442064813</v>
      </c>
      <c r="E1269" s="248">
        <v>-6.226474830266936E-3</v>
      </c>
    </row>
    <row r="1270" spans="2:5" ht="15" thickBot="1" x14ac:dyDescent="0.35">
      <c r="B1270" s="170">
        <v>45161.645833333336</v>
      </c>
      <c r="C1270" s="169">
        <v>3539.3</v>
      </c>
      <c r="D1270" s="247">
        <f t="shared" si="22"/>
        <v>0.25734484351131481</v>
      </c>
      <c r="E1270" s="248">
        <v>-6.2333286536571161E-3</v>
      </c>
    </row>
    <row r="1271" spans="2:5" ht="15" thickBot="1" x14ac:dyDescent="0.35">
      <c r="B1271" s="170">
        <v>44298.645833333336</v>
      </c>
      <c r="C1271" s="169">
        <v>2814.9</v>
      </c>
      <c r="D1271" s="247">
        <f t="shared" si="22"/>
        <v>0.89498131879228515</v>
      </c>
      <c r="E1271" s="248">
        <v>-6.2837575458042604E-3</v>
      </c>
    </row>
    <row r="1272" spans="2:5" ht="15" thickBot="1" x14ac:dyDescent="0.35">
      <c r="B1272" s="170">
        <v>43235.645833333336</v>
      </c>
      <c r="C1272" s="169">
        <v>1485.45</v>
      </c>
      <c r="D1272" s="247">
        <f t="shared" si="22"/>
        <v>-0.2317498900985234</v>
      </c>
      <c r="E1272" s="248">
        <v>-6.3547275828623028E-3</v>
      </c>
    </row>
    <row r="1273" spans="2:5" ht="15" thickBot="1" x14ac:dyDescent="0.35">
      <c r="B1273" s="170">
        <v>43845.645833333336</v>
      </c>
      <c r="C1273" s="169">
        <v>1933.55</v>
      </c>
      <c r="D1273" s="247">
        <f t="shared" si="22"/>
        <v>-0.21219467476113837</v>
      </c>
      <c r="E1273" s="248">
        <v>-6.4232676447162204E-3</v>
      </c>
    </row>
    <row r="1274" spans="2:5" ht="15" thickBot="1" x14ac:dyDescent="0.35">
      <c r="B1274" s="170">
        <v>43971.645833333336</v>
      </c>
      <c r="C1274" s="169">
        <v>2454.35</v>
      </c>
      <c r="D1274" s="247">
        <f t="shared" si="22"/>
        <v>0.57673776178851344</v>
      </c>
      <c r="E1274" s="248">
        <v>-6.43659548628685E-3</v>
      </c>
    </row>
    <row r="1275" spans="2:5" ht="15" thickBot="1" x14ac:dyDescent="0.35">
      <c r="B1275" s="170">
        <v>43307.645833333336</v>
      </c>
      <c r="C1275" s="169">
        <v>1556.6</v>
      </c>
      <c r="D1275" s="247">
        <f t="shared" si="22"/>
        <v>2.0855194123819486E-2</v>
      </c>
      <c r="E1275" s="248">
        <v>-6.4466713474182272E-3</v>
      </c>
    </row>
    <row r="1276" spans="2:5" ht="15" thickBot="1" x14ac:dyDescent="0.35">
      <c r="B1276" s="170">
        <v>43360.645833333336</v>
      </c>
      <c r="C1276" s="169">
        <v>1524.8</v>
      </c>
      <c r="D1276" s="247">
        <f t="shared" si="22"/>
        <v>-0.49423686087201685</v>
      </c>
      <c r="E1276" s="248">
        <v>-6.4507721378771685E-3</v>
      </c>
    </row>
    <row r="1277" spans="2:5" ht="15" thickBot="1" x14ac:dyDescent="0.35">
      <c r="B1277" s="170">
        <v>44272.645833333336</v>
      </c>
      <c r="C1277" s="169">
        <v>3014.85</v>
      </c>
      <c r="D1277" s="247">
        <f t="shared" si="22"/>
        <v>-0.11767804621080201</v>
      </c>
      <c r="E1277" s="248">
        <v>-6.5082712713372438E-3</v>
      </c>
    </row>
    <row r="1278" spans="2:5" ht="15" thickBot="1" x14ac:dyDescent="0.35">
      <c r="B1278" s="170">
        <v>44985.645833333336</v>
      </c>
      <c r="C1278" s="169">
        <v>3416.95</v>
      </c>
      <c r="D1278" s="247">
        <f t="shared" si="22"/>
        <v>-0.28022539364895471</v>
      </c>
      <c r="E1278" s="248">
        <v>-6.5128585343161034E-3</v>
      </c>
    </row>
    <row r="1279" spans="2:5" ht="15" thickBot="1" x14ac:dyDescent="0.35">
      <c r="B1279" s="170">
        <v>45450.645833333336</v>
      </c>
      <c r="C1279" s="169">
        <v>4747.25</v>
      </c>
      <c r="D1279" s="247">
        <f t="shared" si="22"/>
        <v>2.5951758870082169</v>
      </c>
      <c r="E1279" s="248">
        <v>-6.518918466432203E-3</v>
      </c>
    </row>
    <row r="1280" spans="2:5" ht="15" thickBot="1" x14ac:dyDescent="0.35">
      <c r="B1280" s="170">
        <v>43637.645833333336</v>
      </c>
      <c r="C1280" s="169">
        <v>1320.45</v>
      </c>
      <c r="D1280" s="247">
        <f t="shared" si="22"/>
        <v>-0.13213933618139989</v>
      </c>
      <c r="E1280" s="248">
        <v>-6.5829070117363825E-3</v>
      </c>
    </row>
    <row r="1281" spans="2:5" ht="15" thickBot="1" x14ac:dyDescent="0.35">
      <c r="B1281" s="170">
        <v>43301.645833333336</v>
      </c>
      <c r="C1281" s="169">
        <v>1521.5</v>
      </c>
      <c r="D1281" s="247">
        <f t="shared" si="22"/>
        <v>-0.4582035075224784</v>
      </c>
      <c r="E1281" s="248">
        <v>-6.5944110733872482E-3</v>
      </c>
    </row>
    <row r="1282" spans="2:5" ht="15" thickBot="1" x14ac:dyDescent="0.35">
      <c r="B1282" s="170">
        <v>44312.645833333336</v>
      </c>
      <c r="C1282" s="169">
        <v>2808.25</v>
      </c>
      <c r="D1282" s="247">
        <f t="shared" si="22"/>
        <v>0.53502418759736525</v>
      </c>
      <c r="E1282" s="248">
        <v>-6.6149029873184238E-3</v>
      </c>
    </row>
    <row r="1283" spans="2:5" ht="15" thickBot="1" x14ac:dyDescent="0.35">
      <c r="B1283" s="170">
        <v>43787.645833333336</v>
      </c>
      <c r="C1283" s="169">
        <v>1829.45</v>
      </c>
      <c r="D1283" s="247">
        <f t="shared" si="22"/>
        <v>0.14882727872146692</v>
      </c>
      <c r="E1283" s="248">
        <v>-6.6244943393153127E-3</v>
      </c>
    </row>
    <row r="1284" spans="2:5" ht="15" thickBot="1" x14ac:dyDescent="0.35">
      <c r="B1284" s="170">
        <v>43340.645833333336</v>
      </c>
      <c r="C1284" s="169">
        <v>1592.45</v>
      </c>
      <c r="D1284" s="247">
        <f t="shared" si="22"/>
        <v>9.8317125318987481E-2</v>
      </c>
      <c r="E1284" s="248">
        <v>-6.6433784542448155E-3</v>
      </c>
    </row>
    <row r="1285" spans="2:5" ht="15" thickBot="1" x14ac:dyDescent="0.35">
      <c r="B1285" s="170">
        <v>43675.645833333336</v>
      </c>
      <c r="C1285" s="169">
        <v>1449.9</v>
      </c>
      <c r="D1285" s="247">
        <f t="shared" ref="D1285:D1348" si="23">(C1285-C1286)/C1286</f>
        <v>-0.34768524767175046</v>
      </c>
      <c r="E1285" s="248">
        <v>-6.7137082962252202E-3</v>
      </c>
    </row>
    <row r="1286" spans="2:5" ht="15" thickBot="1" x14ac:dyDescent="0.35">
      <c r="B1286" s="170">
        <v>44083.645833333336</v>
      </c>
      <c r="C1286" s="169">
        <v>2222.6999999999998</v>
      </c>
      <c r="D1286" s="247">
        <f t="shared" si="23"/>
        <v>-0.35734112068467011</v>
      </c>
      <c r="E1286" s="248">
        <v>-6.725505530108449E-3</v>
      </c>
    </row>
    <row r="1287" spans="2:5" ht="15" thickBot="1" x14ac:dyDescent="0.35">
      <c r="B1287" s="170">
        <v>44965.645833333336</v>
      </c>
      <c r="C1287" s="169">
        <v>3458.6</v>
      </c>
      <c r="D1287" s="247">
        <f t="shared" si="23"/>
        <v>-0.16445818787973968</v>
      </c>
      <c r="E1287" s="248">
        <v>-6.7345385620540404E-3</v>
      </c>
    </row>
    <row r="1288" spans="2:5" ht="15" thickBot="1" x14ac:dyDescent="0.35">
      <c r="B1288" s="170">
        <v>44852.645833333336</v>
      </c>
      <c r="C1288" s="169">
        <v>4139.3500000000004</v>
      </c>
      <c r="D1288" s="247">
        <f t="shared" si="23"/>
        <v>-0.1077737183010551</v>
      </c>
      <c r="E1288" s="248">
        <v>-6.8380579915304045E-3</v>
      </c>
    </row>
    <row r="1289" spans="2:5" ht="15" thickBot="1" x14ac:dyDescent="0.35">
      <c r="B1289" s="170">
        <v>44560.645833333336</v>
      </c>
      <c r="C1289" s="169">
        <v>4639.3500000000004</v>
      </c>
      <c r="D1289" s="247">
        <f t="shared" si="23"/>
        <v>2.1977874276261375</v>
      </c>
      <c r="E1289" s="248">
        <v>-6.8715281122562494E-3</v>
      </c>
    </row>
    <row r="1290" spans="2:5" ht="15" thickBot="1" x14ac:dyDescent="0.35">
      <c r="B1290" s="170">
        <v>43686.645833333336</v>
      </c>
      <c r="C1290" s="169">
        <v>1450.8</v>
      </c>
      <c r="D1290" s="247">
        <f t="shared" si="23"/>
        <v>0.11040526577628106</v>
      </c>
      <c r="E1290" s="248">
        <v>-6.9135464439729864E-3</v>
      </c>
    </row>
    <row r="1291" spans="2:5" ht="15" thickBot="1" x14ac:dyDescent="0.35">
      <c r="B1291" s="170">
        <v>43168.645833333336</v>
      </c>
      <c r="C1291" s="169">
        <v>1306.55</v>
      </c>
      <c r="D1291" s="247">
        <f t="shared" si="23"/>
        <v>-0.57089135575407257</v>
      </c>
      <c r="E1291" s="248">
        <v>-6.9167331737165173E-3</v>
      </c>
    </row>
    <row r="1292" spans="2:5" ht="15" thickBot="1" x14ac:dyDescent="0.35">
      <c r="B1292" s="170">
        <v>44348.645833333336</v>
      </c>
      <c r="C1292" s="169">
        <v>3044.8</v>
      </c>
      <c r="D1292" s="247">
        <f t="shared" si="23"/>
        <v>-0.33297551892217531</v>
      </c>
      <c r="E1292" s="248">
        <v>-6.9793229404473411E-3</v>
      </c>
    </row>
    <row r="1293" spans="2:5" ht="15" thickBot="1" x14ac:dyDescent="0.35">
      <c r="B1293" s="170">
        <v>44501.645833333336</v>
      </c>
      <c r="C1293" s="169">
        <v>4564.75</v>
      </c>
      <c r="D1293" s="247">
        <f t="shared" si="23"/>
        <v>4.2501684309090786E-2</v>
      </c>
      <c r="E1293" s="248">
        <v>-7.0262450919611882E-3</v>
      </c>
    </row>
    <row r="1294" spans="2:5" ht="15" thickBot="1" x14ac:dyDescent="0.35">
      <c r="B1294" s="170">
        <v>44461.645833333336</v>
      </c>
      <c r="C1294" s="169">
        <v>4378.6499999999996</v>
      </c>
      <c r="D1294" s="247">
        <f t="shared" si="23"/>
        <v>1.2956118276187478</v>
      </c>
      <c r="E1294" s="248">
        <v>-7.0863284881743354E-3</v>
      </c>
    </row>
    <row r="1295" spans="2:5" ht="15" thickBot="1" x14ac:dyDescent="0.35">
      <c r="B1295" s="170">
        <v>43823.645833333336</v>
      </c>
      <c r="C1295" s="169">
        <v>1907.4</v>
      </c>
      <c r="D1295" s="247">
        <f t="shared" si="23"/>
        <v>-0.19690111787120274</v>
      </c>
      <c r="E1295" s="248">
        <v>-7.1313310082764137E-3</v>
      </c>
    </row>
    <row r="1296" spans="2:5" ht="15" thickBot="1" x14ac:dyDescent="0.35">
      <c r="B1296" s="170">
        <v>44153.645833333336</v>
      </c>
      <c r="C1296" s="169">
        <v>2375.0500000000002</v>
      </c>
      <c r="D1296" s="247">
        <f t="shared" si="23"/>
        <v>-0.43025236290361274</v>
      </c>
      <c r="E1296" s="248">
        <v>-7.1691330156339926E-3</v>
      </c>
    </row>
    <row r="1297" spans="2:5" ht="15" thickBot="1" x14ac:dyDescent="0.35">
      <c r="B1297" s="170">
        <v>44630.645833333336</v>
      </c>
      <c r="C1297" s="169">
        <v>4168.6000000000004</v>
      </c>
      <c r="D1297" s="247">
        <f t="shared" si="23"/>
        <v>0.96957240727616367</v>
      </c>
      <c r="E1297" s="248">
        <v>-7.227997475559236E-3</v>
      </c>
    </row>
    <row r="1298" spans="2:5" ht="15" thickBot="1" x14ac:dyDescent="0.35">
      <c r="B1298" s="170">
        <v>44053.645833333336</v>
      </c>
      <c r="C1298" s="169">
        <v>2116.5</v>
      </c>
      <c r="D1298" s="247">
        <f t="shared" si="23"/>
        <v>0.16563403552251135</v>
      </c>
      <c r="E1298" s="248">
        <v>-7.2468866530640118E-3</v>
      </c>
    </row>
    <row r="1299" spans="2:5" ht="15" thickBot="1" x14ac:dyDescent="0.35">
      <c r="B1299" s="170">
        <v>43837.645833333336</v>
      </c>
      <c r="C1299" s="169">
        <v>1815.75</v>
      </c>
      <c r="D1299" s="247">
        <f t="shared" si="23"/>
        <v>-0.50630794747002361</v>
      </c>
      <c r="E1299" s="248">
        <v>-7.2715344031054124E-3</v>
      </c>
    </row>
    <row r="1300" spans="2:5" ht="15" thickBot="1" x14ac:dyDescent="0.35">
      <c r="B1300" s="170">
        <v>45090.645833333336</v>
      </c>
      <c r="C1300" s="169">
        <v>3677.9</v>
      </c>
      <c r="D1300" s="247">
        <f t="shared" si="23"/>
        <v>1.3235201212963548</v>
      </c>
      <c r="E1300" s="248">
        <v>-7.274248620052045E-3</v>
      </c>
    </row>
    <row r="1301" spans="2:5" ht="15" thickBot="1" x14ac:dyDescent="0.35">
      <c r="B1301" s="170">
        <v>43447.645833333336</v>
      </c>
      <c r="C1301" s="169">
        <v>1582.9</v>
      </c>
      <c r="D1301" s="247">
        <f t="shared" si="23"/>
        <v>-0.60678176624021862</v>
      </c>
      <c r="E1301" s="248">
        <v>-7.2750078394480458E-3</v>
      </c>
    </row>
    <row r="1302" spans="2:5" ht="15" thickBot="1" x14ac:dyDescent="0.35">
      <c r="B1302" s="170">
        <v>45810.645833333336</v>
      </c>
      <c r="C1302" s="168">
        <v>4025.5</v>
      </c>
      <c r="D1302" s="247">
        <f t="shared" si="23"/>
        <v>6.0151167996629035E-2</v>
      </c>
      <c r="E1302" s="248">
        <v>-7.3239297691851989E-3</v>
      </c>
    </row>
    <row r="1303" spans="2:5" ht="15" thickBot="1" x14ac:dyDescent="0.35">
      <c r="B1303" s="170">
        <v>45729.645833333336</v>
      </c>
      <c r="C1303" s="169">
        <v>3797.1</v>
      </c>
      <c r="D1303" s="247">
        <f t="shared" si="23"/>
        <v>7.4767545535600596E-2</v>
      </c>
      <c r="E1303" s="248">
        <v>-7.3719708258176541E-3</v>
      </c>
    </row>
    <row r="1304" spans="2:5" ht="15" thickBot="1" x14ac:dyDescent="0.35">
      <c r="B1304" s="170">
        <v>45684.645833333336</v>
      </c>
      <c r="C1304" s="169">
        <v>3532.95</v>
      </c>
      <c r="D1304" s="247">
        <f t="shared" si="23"/>
        <v>-6.5950190355330021E-2</v>
      </c>
      <c r="E1304" s="248">
        <v>-7.4031410670638504E-3</v>
      </c>
    </row>
    <row r="1305" spans="2:5" ht="15" thickBot="1" x14ac:dyDescent="0.35">
      <c r="B1305" s="170">
        <v>45177.645833333336</v>
      </c>
      <c r="C1305" s="169">
        <v>3782.4</v>
      </c>
      <c r="D1305" s="247">
        <f t="shared" si="23"/>
        <v>2.9056480574600117E-2</v>
      </c>
      <c r="E1305" s="248">
        <v>-7.439480417240677E-3</v>
      </c>
    </row>
    <row r="1306" spans="2:5" ht="15" thickBot="1" x14ac:dyDescent="0.35">
      <c r="B1306" s="170">
        <v>45334.645833333336</v>
      </c>
      <c r="C1306" s="169">
        <v>3675.6</v>
      </c>
      <c r="D1306" s="247">
        <f t="shared" si="23"/>
        <v>3.0662460567823319E-2</v>
      </c>
      <c r="E1306" s="248">
        <v>-7.4530136098509159E-3</v>
      </c>
    </row>
    <row r="1307" spans="2:5" ht="15" thickBot="1" x14ac:dyDescent="0.35">
      <c r="B1307" s="170">
        <v>44411.645833333336</v>
      </c>
      <c r="C1307" s="169">
        <v>3566.25</v>
      </c>
      <c r="D1307" s="247">
        <f t="shared" si="23"/>
        <v>-0.10246891830673983</v>
      </c>
      <c r="E1307" s="248">
        <v>-7.4588441574707232E-3</v>
      </c>
    </row>
    <row r="1308" spans="2:5" ht="15" thickBot="1" x14ac:dyDescent="0.35">
      <c r="B1308" s="170">
        <v>44650.645833333336</v>
      </c>
      <c r="C1308" s="169">
        <v>3973.4</v>
      </c>
      <c r="D1308" s="247">
        <f t="shared" si="23"/>
        <v>-0.19895974033828601</v>
      </c>
      <c r="E1308" s="248">
        <v>-7.4812344661345674E-3</v>
      </c>
    </row>
    <row r="1309" spans="2:5" ht="15" thickBot="1" x14ac:dyDescent="0.35">
      <c r="B1309" s="170">
        <v>44510.645833333336</v>
      </c>
      <c r="C1309" s="169">
        <v>4960.3</v>
      </c>
      <c r="D1309" s="247">
        <f t="shared" si="23"/>
        <v>0.74809254462476427</v>
      </c>
      <c r="E1309" s="248">
        <v>-7.4933720174077973E-3</v>
      </c>
    </row>
    <row r="1310" spans="2:5" ht="15" thickBot="1" x14ac:dyDescent="0.35">
      <c r="B1310" s="170">
        <v>44285.645833333336</v>
      </c>
      <c r="C1310" s="169">
        <v>2837.55</v>
      </c>
      <c r="D1310" s="247">
        <f t="shared" si="23"/>
        <v>0.18807963656917967</v>
      </c>
      <c r="E1310" s="248">
        <v>-7.5199804130742726E-3</v>
      </c>
    </row>
    <row r="1311" spans="2:5" ht="15" thickBot="1" x14ac:dyDescent="0.35">
      <c r="B1311" s="170">
        <v>43992.645833333336</v>
      </c>
      <c r="C1311" s="169">
        <v>2388.35</v>
      </c>
      <c r="D1311" s="247">
        <f t="shared" si="23"/>
        <v>-0.47292749401392525</v>
      </c>
      <c r="E1311" s="248">
        <v>-7.542073550799955E-3</v>
      </c>
    </row>
    <row r="1312" spans="2:5" ht="15" thickBot="1" x14ac:dyDescent="0.35">
      <c r="B1312" s="170">
        <v>44803.645833333336</v>
      </c>
      <c r="C1312" s="169">
        <v>4531.3500000000004</v>
      </c>
      <c r="D1312" s="247">
        <f t="shared" si="23"/>
        <v>0.12631892919727086</v>
      </c>
      <c r="E1312" s="248">
        <v>-7.5560957981536834E-3</v>
      </c>
    </row>
    <row r="1313" spans="2:5" ht="15" thickBot="1" x14ac:dyDescent="0.35">
      <c r="B1313" s="170">
        <v>45754.645833333336</v>
      </c>
      <c r="C1313" s="168">
        <v>4023.15</v>
      </c>
      <c r="D1313" s="247">
        <f t="shared" si="23"/>
        <v>1.7418728276426092</v>
      </c>
      <c r="E1313" s="248">
        <v>-7.5730478434080737E-3</v>
      </c>
    </row>
    <row r="1314" spans="2:5" ht="15" thickBot="1" x14ac:dyDescent="0.35">
      <c r="B1314" s="170">
        <v>43538.645833333336</v>
      </c>
      <c r="C1314" s="169">
        <v>1467.3</v>
      </c>
      <c r="D1314" s="247">
        <f t="shared" si="23"/>
        <v>-0.30138551635480654</v>
      </c>
      <c r="E1314" s="248">
        <v>-7.5752451809266456E-3</v>
      </c>
    </row>
    <row r="1315" spans="2:5" ht="15" thickBot="1" x14ac:dyDescent="0.35">
      <c r="B1315" s="170">
        <v>44126.645833333336</v>
      </c>
      <c r="C1315" s="169">
        <v>2100.3000000000002</v>
      </c>
      <c r="D1315" s="247">
        <f t="shared" si="23"/>
        <v>-0.41719042663891776</v>
      </c>
      <c r="E1315" s="248">
        <v>-7.6775885285015706E-3</v>
      </c>
    </row>
    <row r="1316" spans="2:5" ht="15" thickBot="1" x14ac:dyDescent="0.35">
      <c r="B1316" s="170">
        <v>45726.645833333336</v>
      </c>
      <c r="C1316" s="169">
        <v>3603.75</v>
      </c>
      <c r="D1316" s="247">
        <f t="shared" si="23"/>
        <v>2.1738517768285703</v>
      </c>
      <c r="E1316" s="248">
        <v>-7.6824583866837637E-3</v>
      </c>
    </row>
    <row r="1317" spans="2:5" ht="15" thickBot="1" x14ac:dyDescent="0.35">
      <c r="B1317" s="170">
        <v>43118.645833333336</v>
      </c>
      <c r="C1317" s="169">
        <v>1135.45</v>
      </c>
      <c r="D1317" s="247">
        <f t="shared" si="23"/>
        <v>-0.66292618485698607</v>
      </c>
      <c r="E1317" s="248">
        <v>-7.7773408485165068E-3</v>
      </c>
    </row>
    <row r="1318" spans="2:5" ht="15" thickBot="1" x14ac:dyDescent="0.35">
      <c r="B1318" s="170">
        <v>45064.645833333336</v>
      </c>
      <c r="C1318" s="169">
        <v>3368.55</v>
      </c>
      <c r="D1318" s="247">
        <f t="shared" si="23"/>
        <v>1.1161892197512251</v>
      </c>
      <c r="E1318" s="248">
        <v>-7.863927545836041E-3</v>
      </c>
    </row>
    <row r="1319" spans="2:5" ht="15" thickBot="1" x14ac:dyDescent="0.35">
      <c r="B1319" s="170">
        <v>43342.645833333336</v>
      </c>
      <c r="C1319" s="169">
        <v>1591.8</v>
      </c>
      <c r="D1319" s="247">
        <f t="shared" si="23"/>
        <v>0.35150280183392768</v>
      </c>
      <c r="E1319" s="248">
        <v>-7.9152383920224646E-3</v>
      </c>
    </row>
    <row r="1320" spans="2:5" ht="15" thickBot="1" x14ac:dyDescent="0.35">
      <c r="B1320" s="170">
        <v>43140.645833333336</v>
      </c>
      <c r="C1320" s="169">
        <v>1177.8</v>
      </c>
      <c r="D1320" s="247">
        <f t="shared" si="23"/>
        <v>-0.67964096287229703</v>
      </c>
      <c r="E1320" s="248">
        <v>-7.9177897574124745E-3</v>
      </c>
    </row>
    <row r="1321" spans="2:5" ht="15" thickBot="1" x14ac:dyDescent="0.35">
      <c r="B1321" s="170">
        <v>45125.645833333336</v>
      </c>
      <c r="C1321" s="169">
        <v>3676.5</v>
      </c>
      <c r="D1321" s="247">
        <f t="shared" si="23"/>
        <v>-7.4733543897620408E-2</v>
      </c>
      <c r="E1321" s="248">
        <v>-7.9199104119162707E-3</v>
      </c>
    </row>
    <row r="1322" spans="2:5" ht="15" thickBot="1" x14ac:dyDescent="0.35">
      <c r="B1322" s="170">
        <v>45586.645833333336</v>
      </c>
      <c r="C1322" s="169">
        <v>3973.45</v>
      </c>
      <c r="D1322" s="247">
        <f t="shared" si="23"/>
        <v>-0.16099368652209714</v>
      </c>
      <c r="E1322" s="248">
        <v>-7.9271946469589537E-3</v>
      </c>
    </row>
    <row r="1323" spans="2:5" ht="15" thickBot="1" x14ac:dyDescent="0.35">
      <c r="B1323" s="170">
        <v>45474.645833333336</v>
      </c>
      <c r="C1323" s="169">
        <v>4735.8999999999996</v>
      </c>
      <c r="D1323" s="247">
        <f t="shared" si="23"/>
        <v>4.1877378794143534E-3</v>
      </c>
      <c r="E1323" s="248">
        <v>-7.9495585324215728E-3</v>
      </c>
    </row>
    <row r="1324" spans="2:5" ht="15" thickBot="1" x14ac:dyDescent="0.35">
      <c r="B1324" s="170">
        <v>45391.645833333336</v>
      </c>
      <c r="C1324" s="169">
        <v>4716.1499999999996</v>
      </c>
      <c r="D1324" s="247">
        <f t="shared" si="23"/>
        <v>9.1583125595128267E-3</v>
      </c>
      <c r="E1324" s="248">
        <v>-7.9617164493059247E-3</v>
      </c>
    </row>
    <row r="1325" spans="2:5" ht="15" thickBot="1" x14ac:dyDescent="0.35">
      <c r="B1325" s="170">
        <v>44529.645833333336</v>
      </c>
      <c r="C1325" s="169">
        <v>4673.3500000000004</v>
      </c>
      <c r="D1325" s="247">
        <f t="shared" si="23"/>
        <v>2.1308032424465737</v>
      </c>
      <c r="E1325" s="248">
        <v>-7.9708760534078996E-3</v>
      </c>
    </row>
    <row r="1326" spans="2:5" ht="15" thickBot="1" x14ac:dyDescent="0.35">
      <c r="B1326" s="170">
        <v>43693.645833333336</v>
      </c>
      <c r="C1326" s="169">
        <v>1492.7</v>
      </c>
      <c r="D1326" s="247">
        <f t="shared" si="23"/>
        <v>-0.57021105064639654</v>
      </c>
      <c r="E1326" s="248">
        <v>-7.9750116302252944E-3</v>
      </c>
    </row>
    <row r="1327" spans="2:5" ht="15" thickBot="1" x14ac:dyDescent="0.35">
      <c r="B1327" s="170">
        <v>45028.645833333336</v>
      </c>
      <c r="C1327" s="169">
        <v>3473.1</v>
      </c>
      <c r="D1327" s="247">
        <f t="shared" si="23"/>
        <v>-0.21843037974683546</v>
      </c>
      <c r="E1327" s="248">
        <v>-7.9833192899273851E-3</v>
      </c>
    </row>
    <row r="1328" spans="2:5" ht="15" thickBot="1" x14ac:dyDescent="0.35">
      <c r="B1328" s="170">
        <v>44837.645833333336</v>
      </c>
      <c r="C1328" s="169">
        <v>4443.75</v>
      </c>
      <c r="D1328" s="247">
        <f t="shared" si="23"/>
        <v>2.188455191217622</v>
      </c>
      <c r="E1328" s="248">
        <v>-7.9918741837908223E-3</v>
      </c>
    </row>
    <row r="1329" spans="2:5" ht="15" thickBot="1" x14ac:dyDescent="0.35">
      <c r="B1329" s="170">
        <v>43430.645833333336</v>
      </c>
      <c r="C1329" s="169">
        <v>1393.7</v>
      </c>
      <c r="D1329" s="247">
        <f t="shared" si="23"/>
        <v>-0.71224165341812407</v>
      </c>
      <c r="E1329" s="248">
        <v>-8.0074023986618746E-3</v>
      </c>
    </row>
    <row r="1330" spans="2:5" ht="15" thickBot="1" x14ac:dyDescent="0.35">
      <c r="B1330" s="170">
        <v>44523.645833333336</v>
      </c>
      <c r="C1330" s="169">
        <v>4843.3</v>
      </c>
      <c r="D1330" s="247">
        <f t="shared" si="23"/>
        <v>0.37476582458132279</v>
      </c>
      <c r="E1330" s="248">
        <v>-8.0489902920575472E-3</v>
      </c>
    </row>
    <row r="1331" spans="2:5" ht="15" thickBot="1" x14ac:dyDescent="0.35">
      <c r="B1331" s="170">
        <v>44417.645833333336</v>
      </c>
      <c r="C1331" s="169">
        <v>3523</v>
      </c>
      <c r="D1331" s="247">
        <f t="shared" si="23"/>
        <v>-0.30534742487577887</v>
      </c>
      <c r="E1331" s="248">
        <v>-8.0666732363831144E-3</v>
      </c>
    </row>
    <row r="1332" spans="2:5" ht="15" thickBot="1" x14ac:dyDescent="0.35">
      <c r="B1332" s="170">
        <v>45499.645833333336</v>
      </c>
      <c r="C1332" s="169">
        <v>5071.6000000000004</v>
      </c>
      <c r="D1332" s="247">
        <f t="shared" si="23"/>
        <v>0.18406798655211071</v>
      </c>
      <c r="E1332" s="248">
        <v>-8.0679073315274262E-3</v>
      </c>
    </row>
    <row r="1333" spans="2:5" ht="15" thickBot="1" x14ac:dyDescent="0.35">
      <c r="B1333" s="170">
        <v>44831.645833333336</v>
      </c>
      <c r="C1333" s="169">
        <v>4283.2</v>
      </c>
      <c r="D1333" s="247">
        <f t="shared" si="23"/>
        <v>1.8130828845396034</v>
      </c>
      <c r="E1333" s="248">
        <v>-8.0937438486388437E-3</v>
      </c>
    </row>
    <row r="1334" spans="2:5" ht="15" thickBot="1" x14ac:dyDescent="0.35">
      <c r="B1334" s="170">
        <v>43355.645833333336</v>
      </c>
      <c r="C1334" s="169">
        <v>1522.6</v>
      </c>
      <c r="D1334" s="247">
        <f t="shared" si="23"/>
        <v>-0.64593167918517314</v>
      </c>
      <c r="E1334" s="248">
        <v>-8.1750968960689063E-3</v>
      </c>
    </row>
    <row r="1335" spans="2:5" ht="15" thickBot="1" x14ac:dyDescent="0.35">
      <c r="B1335" s="170">
        <v>45828.645833333336</v>
      </c>
      <c r="C1335" s="168">
        <v>4300.3</v>
      </c>
      <c r="D1335" s="247">
        <f t="shared" si="23"/>
        <v>0.18117395006454814</v>
      </c>
      <c r="E1335" s="248">
        <v>-8.1876470316896537E-3</v>
      </c>
    </row>
    <row r="1336" spans="2:5" ht="15" thickBot="1" x14ac:dyDescent="0.35">
      <c r="B1336" s="170">
        <v>45196.645833333336</v>
      </c>
      <c r="C1336" s="169">
        <v>3640.7</v>
      </c>
      <c r="D1336" s="247">
        <f t="shared" si="23"/>
        <v>1.4781839221291948</v>
      </c>
      <c r="E1336" s="248">
        <v>-8.2673894389889441E-3</v>
      </c>
    </row>
    <row r="1337" spans="2:5" ht="15" thickBot="1" x14ac:dyDescent="0.35">
      <c r="B1337" s="170">
        <v>43203.645833333336</v>
      </c>
      <c r="C1337" s="169">
        <v>1469.1</v>
      </c>
      <c r="D1337" s="247">
        <f t="shared" si="23"/>
        <v>-0.21806472216308284</v>
      </c>
      <c r="E1337" s="248">
        <v>-8.302956662616566E-3</v>
      </c>
    </row>
    <row r="1338" spans="2:5" ht="15" thickBot="1" x14ac:dyDescent="0.35">
      <c r="B1338" s="170">
        <v>43734.645833333336</v>
      </c>
      <c r="C1338" s="169">
        <v>1878.8</v>
      </c>
      <c r="D1338" s="247">
        <f t="shared" si="23"/>
        <v>-1.8724048781761749E-2</v>
      </c>
      <c r="E1338" s="248">
        <v>-8.3133197857010906E-3</v>
      </c>
    </row>
    <row r="1339" spans="2:5" ht="15" thickBot="1" x14ac:dyDescent="0.35">
      <c r="B1339" s="170">
        <v>43843.645833333336</v>
      </c>
      <c r="C1339" s="169">
        <v>1914.65</v>
      </c>
      <c r="D1339" s="247">
        <f t="shared" si="23"/>
        <v>-0.18884511099813589</v>
      </c>
      <c r="E1339" s="248">
        <v>-8.3387284733911216E-3</v>
      </c>
    </row>
    <row r="1340" spans="2:5" ht="15" thickBot="1" x14ac:dyDescent="0.35">
      <c r="B1340" s="170">
        <v>44158.645833333336</v>
      </c>
      <c r="C1340" s="169">
        <v>2360.4</v>
      </c>
      <c r="D1340" s="247">
        <f t="shared" si="23"/>
        <v>-0.35209025280667561</v>
      </c>
      <c r="E1340" s="248">
        <v>-8.3394601407414809E-3</v>
      </c>
    </row>
    <row r="1341" spans="2:5" ht="15" thickBot="1" x14ac:dyDescent="0.35">
      <c r="B1341" s="170">
        <v>44428.645833333336</v>
      </c>
      <c r="C1341" s="169">
        <v>3643.1</v>
      </c>
      <c r="D1341" s="247">
        <f t="shared" si="23"/>
        <v>-0.14709462939551429</v>
      </c>
      <c r="E1341" s="248">
        <v>-8.3429738006124774E-3</v>
      </c>
    </row>
    <row r="1342" spans="2:5" ht="15" thickBot="1" x14ac:dyDescent="0.35">
      <c r="B1342" s="170">
        <v>44861.645833333336</v>
      </c>
      <c r="C1342" s="169">
        <v>4271.3999999999996</v>
      </c>
      <c r="D1342" s="247">
        <f t="shared" si="23"/>
        <v>8.4521673434694664E-3</v>
      </c>
      <c r="E1342" s="248">
        <v>-8.3461989390230008E-3</v>
      </c>
    </row>
    <row r="1343" spans="2:5" ht="15" thickBot="1" x14ac:dyDescent="0.35">
      <c r="B1343" s="170">
        <v>44859.645833333336</v>
      </c>
      <c r="C1343" s="169">
        <v>4235.6000000000004</v>
      </c>
      <c r="D1343" s="247">
        <f t="shared" si="23"/>
        <v>1.6565479177119919</v>
      </c>
      <c r="E1343" s="248">
        <v>-8.3813269653975914E-3</v>
      </c>
    </row>
    <row r="1344" spans="2:5" ht="15" thickBot="1" x14ac:dyDescent="0.35">
      <c r="B1344" s="170">
        <v>43262.645833333336</v>
      </c>
      <c r="C1344" s="169">
        <v>1594.4</v>
      </c>
      <c r="D1344" s="247">
        <f t="shared" si="23"/>
        <v>-0.29656754610429714</v>
      </c>
      <c r="E1344" s="248">
        <v>-8.4268789452408063E-3</v>
      </c>
    </row>
    <row r="1345" spans="2:5" ht="15" thickBot="1" x14ac:dyDescent="0.35">
      <c r="B1345" s="170">
        <v>44062.645833333336</v>
      </c>
      <c r="C1345" s="169">
        <v>2266.6</v>
      </c>
      <c r="D1345" s="247">
        <f t="shared" si="23"/>
        <v>-0.34703637018365147</v>
      </c>
      <c r="E1345" s="248">
        <v>-8.4430640010499935E-3</v>
      </c>
    </row>
    <row r="1346" spans="2:5" ht="15" thickBot="1" x14ac:dyDescent="0.35">
      <c r="B1346" s="170">
        <v>45077.645833333336</v>
      </c>
      <c r="C1346" s="169">
        <v>3471.25</v>
      </c>
      <c r="D1346" s="247">
        <f t="shared" si="23"/>
        <v>1.2445845457484643</v>
      </c>
      <c r="E1346" s="248">
        <v>-8.46925076408926E-3</v>
      </c>
    </row>
    <row r="1347" spans="2:5" ht="15" thickBot="1" x14ac:dyDescent="0.35">
      <c r="B1347" s="170">
        <v>43445.645833333336</v>
      </c>
      <c r="C1347" s="169">
        <v>1546.5</v>
      </c>
      <c r="D1347" s="247">
        <f t="shared" si="23"/>
        <v>-0.66894647272260221</v>
      </c>
      <c r="E1347" s="248">
        <v>-8.4949511139605707E-3</v>
      </c>
    </row>
    <row r="1348" spans="2:5" ht="15" thickBot="1" x14ac:dyDescent="0.35">
      <c r="B1348" s="170">
        <v>44561.645833333336</v>
      </c>
      <c r="C1348" s="169">
        <v>4671.45</v>
      </c>
      <c r="D1348" s="247">
        <f t="shared" si="23"/>
        <v>0.3144203714124929</v>
      </c>
      <c r="E1348" s="248">
        <v>-8.500477554918855E-3</v>
      </c>
    </row>
    <row r="1349" spans="2:5" ht="15" thickBot="1" x14ac:dyDescent="0.35">
      <c r="B1349" s="170">
        <v>45049.645833333336</v>
      </c>
      <c r="C1349" s="169">
        <v>3554</v>
      </c>
      <c r="D1349" s="247">
        <f t="shared" ref="D1349:D1412" si="24">(C1349-C1350)/C1350</f>
        <v>-0.23221499708354029</v>
      </c>
      <c r="E1349" s="248">
        <v>-8.5088575812526154E-3</v>
      </c>
    </row>
    <row r="1350" spans="2:5" ht="15" thickBot="1" x14ac:dyDescent="0.35">
      <c r="B1350" s="170">
        <v>44554.645833333336</v>
      </c>
      <c r="C1350" s="169">
        <v>4628.8999999999996</v>
      </c>
      <c r="D1350" s="247">
        <f t="shared" si="24"/>
        <v>2.3719905299581132</v>
      </c>
      <c r="E1350" s="248">
        <v>-8.5142385914557753E-3</v>
      </c>
    </row>
    <row r="1351" spans="2:5" ht="15" thickBot="1" x14ac:dyDescent="0.35">
      <c r="B1351" s="170">
        <v>43493.645833333336</v>
      </c>
      <c r="C1351" s="169">
        <v>1372.75</v>
      </c>
      <c r="D1351" s="247">
        <f t="shared" si="24"/>
        <v>-0.68107103444270201</v>
      </c>
      <c r="E1351" s="248">
        <v>-8.5226246794987224E-3</v>
      </c>
    </row>
    <row r="1352" spans="2:5" ht="15" thickBot="1" x14ac:dyDescent="0.35">
      <c r="B1352" s="170">
        <v>44797.645833333336</v>
      </c>
      <c r="C1352" s="169">
        <v>4304.25</v>
      </c>
      <c r="D1352" s="247">
        <f t="shared" si="24"/>
        <v>-0.14595672490252692</v>
      </c>
      <c r="E1352" s="248">
        <v>-8.5228908724445732E-3</v>
      </c>
    </row>
    <row r="1353" spans="2:5" ht="15" thickBot="1" x14ac:dyDescent="0.35">
      <c r="B1353" s="170">
        <v>45489.645833333336</v>
      </c>
      <c r="C1353" s="169">
        <v>5039.8500000000004</v>
      </c>
      <c r="D1353" s="247">
        <f t="shared" si="24"/>
        <v>0.24382388509094505</v>
      </c>
      <c r="E1353" s="248">
        <v>-8.5768523345364778E-3</v>
      </c>
    </row>
    <row r="1354" spans="2:5" ht="15" thickBot="1" x14ac:dyDescent="0.35">
      <c r="B1354" s="170">
        <v>45821.645833333336</v>
      </c>
      <c r="C1354" s="168">
        <v>4051.9</v>
      </c>
      <c r="D1354" s="247">
        <f t="shared" si="24"/>
        <v>-0.22375164037280768</v>
      </c>
      <c r="E1354" s="248">
        <v>-8.5882065084413768E-3</v>
      </c>
    </row>
    <row r="1355" spans="2:5" ht="15" thickBot="1" x14ac:dyDescent="0.35">
      <c r="B1355" s="170">
        <v>45552.645833333336</v>
      </c>
      <c r="C1355" s="169">
        <v>5219.8500000000004</v>
      </c>
      <c r="D1355" s="247">
        <f t="shared" si="24"/>
        <v>0.25564696543263332</v>
      </c>
      <c r="E1355" s="248">
        <v>-8.6131580946591686E-3</v>
      </c>
    </row>
    <row r="1356" spans="2:5" ht="15" thickBot="1" x14ac:dyDescent="0.35">
      <c r="B1356" s="170">
        <v>44614.645833333336</v>
      </c>
      <c r="C1356" s="169">
        <v>4157.1000000000004</v>
      </c>
      <c r="D1356" s="247">
        <f t="shared" si="24"/>
        <v>3.2012214043667754E-2</v>
      </c>
      <c r="E1356" s="248">
        <v>-8.6682802942683133E-3</v>
      </c>
    </row>
    <row r="1357" spans="2:5" ht="15" thickBot="1" x14ac:dyDescent="0.35">
      <c r="B1357" s="170">
        <v>44900.645833333336</v>
      </c>
      <c r="C1357" s="169">
        <v>4028.15</v>
      </c>
      <c r="D1357" s="247">
        <f t="shared" si="24"/>
        <v>0.15060413036647718</v>
      </c>
      <c r="E1357" s="248">
        <v>-8.6750012304966286E-3</v>
      </c>
    </row>
    <row r="1358" spans="2:5" ht="15" thickBot="1" x14ac:dyDescent="0.35">
      <c r="B1358" s="170">
        <v>45078.645833333336</v>
      </c>
      <c r="C1358" s="169">
        <v>3500.9</v>
      </c>
      <c r="D1358" s="247">
        <f t="shared" si="24"/>
        <v>1.2614902619424437</v>
      </c>
      <c r="E1358" s="248">
        <v>-8.692943708234176E-3</v>
      </c>
    </row>
    <row r="1359" spans="2:5" ht="15" thickBot="1" x14ac:dyDescent="0.35">
      <c r="B1359" s="170">
        <v>43297.645833333336</v>
      </c>
      <c r="C1359" s="169">
        <v>1548.05</v>
      </c>
      <c r="D1359" s="247">
        <f t="shared" si="24"/>
        <v>-0.54405419335836835</v>
      </c>
      <c r="E1359" s="248">
        <v>-8.7087375532290436E-3</v>
      </c>
    </row>
    <row r="1360" spans="2:5" ht="15" thickBot="1" x14ac:dyDescent="0.35">
      <c r="B1360" s="170">
        <v>45065.645833333336</v>
      </c>
      <c r="C1360" s="169">
        <v>3395.25</v>
      </c>
      <c r="D1360" s="247">
        <f t="shared" si="24"/>
        <v>-7.5443182746507687E-2</v>
      </c>
      <c r="E1360" s="248">
        <v>-8.7150740124375663E-3</v>
      </c>
    </row>
    <row r="1361" spans="2:5" ht="15" thickBot="1" x14ac:dyDescent="0.35">
      <c r="B1361" s="170">
        <v>45056.645833333336</v>
      </c>
      <c r="C1361" s="169">
        <v>3672.3</v>
      </c>
      <c r="D1361" s="247">
        <f t="shared" si="24"/>
        <v>-0.10897863615960394</v>
      </c>
      <c r="E1361" s="248">
        <v>-8.7322689052946722E-3</v>
      </c>
    </row>
    <row r="1362" spans="2:5" ht="15" thickBot="1" x14ac:dyDescent="0.35">
      <c r="B1362" s="170">
        <v>45749.645833333336</v>
      </c>
      <c r="C1362" s="168">
        <v>4121.45</v>
      </c>
      <c r="D1362" s="247">
        <f t="shared" si="24"/>
        <v>-0.1889304339269901</v>
      </c>
      <c r="E1362" s="248">
        <v>-8.742604261869345E-3</v>
      </c>
    </row>
    <row r="1363" spans="2:5" ht="15" thickBot="1" x14ac:dyDescent="0.35">
      <c r="B1363" s="170">
        <v>44516.645833333336</v>
      </c>
      <c r="C1363" s="169">
        <v>5081.5</v>
      </c>
      <c r="D1363" s="247">
        <f t="shared" si="24"/>
        <v>2.3495171052498993E-2</v>
      </c>
      <c r="E1363" s="248">
        <v>-8.7585830212234001E-3</v>
      </c>
    </row>
    <row r="1364" spans="2:5" ht="15" thickBot="1" x14ac:dyDescent="0.35">
      <c r="B1364" s="170">
        <v>45532.645833333336</v>
      </c>
      <c r="C1364" s="169">
        <v>4964.8500000000004</v>
      </c>
      <c r="D1364" s="247">
        <f t="shared" si="24"/>
        <v>4.7149515955539657E-2</v>
      </c>
      <c r="E1364" s="248">
        <v>-8.774556780067045E-3</v>
      </c>
    </row>
    <row r="1365" spans="2:5" ht="15" thickBot="1" x14ac:dyDescent="0.35">
      <c r="B1365" s="170">
        <v>44503.645833333336</v>
      </c>
      <c r="C1365" s="169">
        <v>4741.3</v>
      </c>
      <c r="D1365" s="247">
        <f t="shared" si="24"/>
        <v>-3.5098781000419961E-3</v>
      </c>
      <c r="E1365" s="248">
        <v>-8.8634320714090845E-3</v>
      </c>
    </row>
    <row r="1366" spans="2:5" ht="15" thickBot="1" x14ac:dyDescent="0.35">
      <c r="B1366" s="170">
        <v>45404.645833333336</v>
      </c>
      <c r="C1366" s="169">
        <v>4758</v>
      </c>
      <c r="D1366" s="247">
        <f t="shared" si="24"/>
        <v>1.8750981932443047</v>
      </c>
      <c r="E1366" s="248">
        <v>-8.8635677161992225E-3</v>
      </c>
    </row>
    <row r="1367" spans="2:5" ht="15" thickBot="1" x14ac:dyDescent="0.35">
      <c r="B1367" s="170">
        <v>43312.645833333336</v>
      </c>
      <c r="C1367" s="169">
        <v>1654.9</v>
      </c>
      <c r="D1367" s="247">
        <f t="shared" si="24"/>
        <v>-0.20489105628558379</v>
      </c>
      <c r="E1367" s="248">
        <v>-8.8638677606755426E-3</v>
      </c>
    </row>
    <row r="1368" spans="2:5" ht="15" thickBot="1" x14ac:dyDescent="0.35">
      <c r="B1368" s="170">
        <v>44125.645833333336</v>
      </c>
      <c r="C1368" s="169">
        <v>2081.35</v>
      </c>
      <c r="D1368" s="247">
        <f t="shared" si="24"/>
        <v>-0.41673555745491742</v>
      </c>
      <c r="E1368" s="248">
        <v>-9.022520592296468E-3</v>
      </c>
    </row>
    <row r="1369" spans="2:5" ht="15" thickBot="1" x14ac:dyDescent="0.35">
      <c r="B1369" s="170">
        <v>45672.645833333336</v>
      </c>
      <c r="C1369" s="169">
        <v>3568.45</v>
      </c>
      <c r="D1369" s="247">
        <f t="shared" si="24"/>
        <v>-0.16554812459077725</v>
      </c>
      <c r="E1369" s="248">
        <v>-9.0253960760354919E-3</v>
      </c>
    </row>
    <row r="1370" spans="2:5" ht="15" thickBot="1" x14ac:dyDescent="0.35">
      <c r="B1370" s="170">
        <v>45833.645833333336</v>
      </c>
      <c r="C1370" s="168">
        <v>4276.3999999999996</v>
      </c>
      <c r="D1370" s="247">
        <f t="shared" si="24"/>
        <v>-0.1270693420972055</v>
      </c>
      <c r="E1370" s="248">
        <v>-9.0374009361820461E-3</v>
      </c>
    </row>
    <row r="1371" spans="2:5" ht="15" thickBot="1" x14ac:dyDescent="0.35">
      <c r="B1371" s="170">
        <v>45484.645833333336</v>
      </c>
      <c r="C1371" s="169">
        <v>4898.8999999999996</v>
      </c>
      <c r="D1371" s="247">
        <f t="shared" si="24"/>
        <v>-9.0520162228313102E-3</v>
      </c>
      <c r="E1371" s="248">
        <v>-9.0520162228313102E-3</v>
      </c>
    </row>
    <row r="1372" spans="2:5" ht="15" thickBot="1" x14ac:dyDescent="0.35">
      <c r="B1372" s="170">
        <v>45485.645833333336</v>
      </c>
      <c r="C1372" s="169">
        <v>4943.6499999999996</v>
      </c>
      <c r="D1372" s="247">
        <f t="shared" si="24"/>
        <v>0.22578445593285465</v>
      </c>
      <c r="E1372" s="248">
        <v>-9.0602042554898867E-3</v>
      </c>
    </row>
    <row r="1373" spans="2:5" ht="15" thickBot="1" x14ac:dyDescent="0.35">
      <c r="B1373" s="170">
        <v>45273.645833333336</v>
      </c>
      <c r="C1373" s="169">
        <v>4033.05</v>
      </c>
      <c r="D1373" s="247">
        <f t="shared" si="24"/>
        <v>-5.1677355698075524E-3</v>
      </c>
      <c r="E1373" s="248">
        <v>-9.0907974103512246E-3</v>
      </c>
    </row>
    <row r="1374" spans="2:5" ht="15" thickBot="1" x14ac:dyDescent="0.35">
      <c r="B1374" s="170">
        <v>44642.645833333336</v>
      </c>
      <c r="C1374" s="169">
        <v>4054</v>
      </c>
      <c r="D1374" s="247">
        <f t="shared" si="24"/>
        <v>0.46692719641047914</v>
      </c>
      <c r="E1374" s="248">
        <v>-9.1290160949319688E-3</v>
      </c>
    </row>
    <row r="1375" spans="2:5" ht="15" thickBot="1" x14ac:dyDescent="0.35">
      <c r="B1375" s="170">
        <v>44196.645833333336</v>
      </c>
      <c r="C1375" s="169">
        <v>2763.6</v>
      </c>
      <c r="D1375" s="247">
        <f t="shared" si="24"/>
        <v>-0.37198045676627656</v>
      </c>
      <c r="E1375" s="248">
        <v>-9.1427342153382815E-3</v>
      </c>
    </row>
    <row r="1376" spans="2:5" ht="15" thickBot="1" x14ac:dyDescent="0.35">
      <c r="B1376" s="170">
        <v>44578.645833333336</v>
      </c>
      <c r="C1376" s="169">
        <v>4400.5</v>
      </c>
      <c r="D1376" s="247">
        <f t="shared" si="24"/>
        <v>-5.8273412086971448E-2</v>
      </c>
      <c r="E1376" s="248">
        <v>-9.1530346869616291E-3</v>
      </c>
    </row>
    <row r="1377" spans="2:5" ht="15" thickBot="1" x14ac:dyDescent="0.35">
      <c r="B1377" s="170">
        <v>45390.645833333336</v>
      </c>
      <c r="C1377" s="169">
        <v>4672.8</v>
      </c>
      <c r="D1377" s="247">
        <f t="shared" si="24"/>
        <v>2.23019493985898</v>
      </c>
      <c r="E1377" s="248">
        <v>-9.1918195986131612E-3</v>
      </c>
    </row>
    <row r="1378" spans="2:5" ht="15" thickBot="1" x14ac:dyDescent="0.35">
      <c r="B1378" s="170">
        <v>43648.645833333336</v>
      </c>
      <c r="C1378" s="169">
        <v>1446.6</v>
      </c>
      <c r="D1378" s="247">
        <f t="shared" si="24"/>
        <v>-0.64234235347928748</v>
      </c>
      <c r="E1378" s="248">
        <v>-9.2459420587630986E-3</v>
      </c>
    </row>
    <row r="1379" spans="2:5" ht="15" thickBot="1" x14ac:dyDescent="0.35">
      <c r="B1379" s="170">
        <v>45288.645833333336</v>
      </c>
      <c r="C1379" s="169">
        <v>4044.65</v>
      </c>
      <c r="D1379" s="247">
        <f t="shared" si="24"/>
        <v>-7.6913640824337361E-3</v>
      </c>
      <c r="E1379" s="248">
        <v>-9.3076800607448593E-3</v>
      </c>
    </row>
    <row r="1380" spans="2:5" ht="15" thickBot="1" x14ac:dyDescent="0.35">
      <c r="B1380" s="170">
        <v>44589.645833333336</v>
      </c>
      <c r="C1380" s="169">
        <v>4076</v>
      </c>
      <c r="D1380" s="247">
        <f t="shared" si="24"/>
        <v>9.7606896893425391E-3</v>
      </c>
      <c r="E1380" s="248">
        <v>-9.3210349143851064E-3</v>
      </c>
    </row>
    <row r="1381" spans="2:5" ht="15" thickBot="1" x14ac:dyDescent="0.35">
      <c r="B1381" s="170">
        <v>44921.645833333336</v>
      </c>
      <c r="C1381" s="169">
        <v>4036.6</v>
      </c>
      <c r="D1381" s="247">
        <f t="shared" si="24"/>
        <v>0.13355798932884019</v>
      </c>
      <c r="E1381" s="248">
        <v>-9.3260688165709513E-3</v>
      </c>
    </row>
    <row r="1382" spans="2:5" ht="15" thickBot="1" x14ac:dyDescent="0.35">
      <c r="B1382" s="170">
        <v>44420.645833333336</v>
      </c>
      <c r="C1382" s="169">
        <v>3561</v>
      </c>
      <c r="D1382" s="247">
        <f t="shared" si="24"/>
        <v>5.8372466266421001E-2</v>
      </c>
      <c r="E1382" s="248">
        <v>-9.3335744390814369E-3</v>
      </c>
    </row>
    <row r="1383" spans="2:5" ht="15" thickBot="1" x14ac:dyDescent="0.35">
      <c r="B1383" s="170">
        <v>44383.645833333336</v>
      </c>
      <c r="C1383" s="169">
        <v>3364.6</v>
      </c>
      <c r="D1383" s="247">
        <f t="shared" si="24"/>
        <v>-8.4151071793126933E-2</v>
      </c>
      <c r="E1383" s="248">
        <v>-9.3628547874220289E-3</v>
      </c>
    </row>
    <row r="1384" spans="2:5" ht="15" thickBot="1" x14ac:dyDescent="0.35">
      <c r="B1384" s="170">
        <v>44431.645833333336</v>
      </c>
      <c r="C1384" s="169">
        <v>3673.75</v>
      </c>
      <c r="D1384" s="247">
        <f t="shared" si="24"/>
        <v>-1.0411054843228124E-2</v>
      </c>
      <c r="E1384" s="248">
        <v>-9.3837214005474331E-3</v>
      </c>
    </row>
    <row r="1385" spans="2:5" ht="15" thickBot="1" x14ac:dyDescent="0.35">
      <c r="B1385" s="170">
        <v>45238.645833333336</v>
      </c>
      <c r="C1385" s="169">
        <v>3712.4</v>
      </c>
      <c r="D1385" s="247">
        <f t="shared" si="24"/>
        <v>5.8372414579561813E-2</v>
      </c>
      <c r="E1385" s="248">
        <v>-9.3926779805741864E-3</v>
      </c>
    </row>
    <row r="1386" spans="2:5" ht="15" thickBot="1" x14ac:dyDescent="0.35">
      <c r="B1386" s="170">
        <v>45155.645833333336</v>
      </c>
      <c r="C1386" s="169">
        <v>3507.65</v>
      </c>
      <c r="D1386" s="247">
        <f t="shared" si="24"/>
        <v>-0.13705639953256657</v>
      </c>
      <c r="E1386" s="248">
        <v>-9.4042559200213875E-3</v>
      </c>
    </row>
    <row r="1387" spans="2:5" ht="15" thickBot="1" x14ac:dyDescent="0.35">
      <c r="B1387" s="170">
        <v>45292.645833333336</v>
      </c>
      <c r="C1387" s="169">
        <v>4064.75</v>
      </c>
      <c r="D1387" s="247">
        <f t="shared" si="24"/>
        <v>-8.4752823030070965E-2</v>
      </c>
      <c r="E1387" s="248">
        <v>-9.4069479815273773E-3</v>
      </c>
    </row>
    <row r="1388" spans="2:5" ht="15" thickBot="1" x14ac:dyDescent="0.35">
      <c r="B1388" s="170">
        <v>44579.645833333336</v>
      </c>
      <c r="C1388" s="169">
        <v>4441.1499999999996</v>
      </c>
      <c r="D1388" s="247">
        <f t="shared" si="24"/>
        <v>2.0101328453300797</v>
      </c>
      <c r="E1388" s="248">
        <v>-9.4236516929116308E-3</v>
      </c>
    </row>
    <row r="1389" spans="2:5" ht="15" thickBot="1" x14ac:dyDescent="0.35">
      <c r="B1389" s="170">
        <v>43210.645833333336</v>
      </c>
      <c r="C1389" s="169">
        <v>1475.4</v>
      </c>
      <c r="D1389" s="247">
        <f t="shared" si="24"/>
        <v>-0.253226704459179</v>
      </c>
      <c r="E1389" s="248">
        <v>-9.4662638469284379E-3</v>
      </c>
    </row>
    <row r="1390" spans="2:5" ht="15" thickBot="1" x14ac:dyDescent="0.35">
      <c r="B1390" s="170">
        <v>43768.645833333336</v>
      </c>
      <c r="C1390" s="169">
        <v>1975.7</v>
      </c>
      <c r="D1390" s="247">
        <f t="shared" si="24"/>
        <v>-0.49193164722975841</v>
      </c>
      <c r="E1390" s="248">
        <v>-9.5004136063971348E-3</v>
      </c>
    </row>
    <row r="1391" spans="2:5" ht="15" thickBot="1" x14ac:dyDescent="0.35">
      <c r="B1391" s="170">
        <v>45357.645833333336</v>
      </c>
      <c r="C1391" s="169">
        <v>3888.65</v>
      </c>
      <c r="D1391" s="247">
        <f t="shared" si="24"/>
        <v>1.2010409889394948E-2</v>
      </c>
      <c r="E1391" s="248">
        <v>-9.5008851360816431E-3</v>
      </c>
    </row>
    <row r="1392" spans="2:5" ht="15" thickBot="1" x14ac:dyDescent="0.35">
      <c r="B1392" s="170">
        <v>44932.645833333336</v>
      </c>
      <c r="C1392" s="169">
        <v>3842.5</v>
      </c>
      <c r="D1392" s="247">
        <f t="shared" si="24"/>
        <v>9.4121499451871524E-2</v>
      </c>
      <c r="E1392" s="248">
        <v>-9.5500766841515594E-3</v>
      </c>
    </row>
    <row r="1393" spans="2:5" ht="15" thickBot="1" x14ac:dyDescent="0.35">
      <c r="B1393" s="170">
        <v>45044.645833333336</v>
      </c>
      <c r="C1393" s="169">
        <v>3511.95</v>
      </c>
      <c r="D1393" s="247">
        <f t="shared" si="24"/>
        <v>-4.4900123740498593E-2</v>
      </c>
      <c r="E1393" s="248">
        <v>-9.5744380834203655E-3</v>
      </c>
    </row>
    <row r="1394" spans="2:5" ht="15" thickBot="1" x14ac:dyDescent="0.35">
      <c r="B1394" s="170">
        <v>45132.645833333336</v>
      </c>
      <c r="C1394" s="169">
        <v>3677.05</v>
      </c>
      <c r="D1394" s="247">
        <f t="shared" si="24"/>
        <v>1.7977250247279921</v>
      </c>
      <c r="E1394" s="248">
        <v>-9.5888381614210629E-3</v>
      </c>
    </row>
    <row r="1395" spans="2:5" ht="15" thickBot="1" x14ac:dyDescent="0.35">
      <c r="B1395" s="170">
        <v>43164.645833333336</v>
      </c>
      <c r="C1395" s="169">
        <v>1314.3</v>
      </c>
      <c r="D1395" s="247">
        <f t="shared" si="24"/>
        <v>-0.59997565095646088</v>
      </c>
      <c r="E1395" s="248">
        <v>-9.6824021399239991E-3</v>
      </c>
    </row>
    <row r="1396" spans="2:5" ht="15" thickBot="1" x14ac:dyDescent="0.35">
      <c r="B1396" s="170">
        <v>44364.645833333336</v>
      </c>
      <c r="C1396" s="169">
        <v>3285.55</v>
      </c>
      <c r="D1396" s="247">
        <f t="shared" si="24"/>
        <v>-0.16816254193303368</v>
      </c>
      <c r="E1396" s="248">
        <v>-9.6904482020675892E-3</v>
      </c>
    </row>
    <row r="1397" spans="2:5" ht="15" thickBot="1" x14ac:dyDescent="0.35">
      <c r="B1397" s="170">
        <v>45260.645833333336</v>
      </c>
      <c r="C1397" s="169">
        <v>3949.75</v>
      </c>
      <c r="D1397" s="247">
        <f t="shared" si="24"/>
        <v>1.5402771971572822</v>
      </c>
      <c r="E1397" s="248">
        <v>-9.6906027479691324E-3</v>
      </c>
    </row>
    <row r="1398" spans="2:5" ht="15" thickBot="1" x14ac:dyDescent="0.35">
      <c r="B1398" s="170">
        <v>43460.645833333336</v>
      </c>
      <c r="C1398" s="169">
        <v>1554.85</v>
      </c>
      <c r="D1398" s="247">
        <f t="shared" si="24"/>
        <v>1.6972987114919104E-2</v>
      </c>
      <c r="E1398" s="248">
        <v>-9.7442919466294176E-3</v>
      </c>
    </row>
    <row r="1399" spans="2:5" ht="15" thickBot="1" x14ac:dyDescent="0.35">
      <c r="B1399" s="170">
        <v>43248.645833333336</v>
      </c>
      <c r="C1399" s="169">
        <v>1528.9</v>
      </c>
      <c r="D1399" s="247">
        <f t="shared" si="24"/>
        <v>-0.61237244089497367</v>
      </c>
      <c r="E1399" s="248">
        <v>-9.8118584242737374E-3</v>
      </c>
    </row>
    <row r="1400" spans="2:5" ht="15" thickBot="1" x14ac:dyDescent="0.35">
      <c r="B1400" s="170">
        <v>44680.645833333336</v>
      </c>
      <c r="C1400" s="169">
        <v>3944.25</v>
      </c>
      <c r="D1400" s="247">
        <f t="shared" si="24"/>
        <v>1.5279602627784008</v>
      </c>
      <c r="E1400" s="248">
        <v>-9.815858511052232E-3</v>
      </c>
    </row>
    <row r="1401" spans="2:5" ht="15" thickBot="1" x14ac:dyDescent="0.35">
      <c r="B1401" s="170">
        <v>43467.645833333336</v>
      </c>
      <c r="C1401" s="169">
        <v>1560.25</v>
      </c>
      <c r="D1401" s="247">
        <f t="shared" si="24"/>
        <v>-0.59713651269074852</v>
      </c>
      <c r="E1401" s="248">
        <v>-9.9308331746938826E-3</v>
      </c>
    </row>
    <row r="1402" spans="2:5" ht="15" thickBot="1" x14ac:dyDescent="0.35">
      <c r="B1402" s="170">
        <v>44937.645833333336</v>
      </c>
      <c r="C1402" s="169">
        <v>3872.9</v>
      </c>
      <c r="D1402" s="247">
        <f t="shared" si="24"/>
        <v>-3.7430098173232236E-2</v>
      </c>
      <c r="E1402" s="248">
        <v>-9.9442711795081767E-3</v>
      </c>
    </row>
    <row r="1403" spans="2:5" ht="15" thickBot="1" x14ac:dyDescent="0.35">
      <c r="B1403" s="170">
        <v>45789.645833333336</v>
      </c>
      <c r="C1403" s="168">
        <v>4023.5</v>
      </c>
      <c r="D1403" s="247">
        <f t="shared" si="24"/>
        <v>-1.1789266854967458E-2</v>
      </c>
      <c r="E1403" s="248">
        <v>-9.9899116655593877E-3</v>
      </c>
    </row>
    <row r="1404" spans="2:5" ht="15" thickBot="1" x14ac:dyDescent="0.35">
      <c r="B1404" s="170">
        <v>45797.645833333336</v>
      </c>
      <c r="C1404" s="168">
        <v>4071.5</v>
      </c>
      <c r="D1404" s="247">
        <f t="shared" si="24"/>
        <v>1.2386254295532646</v>
      </c>
      <c r="E1404" s="248">
        <v>-1.0017749896661517E-2</v>
      </c>
    </row>
    <row r="1405" spans="2:5" ht="15" thickBot="1" x14ac:dyDescent="0.35">
      <c r="B1405" s="170">
        <v>43790.645833333336</v>
      </c>
      <c r="C1405" s="169">
        <v>1818.75</v>
      </c>
      <c r="D1405" s="247">
        <f t="shared" si="24"/>
        <v>-0.49160715034451913</v>
      </c>
      <c r="E1405" s="248">
        <v>-1.0069397196897537E-2</v>
      </c>
    </row>
    <row r="1406" spans="2:5" ht="15" thickBot="1" x14ac:dyDescent="0.35">
      <c r="B1406" s="170">
        <v>44707.645833333336</v>
      </c>
      <c r="C1406" s="169">
        <v>3577.45</v>
      </c>
      <c r="D1406" s="247">
        <f t="shared" si="24"/>
        <v>-6.9632268802663058E-2</v>
      </c>
      <c r="E1406" s="248">
        <v>-1.0072360501957771E-2</v>
      </c>
    </row>
    <row r="1407" spans="2:5" ht="15" thickBot="1" x14ac:dyDescent="0.35">
      <c r="B1407" s="170">
        <v>45735.645833333336</v>
      </c>
      <c r="C1407" s="169">
        <v>3845.2</v>
      </c>
      <c r="D1407" s="247">
        <f t="shared" si="24"/>
        <v>-0.19316798858533726</v>
      </c>
      <c r="E1407" s="248">
        <v>-1.0091648645865583E-2</v>
      </c>
    </row>
    <row r="1408" spans="2:5" ht="15" thickBot="1" x14ac:dyDescent="0.35">
      <c r="B1408" s="170">
        <v>44543.645833333336</v>
      </c>
      <c r="C1408" s="169">
        <v>4765.8</v>
      </c>
      <c r="D1408" s="247">
        <f t="shared" si="24"/>
        <v>-4.4709702636880275E-2</v>
      </c>
      <c r="E1408" s="248">
        <v>-1.009471585244256E-2</v>
      </c>
    </row>
    <row r="1409" spans="2:5" ht="15" thickBot="1" x14ac:dyDescent="0.35">
      <c r="B1409" s="170">
        <v>45488.645833333336</v>
      </c>
      <c r="C1409" s="169">
        <v>4988.8500000000004</v>
      </c>
      <c r="D1409" s="247">
        <f t="shared" si="24"/>
        <v>2.7189980990719</v>
      </c>
      <c r="E1409" s="248">
        <v>-1.0119348790142563E-2</v>
      </c>
    </row>
    <row r="1410" spans="2:5" ht="15" thickBot="1" x14ac:dyDescent="0.35">
      <c r="B1410" s="170">
        <v>43185.645833333336</v>
      </c>
      <c r="C1410" s="169">
        <v>1341.45</v>
      </c>
      <c r="D1410" s="247">
        <f t="shared" si="24"/>
        <v>-0.62335747978436651</v>
      </c>
      <c r="E1410" s="248">
        <v>-1.0146103896103896E-2</v>
      </c>
    </row>
    <row r="1411" spans="2:5" ht="15" thickBot="1" x14ac:dyDescent="0.35">
      <c r="B1411" s="170">
        <v>45679.645833333336</v>
      </c>
      <c r="C1411" s="169">
        <v>3561.6</v>
      </c>
      <c r="D1411" s="247">
        <f t="shared" si="24"/>
        <v>0.82025400557074579</v>
      </c>
      <c r="E1411" s="248">
        <v>-1.0213014298220018E-2</v>
      </c>
    </row>
    <row r="1412" spans="2:5" ht="15" thickBot="1" x14ac:dyDescent="0.35">
      <c r="B1412" s="170">
        <v>43773.645833333336</v>
      </c>
      <c r="C1412" s="169">
        <v>1956.65</v>
      </c>
      <c r="D1412" s="247">
        <f t="shared" si="24"/>
        <v>0.51308819549162898</v>
      </c>
      <c r="E1412" s="248">
        <v>-1.0218276551078645E-2</v>
      </c>
    </row>
    <row r="1413" spans="2:5" ht="15" thickBot="1" x14ac:dyDescent="0.35">
      <c r="B1413" s="170">
        <v>43167.645833333336</v>
      </c>
      <c r="C1413" s="169">
        <v>1293.1500000000001</v>
      </c>
      <c r="D1413" s="247">
        <f t="shared" ref="D1413:D1476" si="25">(C1413-C1414)/C1414</f>
        <v>-0.74203297525359824</v>
      </c>
      <c r="E1413" s="248">
        <v>-1.0256017756687356E-2</v>
      </c>
    </row>
    <row r="1414" spans="2:5" ht="15" thickBot="1" x14ac:dyDescent="0.35">
      <c r="B1414" s="170">
        <v>45495.645833333336</v>
      </c>
      <c r="C1414" s="169">
        <v>5012.8500000000004</v>
      </c>
      <c r="D1414" s="247">
        <f t="shared" si="25"/>
        <v>0.34975362826139644</v>
      </c>
      <c r="E1414" s="248">
        <v>-1.0344997778984184E-2</v>
      </c>
    </row>
    <row r="1415" spans="2:5" ht="15" thickBot="1" x14ac:dyDescent="0.35">
      <c r="B1415" s="170">
        <v>45135.645833333336</v>
      </c>
      <c r="C1415" s="169">
        <v>3713.9</v>
      </c>
      <c r="D1415" s="247">
        <f t="shared" si="25"/>
        <v>1.4647597557738257</v>
      </c>
      <c r="E1415" s="248">
        <v>-1.036559369004479E-2</v>
      </c>
    </row>
    <row r="1416" spans="2:5" ht="15" thickBot="1" x14ac:dyDescent="0.35">
      <c r="B1416" s="170">
        <v>43354.645833333336</v>
      </c>
      <c r="C1416" s="169">
        <v>1506.8</v>
      </c>
      <c r="D1416" s="247">
        <f t="shared" si="25"/>
        <v>0.16184748245816938</v>
      </c>
      <c r="E1416" s="248">
        <v>-1.0376986733219464E-2</v>
      </c>
    </row>
    <row r="1417" spans="2:5" ht="15" thickBot="1" x14ac:dyDescent="0.35">
      <c r="B1417" s="170">
        <v>43627.645833333336</v>
      </c>
      <c r="C1417" s="169">
        <v>1296.9000000000001</v>
      </c>
      <c r="D1417" s="247">
        <f t="shared" si="25"/>
        <v>0.1126935781390761</v>
      </c>
      <c r="E1417" s="248">
        <v>-1.0377718428080815E-2</v>
      </c>
    </row>
    <row r="1418" spans="2:5" ht="15" thickBot="1" x14ac:dyDescent="0.35">
      <c r="B1418" s="170">
        <v>43139.645833333336</v>
      </c>
      <c r="C1418" s="169">
        <v>1165.55</v>
      </c>
      <c r="D1418" s="247">
        <f t="shared" si="25"/>
        <v>-0.67811822537661726</v>
      </c>
      <c r="E1418" s="248">
        <v>-1.0400747155714044E-2</v>
      </c>
    </row>
    <row r="1419" spans="2:5" ht="15" thickBot="1" x14ac:dyDescent="0.35">
      <c r="B1419" s="170">
        <v>45621.645833333336</v>
      </c>
      <c r="C1419" s="169">
        <v>3621.05</v>
      </c>
      <c r="D1419" s="247">
        <f t="shared" si="25"/>
        <v>-9.7917341371664815E-2</v>
      </c>
      <c r="E1419" s="248">
        <v>-1.0412254212043755E-2</v>
      </c>
    </row>
    <row r="1420" spans="2:5" ht="15" thickBot="1" x14ac:dyDescent="0.35">
      <c r="B1420" s="170">
        <v>45370.645833333336</v>
      </c>
      <c r="C1420" s="169">
        <v>4014.1</v>
      </c>
      <c r="D1420" s="247">
        <f t="shared" si="25"/>
        <v>1.7558957811266351</v>
      </c>
      <c r="E1420" s="248">
        <v>-1.0415767870129549E-2</v>
      </c>
    </row>
    <row r="1421" spans="2:5" ht="15" thickBot="1" x14ac:dyDescent="0.35">
      <c r="B1421" s="170">
        <v>43525.645833333336</v>
      </c>
      <c r="C1421" s="169">
        <v>1456.55</v>
      </c>
      <c r="D1421" s="247">
        <f t="shared" si="25"/>
        <v>-0.20154040127179043</v>
      </c>
      <c r="E1421" s="248">
        <v>-1.0462311899181419E-2</v>
      </c>
    </row>
    <row r="1422" spans="2:5" ht="15" thickBot="1" x14ac:dyDescent="0.35">
      <c r="B1422" s="170">
        <v>43832.645833333336</v>
      </c>
      <c r="C1422" s="169">
        <v>1824.2</v>
      </c>
      <c r="D1422" s="247">
        <f t="shared" si="25"/>
        <v>-0.59265338022665104</v>
      </c>
      <c r="E1422" s="248">
        <v>-1.0496053809226715E-2</v>
      </c>
    </row>
    <row r="1423" spans="2:5" ht="15" thickBot="1" x14ac:dyDescent="0.35">
      <c r="B1423" s="170">
        <v>44818.645833333336</v>
      </c>
      <c r="C1423" s="169">
        <v>4478.25</v>
      </c>
      <c r="D1423" s="247">
        <f t="shared" si="25"/>
        <v>0.15319247556877441</v>
      </c>
      <c r="E1423" s="248">
        <v>-1.0517361379630425E-2</v>
      </c>
    </row>
    <row r="1424" spans="2:5" ht="15" thickBot="1" x14ac:dyDescent="0.35">
      <c r="B1424" s="170">
        <v>44755.645833333336</v>
      </c>
      <c r="C1424" s="169">
        <v>3883.35</v>
      </c>
      <c r="D1424" s="247">
        <f t="shared" si="25"/>
        <v>1.5515621406747919</v>
      </c>
      <c r="E1424" s="248">
        <v>-1.0573652496273744E-2</v>
      </c>
    </row>
    <row r="1425" spans="2:5" ht="15" thickBot="1" x14ac:dyDescent="0.35">
      <c r="B1425" s="170">
        <v>43284.645833333336</v>
      </c>
      <c r="C1425" s="169">
        <v>1521.95</v>
      </c>
      <c r="D1425" s="247">
        <f t="shared" si="25"/>
        <v>-0.24618623080733035</v>
      </c>
      <c r="E1425" s="248">
        <v>-1.0628616004680432E-2</v>
      </c>
    </row>
    <row r="1426" spans="2:5" ht="15" thickBot="1" x14ac:dyDescent="0.35">
      <c r="B1426" s="170">
        <v>44032.645833333336</v>
      </c>
      <c r="C1426" s="169">
        <v>2019</v>
      </c>
      <c r="D1426" s="247">
        <f t="shared" si="25"/>
        <v>-0.43831634001474457</v>
      </c>
      <c r="E1426" s="248">
        <v>-1.0682085456683631E-2</v>
      </c>
    </row>
    <row r="1427" spans="2:5" ht="15" thickBot="1" x14ac:dyDescent="0.35">
      <c r="B1427" s="170">
        <v>44421.645833333336</v>
      </c>
      <c r="C1427" s="169">
        <v>3594.55</v>
      </c>
      <c r="D1427" s="247">
        <f t="shared" si="25"/>
        <v>1.6721305382099318</v>
      </c>
      <c r="E1427" s="248">
        <v>-1.0719691757258792E-2</v>
      </c>
    </row>
    <row r="1428" spans="2:5" ht="15" thickBot="1" x14ac:dyDescent="0.35">
      <c r="B1428" s="170">
        <v>43173.645833333336</v>
      </c>
      <c r="C1428" s="169">
        <v>1345.2</v>
      </c>
      <c r="D1428" s="247">
        <f t="shared" si="25"/>
        <v>-0.42499305392293052</v>
      </c>
      <c r="E1428" s="248">
        <v>-1.0736873069568987E-2</v>
      </c>
    </row>
    <row r="1429" spans="2:5" ht="15" thickBot="1" x14ac:dyDescent="0.35">
      <c r="B1429" s="170">
        <v>43878.645833333336</v>
      </c>
      <c r="C1429" s="169">
        <v>2339.4499999999998</v>
      </c>
      <c r="D1429" s="247">
        <f t="shared" si="25"/>
        <v>-0.37118320610687028</v>
      </c>
      <c r="E1429" s="248">
        <v>-1.0761554399763319E-2</v>
      </c>
    </row>
    <row r="1430" spans="2:5" ht="15" thickBot="1" x14ac:dyDescent="0.35">
      <c r="B1430" s="170">
        <v>45169.645833333336</v>
      </c>
      <c r="C1430" s="169">
        <v>3720.4</v>
      </c>
      <c r="D1430" s="247">
        <f t="shared" si="25"/>
        <v>-0.29849437630221831</v>
      </c>
      <c r="E1430" s="248">
        <v>-1.0808151978835721E-2</v>
      </c>
    </row>
    <row r="1431" spans="2:5" ht="15" thickBot="1" x14ac:dyDescent="0.35">
      <c r="B1431" s="170">
        <v>45541.645833333336</v>
      </c>
      <c r="C1431" s="169">
        <v>5303.45</v>
      </c>
      <c r="D1431" s="247">
        <f t="shared" si="25"/>
        <v>0.23274409306974425</v>
      </c>
      <c r="E1431" s="248">
        <v>-1.0808743984780062E-2</v>
      </c>
    </row>
    <row r="1432" spans="2:5" ht="15" thickBot="1" x14ac:dyDescent="0.35">
      <c r="B1432" s="170">
        <v>45443.645833333336</v>
      </c>
      <c r="C1432" s="169">
        <v>4302.1499999999996</v>
      </c>
      <c r="D1432" s="247">
        <f t="shared" si="25"/>
        <v>2.14484649122807</v>
      </c>
      <c r="E1432" s="248">
        <v>-1.0852196305195195E-2</v>
      </c>
    </row>
    <row r="1433" spans="2:5" ht="15" thickBot="1" x14ac:dyDescent="0.35">
      <c r="B1433" s="170">
        <v>43482.645833333336</v>
      </c>
      <c r="C1433" s="169">
        <v>1368</v>
      </c>
      <c r="D1433" s="247">
        <f t="shared" si="25"/>
        <v>-8.5958640964821489E-2</v>
      </c>
      <c r="E1433" s="248">
        <v>-1.0881746863815447E-2</v>
      </c>
    </row>
    <row r="1434" spans="2:5" ht="15" thickBot="1" x14ac:dyDescent="0.35">
      <c r="B1434" s="170">
        <v>43440.645833333336</v>
      </c>
      <c r="C1434" s="169">
        <v>1496.65</v>
      </c>
      <c r="D1434" s="247">
        <f t="shared" si="25"/>
        <v>6.7472629364145456E-2</v>
      </c>
      <c r="E1434" s="248">
        <v>-1.0904404718633314E-2</v>
      </c>
    </row>
    <row r="1435" spans="2:5" ht="15" thickBot="1" x14ac:dyDescent="0.35">
      <c r="B1435" s="170">
        <v>43665.645833333336</v>
      </c>
      <c r="C1435" s="169">
        <v>1402.05</v>
      </c>
      <c r="D1435" s="247">
        <f t="shared" si="25"/>
        <v>-0.34227007247906555</v>
      </c>
      <c r="E1435" s="248">
        <v>-1.0934358576417058E-2</v>
      </c>
    </row>
    <row r="1436" spans="2:5" ht="15" thickBot="1" x14ac:dyDescent="0.35">
      <c r="B1436" s="170">
        <v>43864.645833333336</v>
      </c>
      <c r="C1436" s="169">
        <v>2131.65</v>
      </c>
      <c r="D1436" s="247">
        <f t="shared" si="25"/>
        <v>-0.49925416084285695</v>
      </c>
      <c r="E1436" s="248">
        <v>-1.0972950401336282E-2</v>
      </c>
    </row>
    <row r="1437" spans="2:5" ht="15" thickBot="1" x14ac:dyDescent="0.35">
      <c r="B1437" s="170">
        <v>44796.645833333336</v>
      </c>
      <c r="C1437" s="169">
        <v>4256.95</v>
      </c>
      <c r="D1437" s="247">
        <f t="shared" si="25"/>
        <v>-3.5109987873567901E-2</v>
      </c>
      <c r="E1437" s="248">
        <v>-1.0989138642039887E-2</v>
      </c>
    </row>
    <row r="1438" spans="2:5" ht="15" thickBot="1" x14ac:dyDescent="0.35">
      <c r="B1438" s="170">
        <v>45384.645833333336</v>
      </c>
      <c r="C1438" s="169">
        <v>4411.8500000000004</v>
      </c>
      <c r="D1438" s="247">
        <f t="shared" si="25"/>
        <v>1.9256299734748012</v>
      </c>
      <c r="E1438" s="248">
        <v>-1.0995539016790172E-2</v>
      </c>
    </row>
    <row r="1439" spans="2:5" ht="15" thickBot="1" x14ac:dyDescent="0.35">
      <c r="B1439" s="170">
        <v>43711.645833333336</v>
      </c>
      <c r="C1439" s="169">
        <v>1508</v>
      </c>
      <c r="D1439" s="247">
        <f t="shared" si="25"/>
        <v>-0.5643633002079963</v>
      </c>
      <c r="E1439" s="248">
        <v>-1.1050267239400538E-2</v>
      </c>
    </row>
    <row r="1440" spans="2:5" ht="15" thickBot="1" x14ac:dyDescent="0.35">
      <c r="B1440" s="170">
        <v>45042.645833333336</v>
      </c>
      <c r="C1440" s="169">
        <v>3461.6</v>
      </c>
      <c r="D1440" s="247">
        <f t="shared" si="25"/>
        <v>1.3299454802450021</v>
      </c>
      <c r="E1440" s="248">
        <v>-1.1197440585009218E-2</v>
      </c>
    </row>
    <row r="1441" spans="2:5" ht="15" thickBot="1" x14ac:dyDescent="0.35">
      <c r="B1441" s="170">
        <v>43438.645833333336</v>
      </c>
      <c r="C1441" s="169">
        <v>1485.7</v>
      </c>
      <c r="D1441" s="247">
        <f t="shared" si="25"/>
        <v>-0.27178707969806881</v>
      </c>
      <c r="E1441" s="248">
        <v>-1.1214269075904237E-2</v>
      </c>
    </row>
    <row r="1442" spans="2:5" ht="15" thickBot="1" x14ac:dyDescent="0.35">
      <c r="B1442" s="170">
        <v>44042.645833333336</v>
      </c>
      <c r="C1442" s="169">
        <v>2040.2</v>
      </c>
      <c r="D1442" s="247">
        <f t="shared" si="25"/>
        <v>-0.56300001070973404</v>
      </c>
      <c r="E1442" s="248">
        <v>-1.1267537376723339E-2</v>
      </c>
    </row>
    <row r="1443" spans="2:5" ht="15" thickBot="1" x14ac:dyDescent="0.35">
      <c r="B1443" s="170">
        <v>44557.645833333336</v>
      </c>
      <c r="C1443" s="169">
        <v>4668.6499999999996</v>
      </c>
      <c r="D1443" s="247">
        <f t="shared" si="25"/>
        <v>1.0022086415782137</v>
      </c>
      <c r="E1443" s="248">
        <v>-1.1287709526784524E-2</v>
      </c>
    </row>
    <row r="1444" spans="2:5" ht="15" thickBot="1" x14ac:dyDescent="0.35">
      <c r="B1444" s="170">
        <v>43886.645833333336</v>
      </c>
      <c r="C1444" s="169">
        <v>2331.75</v>
      </c>
      <c r="D1444" s="247">
        <f t="shared" si="25"/>
        <v>1.7809205787991961E-2</v>
      </c>
      <c r="E1444" s="248">
        <v>-1.1300033921302617E-2</v>
      </c>
    </row>
    <row r="1445" spans="2:5" ht="15" thickBot="1" x14ac:dyDescent="0.35">
      <c r="B1445" s="170">
        <v>44011.645833333336</v>
      </c>
      <c r="C1445" s="169">
        <v>2290.9499999999998</v>
      </c>
      <c r="D1445" s="247">
        <f t="shared" si="25"/>
        <v>-0.42853401182369233</v>
      </c>
      <c r="E1445" s="248">
        <v>-1.1306993504952321E-2</v>
      </c>
    </row>
    <row r="1446" spans="2:5" ht="15" thickBot="1" x14ac:dyDescent="0.35">
      <c r="B1446" s="170">
        <v>44670.645833333336</v>
      </c>
      <c r="C1446" s="169">
        <v>4008.9</v>
      </c>
      <c r="D1446" s="247">
        <f t="shared" si="25"/>
        <v>1.7048481619605822E-2</v>
      </c>
      <c r="E1446" s="248">
        <v>-1.1319917135247137E-2</v>
      </c>
    </row>
    <row r="1447" spans="2:5" ht="15" thickBot="1" x14ac:dyDescent="0.35">
      <c r="B1447" s="170">
        <v>44750.645833333336</v>
      </c>
      <c r="C1447" s="169">
        <v>3941.7</v>
      </c>
      <c r="D1447" s="247">
        <f t="shared" si="25"/>
        <v>1.0599425137183172</v>
      </c>
      <c r="E1447" s="248">
        <v>-1.1324730050039528E-2</v>
      </c>
    </row>
    <row r="1448" spans="2:5" ht="15" thickBot="1" x14ac:dyDescent="0.35">
      <c r="B1448" s="170">
        <v>43817.645833333336</v>
      </c>
      <c r="C1448" s="169">
        <v>1913.5</v>
      </c>
      <c r="D1448" s="247">
        <f t="shared" si="25"/>
        <v>-0.53930420127603229</v>
      </c>
      <c r="E1448" s="248">
        <v>-1.1417648274436821E-2</v>
      </c>
    </row>
    <row r="1449" spans="2:5" ht="15" thickBot="1" x14ac:dyDescent="0.35">
      <c r="B1449" s="170">
        <v>45813.645833333336</v>
      </c>
      <c r="C1449" s="168">
        <v>4153.5</v>
      </c>
      <c r="D1449" s="247">
        <f t="shared" si="25"/>
        <v>-0.17315310652360005</v>
      </c>
      <c r="E1449" s="248">
        <v>-1.1448019801980283E-2</v>
      </c>
    </row>
    <row r="1450" spans="2:5" ht="15" thickBot="1" x14ac:dyDescent="0.35">
      <c r="B1450" s="170">
        <v>44515.645833333336</v>
      </c>
      <c r="C1450" s="169">
        <v>5023.3</v>
      </c>
      <c r="D1450" s="247">
        <f t="shared" si="25"/>
        <v>8.7470909779726186E-2</v>
      </c>
      <c r="E1450" s="248">
        <v>-1.145331103020758E-2</v>
      </c>
    </row>
    <row r="1451" spans="2:5" ht="15" thickBot="1" x14ac:dyDescent="0.35">
      <c r="B1451" s="170">
        <v>45387.645833333336</v>
      </c>
      <c r="C1451" s="169">
        <v>4619.25</v>
      </c>
      <c r="D1451" s="247">
        <f t="shared" si="25"/>
        <v>0.32771406398206437</v>
      </c>
      <c r="E1451" s="248">
        <v>-1.1459938366718067E-2</v>
      </c>
    </row>
    <row r="1452" spans="2:5" ht="15" thickBot="1" x14ac:dyDescent="0.35">
      <c r="B1452" s="170">
        <v>44732.645833333336</v>
      </c>
      <c r="C1452" s="169">
        <v>3479.1</v>
      </c>
      <c r="D1452" s="247">
        <f t="shared" si="25"/>
        <v>0.85033905065815707</v>
      </c>
      <c r="E1452" s="248">
        <v>-1.1492946541461343E-2</v>
      </c>
    </row>
    <row r="1453" spans="2:5" ht="15" thickBot="1" x14ac:dyDescent="0.35">
      <c r="B1453" s="170">
        <v>43732.645833333336</v>
      </c>
      <c r="C1453" s="169">
        <v>1880.25</v>
      </c>
      <c r="D1453" s="247">
        <f t="shared" si="25"/>
        <v>-0.48226012969311471</v>
      </c>
      <c r="E1453" s="248">
        <v>-1.1539270318578512E-2</v>
      </c>
    </row>
    <row r="1454" spans="2:5" ht="15" thickBot="1" x14ac:dyDescent="0.35">
      <c r="B1454" s="170">
        <v>45727.645833333336</v>
      </c>
      <c r="C1454" s="169">
        <v>3631.65</v>
      </c>
      <c r="D1454" s="247">
        <f t="shared" si="25"/>
        <v>-0.2642449781703623</v>
      </c>
      <c r="E1454" s="248">
        <v>-1.1580752272603486E-2</v>
      </c>
    </row>
    <row r="1455" spans="2:5" ht="15" thickBot="1" x14ac:dyDescent="0.35">
      <c r="B1455" s="170">
        <v>45504.645833333336</v>
      </c>
      <c r="C1455" s="169">
        <v>4935.95</v>
      </c>
      <c r="D1455" s="247">
        <f t="shared" si="25"/>
        <v>0.24090554843251127</v>
      </c>
      <c r="E1455" s="248">
        <v>-1.15843646121191E-2</v>
      </c>
    </row>
    <row r="1456" spans="2:5" ht="15" thickBot="1" x14ac:dyDescent="0.35">
      <c r="B1456" s="170">
        <v>44678.645833333336</v>
      </c>
      <c r="C1456" s="169">
        <v>3977.7</v>
      </c>
      <c r="D1456" s="247">
        <f t="shared" si="25"/>
        <v>0.8865964712578257</v>
      </c>
      <c r="E1456" s="248">
        <v>-1.1641053036985592E-2</v>
      </c>
    </row>
    <row r="1457" spans="2:5" ht="15" thickBot="1" x14ac:dyDescent="0.35">
      <c r="B1457" s="170">
        <v>44102.645833333336</v>
      </c>
      <c r="C1457" s="169">
        <v>2108.4</v>
      </c>
      <c r="D1457" s="247">
        <f t="shared" si="25"/>
        <v>-0.56984596552075895</v>
      </c>
      <c r="E1457" s="248">
        <v>-1.16488925348646E-2</v>
      </c>
    </row>
    <row r="1458" spans="2:5" ht="15" thickBot="1" x14ac:dyDescent="0.35">
      <c r="B1458" s="170">
        <v>45527.645833333336</v>
      </c>
      <c r="C1458" s="169">
        <v>4901.5</v>
      </c>
      <c r="D1458" s="247">
        <f t="shared" si="25"/>
        <v>3.1286219676549867</v>
      </c>
      <c r="E1458" s="248">
        <v>-1.1674799370891567E-2</v>
      </c>
    </row>
    <row r="1459" spans="2:5" ht="15" thickBot="1" x14ac:dyDescent="0.35">
      <c r="B1459" s="170">
        <v>43143.645833333336</v>
      </c>
      <c r="C1459" s="169">
        <v>1187.2</v>
      </c>
      <c r="D1459" s="247">
        <f t="shared" si="25"/>
        <v>-0.3481758036621187</v>
      </c>
      <c r="E1459" s="248">
        <v>-1.1819543865490298E-2</v>
      </c>
    </row>
    <row r="1460" spans="2:5" ht="15" thickBot="1" x14ac:dyDescent="0.35">
      <c r="B1460" s="170">
        <v>43748.645833333336</v>
      </c>
      <c r="C1460" s="169">
        <v>1821.35</v>
      </c>
      <c r="D1460" s="247">
        <f t="shared" si="25"/>
        <v>-0.18696991340058922</v>
      </c>
      <c r="E1460" s="248">
        <v>-1.1854383680555629E-2</v>
      </c>
    </row>
    <row r="1461" spans="2:5" ht="15" thickBot="1" x14ac:dyDescent="0.35">
      <c r="B1461" s="170">
        <v>44132.645833333336</v>
      </c>
      <c r="C1461" s="169">
        <v>2240.1999999999998</v>
      </c>
      <c r="D1461" s="247">
        <f t="shared" si="25"/>
        <v>-0.51268748436497324</v>
      </c>
      <c r="E1461" s="248">
        <v>-1.1865378677605792E-2</v>
      </c>
    </row>
    <row r="1462" spans="2:5" ht="15" thickBot="1" x14ac:dyDescent="0.35">
      <c r="B1462" s="170">
        <v>45426.645833333336</v>
      </c>
      <c r="C1462" s="169">
        <v>4597.05</v>
      </c>
      <c r="D1462" s="247">
        <f t="shared" si="25"/>
        <v>0.89436271479787388</v>
      </c>
      <c r="E1462" s="248">
        <v>-1.1907704542767711E-2</v>
      </c>
    </row>
    <row r="1463" spans="2:5" ht="15" thickBot="1" x14ac:dyDescent="0.35">
      <c r="B1463" s="170">
        <v>44166.645833333336</v>
      </c>
      <c r="C1463" s="169">
        <v>2426.6999999999998</v>
      </c>
      <c r="D1463" s="247">
        <f t="shared" si="25"/>
        <v>-0.11592407737986822</v>
      </c>
      <c r="E1463" s="248">
        <v>-1.1929967426710172E-2</v>
      </c>
    </row>
    <row r="1464" spans="2:5" ht="15" thickBot="1" x14ac:dyDescent="0.35">
      <c r="B1464" s="170">
        <v>44214.645833333336</v>
      </c>
      <c r="C1464" s="169">
        <v>2744.9</v>
      </c>
      <c r="D1464" s="247">
        <f t="shared" si="25"/>
        <v>-0.44662621212426667</v>
      </c>
      <c r="E1464" s="248">
        <v>-1.2057299164987042E-2</v>
      </c>
    </row>
    <row r="1465" spans="2:5" ht="15" thickBot="1" x14ac:dyDescent="0.35">
      <c r="B1465" s="170">
        <v>45518.645833333336</v>
      </c>
      <c r="C1465" s="169">
        <v>4960.3</v>
      </c>
      <c r="D1465" s="247">
        <f t="shared" si="25"/>
        <v>3.0193663398428008</v>
      </c>
      <c r="E1465" s="248">
        <v>-1.214824846155378E-2</v>
      </c>
    </row>
    <row r="1466" spans="2:5" ht="15" thickBot="1" x14ac:dyDescent="0.35">
      <c r="B1466" s="170">
        <v>43109.645833333336</v>
      </c>
      <c r="C1466" s="169">
        <v>1234.0999999999999</v>
      </c>
      <c r="D1466" s="247">
        <f t="shared" si="25"/>
        <v>-0.35880916506468546</v>
      </c>
      <c r="E1466" s="248">
        <v>-1.2166813415512723E-2</v>
      </c>
    </row>
    <row r="1467" spans="2:5" ht="15" thickBot="1" x14ac:dyDescent="0.35">
      <c r="B1467" s="170">
        <v>43853.645833333336</v>
      </c>
      <c r="C1467" s="169">
        <v>1924.7</v>
      </c>
      <c r="D1467" s="247">
        <f t="shared" si="25"/>
        <v>-0.51272184105926732</v>
      </c>
      <c r="E1467" s="248">
        <v>-1.226521605255048E-2</v>
      </c>
    </row>
    <row r="1468" spans="2:5" ht="15" thickBot="1" x14ac:dyDescent="0.35">
      <c r="B1468" s="170">
        <v>45866.645833333336</v>
      </c>
      <c r="C1468" s="168">
        <v>3949.9</v>
      </c>
      <c r="D1468" s="247">
        <f t="shared" si="25"/>
        <v>0.94950890874093097</v>
      </c>
      <c r="E1468" s="248">
        <v>-1.2278069517379323E-2</v>
      </c>
    </row>
    <row r="1469" spans="2:5" ht="15" thickBot="1" x14ac:dyDescent="0.35">
      <c r="B1469" s="170">
        <v>44039.645833333336</v>
      </c>
      <c r="C1469" s="169">
        <v>2026.1</v>
      </c>
      <c r="D1469" s="247">
        <f t="shared" si="25"/>
        <v>0.32070921061208529</v>
      </c>
      <c r="E1469" s="248">
        <v>-1.2333040850151205E-2</v>
      </c>
    </row>
    <row r="1470" spans="2:5" ht="15" thickBot="1" x14ac:dyDescent="0.35">
      <c r="B1470" s="170">
        <v>43704.645833333336</v>
      </c>
      <c r="C1470" s="169">
        <v>1534.1</v>
      </c>
      <c r="D1470" s="247">
        <f t="shared" si="25"/>
        <v>-0.62189606516568696</v>
      </c>
      <c r="E1470" s="248">
        <v>-1.2360780274254843E-2</v>
      </c>
    </row>
    <row r="1471" spans="2:5" ht="15" thickBot="1" x14ac:dyDescent="0.35">
      <c r="B1471" s="170">
        <v>44907.645833333336</v>
      </c>
      <c r="C1471" s="169">
        <v>4057.35</v>
      </c>
      <c r="D1471" s="247">
        <f t="shared" si="25"/>
        <v>-0.13434889749415949</v>
      </c>
      <c r="E1471" s="248">
        <v>-1.2557952761654416E-2</v>
      </c>
    </row>
    <row r="1472" spans="2:5" ht="15" thickBot="1" x14ac:dyDescent="0.35">
      <c r="B1472" s="170">
        <v>45449.645833333336</v>
      </c>
      <c r="C1472" s="169">
        <v>4687.05</v>
      </c>
      <c r="D1472" s="247">
        <f t="shared" si="25"/>
        <v>1.3478685568301358</v>
      </c>
      <c r="E1472" s="248">
        <v>-1.2681025857075111E-2</v>
      </c>
    </row>
    <row r="1473" spans="2:5" ht="15" thickBot="1" x14ac:dyDescent="0.35">
      <c r="B1473" s="170">
        <v>43906.645833333336</v>
      </c>
      <c r="C1473" s="169">
        <v>1996.3</v>
      </c>
      <c r="D1473" s="247">
        <f t="shared" si="25"/>
        <v>-0.49745745644950157</v>
      </c>
      <c r="E1473" s="248">
        <v>-1.2685773634362912E-2</v>
      </c>
    </row>
    <row r="1474" spans="2:5" ht="15" thickBot="1" x14ac:dyDescent="0.35">
      <c r="B1474" s="170">
        <v>45786.645833333336</v>
      </c>
      <c r="C1474" s="168">
        <v>3972.4</v>
      </c>
      <c r="D1474" s="247">
        <f t="shared" si="25"/>
        <v>1.1593326276525804E-3</v>
      </c>
      <c r="E1474" s="248">
        <v>-1.2700385236734163E-2</v>
      </c>
    </row>
    <row r="1475" spans="2:5" ht="15" thickBot="1" x14ac:dyDescent="0.35">
      <c r="B1475" s="170">
        <v>45364.645833333336</v>
      </c>
      <c r="C1475" s="169">
        <v>3967.8</v>
      </c>
      <c r="D1475" s="247">
        <f t="shared" si="25"/>
        <v>1.9988662988436252</v>
      </c>
      <c r="E1475" s="248">
        <v>-1.2800895689494263E-2</v>
      </c>
    </row>
    <row r="1476" spans="2:5" ht="15" thickBot="1" x14ac:dyDescent="0.35">
      <c r="B1476" s="170">
        <v>43616.645833333336</v>
      </c>
      <c r="C1476" s="169">
        <v>1323.1</v>
      </c>
      <c r="D1476" s="247">
        <f t="shared" si="25"/>
        <v>-0.71240707733773856</v>
      </c>
      <c r="E1476" s="248">
        <v>-1.2832947847496863E-2</v>
      </c>
    </row>
    <row r="1477" spans="2:5" ht="15" thickBot="1" x14ac:dyDescent="0.35">
      <c r="B1477" s="170">
        <v>45418.645833333336</v>
      </c>
      <c r="C1477" s="169">
        <v>4600.6000000000004</v>
      </c>
      <c r="D1477" s="247">
        <f t="shared" ref="D1477:D1540" si="26">(C1477-C1478)/C1478</f>
        <v>0.56161640162251147</v>
      </c>
      <c r="E1477" s="248">
        <v>-1.2842107521805717E-2</v>
      </c>
    </row>
    <row r="1478" spans="2:5" ht="15" thickBot="1" x14ac:dyDescent="0.35">
      <c r="B1478" s="170">
        <v>44232.645833333336</v>
      </c>
      <c r="C1478" s="169">
        <v>2946.05</v>
      </c>
      <c r="D1478" s="247">
        <f t="shared" si="26"/>
        <v>-0.32839019274828735</v>
      </c>
      <c r="E1478" s="248">
        <v>-1.2850154134834441E-2</v>
      </c>
    </row>
    <row r="1479" spans="2:5" ht="15" thickBot="1" x14ac:dyDescent="0.35">
      <c r="B1479" s="170">
        <v>44834.645833333336</v>
      </c>
      <c r="C1479" s="169">
        <v>4386.55</v>
      </c>
      <c r="D1479" s="247">
        <f t="shared" si="26"/>
        <v>-6.1850765204980182E-3</v>
      </c>
      <c r="E1479" s="248">
        <v>-1.2872011251758046E-2</v>
      </c>
    </row>
    <row r="1480" spans="2:5" ht="15" thickBot="1" x14ac:dyDescent="0.35">
      <c r="B1480" s="170">
        <v>44840.645833333336</v>
      </c>
      <c r="C1480" s="169">
        <v>4413.8500000000004</v>
      </c>
      <c r="D1480" s="247">
        <f t="shared" si="26"/>
        <v>0.10910507205407517</v>
      </c>
      <c r="E1480" s="248">
        <v>-1.288172740386216E-2</v>
      </c>
    </row>
    <row r="1481" spans="2:5" ht="15" thickBot="1" x14ac:dyDescent="0.35">
      <c r="B1481" s="170">
        <v>45362.645833333336</v>
      </c>
      <c r="C1481" s="169">
        <v>3979.65</v>
      </c>
      <c r="D1481" s="247">
        <f t="shared" si="26"/>
        <v>0.88025324230469382</v>
      </c>
      <c r="E1481" s="248">
        <v>-1.291018676984888E-2</v>
      </c>
    </row>
    <row r="1482" spans="2:5" ht="15" thickBot="1" x14ac:dyDescent="0.35">
      <c r="B1482" s="170">
        <v>44127.645833333336</v>
      </c>
      <c r="C1482" s="169">
        <v>2116.5500000000002</v>
      </c>
      <c r="D1482" s="247">
        <f t="shared" si="26"/>
        <v>0.71020523594053031</v>
      </c>
      <c r="E1482" s="248">
        <v>-1.2918269791302235E-2</v>
      </c>
    </row>
    <row r="1483" spans="2:5" ht="15" thickBot="1" x14ac:dyDescent="0.35">
      <c r="B1483" s="170">
        <v>43600.645833333336</v>
      </c>
      <c r="C1483" s="169">
        <v>1237.5999999999999</v>
      </c>
      <c r="D1483" s="247">
        <f t="shared" si="26"/>
        <v>-0.35440792905581642</v>
      </c>
      <c r="E1483" s="248">
        <v>-1.2920721008135306E-2</v>
      </c>
    </row>
    <row r="1484" spans="2:5" ht="15" thickBot="1" x14ac:dyDescent="0.35">
      <c r="B1484" s="170">
        <v>43765.809027777781</v>
      </c>
      <c r="C1484" s="169">
        <v>1917</v>
      </c>
      <c r="D1484" s="247">
        <f t="shared" si="26"/>
        <v>-0.59178023850085182</v>
      </c>
      <c r="E1484" s="248">
        <v>-1.2924154266000675E-2</v>
      </c>
    </row>
    <row r="1485" spans="2:5" ht="15" thickBot="1" x14ac:dyDescent="0.35">
      <c r="B1485" s="170">
        <v>45401.645833333336</v>
      </c>
      <c r="C1485" s="169">
        <v>4696</v>
      </c>
      <c r="D1485" s="247">
        <f t="shared" si="26"/>
        <v>0.26670712792501178</v>
      </c>
      <c r="E1485" s="248">
        <v>-1.3030685161832704E-2</v>
      </c>
    </row>
    <row r="1486" spans="2:5" ht="15" thickBot="1" x14ac:dyDescent="0.35">
      <c r="B1486" s="170">
        <v>45341.645833333336</v>
      </c>
      <c r="C1486" s="169">
        <v>3707.25</v>
      </c>
      <c r="D1486" s="247">
        <f t="shared" si="26"/>
        <v>1.6455791051166773</v>
      </c>
      <c r="E1486" s="248">
        <v>-1.3031787444757952E-2</v>
      </c>
    </row>
    <row r="1487" spans="2:5" ht="15" thickBot="1" x14ac:dyDescent="0.35">
      <c r="B1487" s="170">
        <v>43195.645833333336</v>
      </c>
      <c r="C1487" s="169">
        <v>1401.3</v>
      </c>
      <c r="D1487" s="247">
        <f t="shared" si="26"/>
        <v>-0.71014282907052506</v>
      </c>
      <c r="E1487" s="248">
        <v>-1.306476036201004E-2</v>
      </c>
    </row>
    <row r="1488" spans="2:5" ht="15" thickBot="1" x14ac:dyDescent="0.35">
      <c r="B1488" s="170">
        <v>45483.645833333336</v>
      </c>
      <c r="C1488" s="169">
        <v>4834.45</v>
      </c>
      <c r="D1488" s="247">
        <f t="shared" si="26"/>
        <v>0.33202457706507954</v>
      </c>
      <c r="E1488" s="248">
        <v>-1.3156014615525898E-2</v>
      </c>
    </row>
    <row r="1489" spans="2:5" ht="15" thickBot="1" x14ac:dyDescent="0.35">
      <c r="B1489" s="170">
        <v>45089.645833333336</v>
      </c>
      <c r="C1489" s="169">
        <v>3629.4</v>
      </c>
      <c r="D1489" s="247">
        <f t="shared" si="26"/>
        <v>0.57351889185146643</v>
      </c>
      <c r="E1489" s="248">
        <v>-1.3186872943799451E-2</v>
      </c>
    </row>
    <row r="1490" spans="2:5" ht="15" thickBot="1" x14ac:dyDescent="0.35">
      <c r="B1490" s="170">
        <v>43969.645833333336</v>
      </c>
      <c r="C1490" s="169">
        <v>2306.5500000000002</v>
      </c>
      <c r="D1490" s="247">
        <f t="shared" si="26"/>
        <v>-0.34381667662370907</v>
      </c>
      <c r="E1490" s="248">
        <v>-1.3240641711229869E-2</v>
      </c>
    </row>
    <row r="1491" spans="2:5" ht="15" thickBot="1" x14ac:dyDescent="0.35">
      <c r="B1491" s="170">
        <v>44951.645833333336</v>
      </c>
      <c r="C1491" s="169">
        <v>3515.1</v>
      </c>
      <c r="D1491" s="247">
        <f t="shared" si="26"/>
        <v>5.3292381451794116E-2</v>
      </c>
      <c r="E1491" s="248">
        <v>-1.3263716367004926E-2</v>
      </c>
    </row>
    <row r="1492" spans="2:5" ht="15" thickBot="1" x14ac:dyDescent="0.35">
      <c r="B1492" s="170">
        <v>45000.645833333336</v>
      </c>
      <c r="C1492" s="169">
        <v>3337.25</v>
      </c>
      <c r="D1492" s="247">
        <f t="shared" si="26"/>
        <v>-0.15608800101150588</v>
      </c>
      <c r="E1492" s="248">
        <v>-1.3275579143444285E-2</v>
      </c>
    </row>
    <row r="1493" spans="2:5" ht="15" thickBot="1" x14ac:dyDescent="0.35">
      <c r="B1493" s="170">
        <v>45281.645833333336</v>
      </c>
      <c r="C1493" s="169">
        <v>3954.5</v>
      </c>
      <c r="D1493" s="247">
        <f t="shared" si="26"/>
        <v>5.5208666880136648E-2</v>
      </c>
      <c r="E1493" s="248">
        <v>-1.333599471051281E-2</v>
      </c>
    </row>
    <row r="1494" spans="2:5" ht="15" thickBot="1" x14ac:dyDescent="0.35">
      <c r="B1494" s="170">
        <v>45239.645833333336</v>
      </c>
      <c r="C1494" s="169">
        <v>3747.6</v>
      </c>
      <c r="D1494" s="247">
        <f t="shared" si="26"/>
        <v>0.63322583456811643</v>
      </c>
      <c r="E1494" s="248">
        <v>-1.3374052232519003E-2</v>
      </c>
    </row>
    <row r="1495" spans="2:5" ht="15" thickBot="1" x14ac:dyDescent="0.35">
      <c r="B1495" s="170">
        <v>44141.645833333336</v>
      </c>
      <c r="C1495" s="169">
        <v>2294.6</v>
      </c>
      <c r="D1495" s="247">
        <f t="shared" si="26"/>
        <v>-0.37572097072586791</v>
      </c>
      <c r="E1495" s="248">
        <v>-1.3435948147988907E-2</v>
      </c>
    </row>
    <row r="1496" spans="2:5" ht="15" thickBot="1" x14ac:dyDescent="0.35">
      <c r="B1496" s="170">
        <v>45198.645833333336</v>
      </c>
      <c r="C1496" s="169">
        <v>3675.6</v>
      </c>
      <c r="D1496" s="247">
        <f t="shared" si="26"/>
        <v>-0.14788454851049035</v>
      </c>
      <c r="E1496" s="248">
        <v>-1.3447137450680385E-2</v>
      </c>
    </row>
    <row r="1497" spans="2:5" ht="15" thickBot="1" x14ac:dyDescent="0.35">
      <c r="B1497" s="170">
        <v>45835.645833333336</v>
      </c>
      <c r="C1497" s="168">
        <v>4313.5</v>
      </c>
      <c r="D1497" s="247">
        <f t="shared" si="26"/>
        <v>1.7052367513327062</v>
      </c>
      <c r="E1497" s="248">
        <v>-1.3448299521990755E-2</v>
      </c>
    </row>
    <row r="1498" spans="2:5" ht="15" thickBot="1" x14ac:dyDescent="0.35">
      <c r="B1498" s="170">
        <v>43448.645833333336</v>
      </c>
      <c r="C1498" s="169">
        <v>1594.5</v>
      </c>
      <c r="D1498" s="247">
        <f t="shared" si="26"/>
        <v>-0.59385626408894665</v>
      </c>
      <c r="E1498" s="248">
        <v>-1.3457076566125291E-2</v>
      </c>
    </row>
    <row r="1499" spans="2:5" ht="15" thickBot="1" x14ac:dyDescent="0.35">
      <c r="B1499" s="170">
        <v>45358.645833333336</v>
      </c>
      <c r="C1499" s="169">
        <v>3925.95</v>
      </c>
      <c r="D1499" s="247">
        <f t="shared" si="26"/>
        <v>-1.9101039376374244E-2</v>
      </c>
      <c r="E1499" s="248">
        <v>-1.3493648938977114E-2</v>
      </c>
    </row>
    <row r="1500" spans="2:5" ht="15" thickBot="1" x14ac:dyDescent="0.35">
      <c r="B1500" s="170">
        <v>44904.645833333336</v>
      </c>
      <c r="C1500" s="169">
        <v>4002.4</v>
      </c>
      <c r="D1500" s="247">
        <f t="shared" si="26"/>
        <v>0.52428829858135773</v>
      </c>
      <c r="E1500" s="248">
        <v>-1.3543322612049692E-2</v>
      </c>
    </row>
    <row r="1501" spans="2:5" ht="15" thickBot="1" x14ac:dyDescent="0.35">
      <c r="B1501" s="170">
        <v>44187.645833333336</v>
      </c>
      <c r="C1501" s="169">
        <v>2625.75</v>
      </c>
      <c r="D1501" s="247">
        <f t="shared" si="26"/>
        <v>-0.34178532036498543</v>
      </c>
      <c r="E1501" s="248">
        <v>-1.3561996355917844E-2</v>
      </c>
    </row>
    <row r="1502" spans="2:5" ht="15" thickBot="1" x14ac:dyDescent="0.35">
      <c r="B1502" s="170">
        <v>44676.645833333336</v>
      </c>
      <c r="C1502" s="169">
        <v>3989.2</v>
      </c>
      <c r="D1502" s="247">
        <f t="shared" si="26"/>
        <v>0.20363274296231471</v>
      </c>
      <c r="E1502" s="248">
        <v>-1.3611918155405868E-2</v>
      </c>
    </row>
    <row r="1503" spans="2:5" ht="15" thickBot="1" x14ac:dyDescent="0.35">
      <c r="B1503" s="170">
        <v>44379.645833333336</v>
      </c>
      <c r="C1503" s="169">
        <v>3314.3</v>
      </c>
      <c r="D1503" s="247">
        <f t="shared" si="26"/>
        <v>-5.3679010935670839E-2</v>
      </c>
      <c r="E1503" s="248">
        <v>-1.3791974766786159E-2</v>
      </c>
    </row>
    <row r="1504" spans="2:5" ht="15" thickBot="1" x14ac:dyDescent="0.35">
      <c r="B1504" s="170">
        <v>44957.645833333336</v>
      </c>
      <c r="C1504" s="169">
        <v>3502.3</v>
      </c>
      <c r="D1504" s="247">
        <f t="shared" si="26"/>
        <v>-0.15968664899168639</v>
      </c>
      <c r="E1504" s="248">
        <v>-1.3811649091190597E-2</v>
      </c>
    </row>
    <row r="1505" spans="2:5" ht="15" thickBot="1" x14ac:dyDescent="0.35">
      <c r="B1505" s="170">
        <v>44853.645833333336</v>
      </c>
      <c r="C1505" s="169">
        <v>4167.8500000000004</v>
      </c>
      <c r="D1505" s="247">
        <f t="shared" si="26"/>
        <v>0.17041561359168783</v>
      </c>
      <c r="E1505" s="248">
        <v>-1.3818396923986899E-2</v>
      </c>
    </row>
    <row r="1506" spans="2:5" ht="15" thickBot="1" x14ac:dyDescent="0.35">
      <c r="B1506" s="170">
        <v>45658.645833333336</v>
      </c>
      <c r="C1506" s="169">
        <v>3561</v>
      </c>
      <c r="D1506" s="247">
        <f t="shared" si="26"/>
        <v>-0.13186572076354852</v>
      </c>
      <c r="E1506" s="248">
        <v>-1.3873888842734876E-2</v>
      </c>
    </row>
    <row r="1507" spans="2:5" ht="15" thickBot="1" x14ac:dyDescent="0.35">
      <c r="B1507" s="170">
        <v>44657.645833333336</v>
      </c>
      <c r="C1507" s="169">
        <v>4101.8999999999996</v>
      </c>
      <c r="D1507" s="247">
        <f t="shared" si="26"/>
        <v>1.6524620905945875</v>
      </c>
      <c r="E1507" s="248">
        <v>-1.3895232829290617E-2</v>
      </c>
    </row>
    <row r="1508" spans="2:5" ht="15" thickBot="1" x14ac:dyDescent="0.35">
      <c r="B1508" s="170">
        <v>43286.645833333336</v>
      </c>
      <c r="C1508" s="169">
        <v>1546.45</v>
      </c>
      <c r="D1508" s="247">
        <f t="shared" si="26"/>
        <v>-0.57930030740770966</v>
      </c>
      <c r="E1508" s="248">
        <v>-1.390084489080182E-2</v>
      </c>
    </row>
    <row r="1509" spans="2:5" ht="15" thickBot="1" x14ac:dyDescent="0.35">
      <c r="B1509" s="170">
        <v>45314.645833333336</v>
      </c>
      <c r="C1509" s="169">
        <v>3675.9</v>
      </c>
      <c r="D1509" s="247">
        <f t="shared" si="26"/>
        <v>-4.1361324814186966E-2</v>
      </c>
      <c r="E1509" s="248">
        <v>-1.390919455435582E-2</v>
      </c>
    </row>
    <row r="1510" spans="2:5" ht="15" thickBot="1" x14ac:dyDescent="0.35">
      <c r="B1510" s="170">
        <v>45356.645833333336</v>
      </c>
      <c r="C1510" s="169">
        <v>3834.5</v>
      </c>
      <c r="D1510" s="247">
        <f t="shared" si="26"/>
        <v>-0.12825526013663277</v>
      </c>
      <c r="E1510" s="248">
        <v>-1.3925141115811423E-2</v>
      </c>
    </row>
    <row r="1511" spans="2:5" ht="15" thickBot="1" x14ac:dyDescent="0.35">
      <c r="B1511" s="170">
        <v>44790.645833333336</v>
      </c>
      <c r="C1511" s="169">
        <v>4398.6499999999996</v>
      </c>
      <c r="D1511" s="247">
        <f t="shared" si="26"/>
        <v>1.8487743272562414</v>
      </c>
      <c r="E1511" s="248">
        <v>-1.3965635122563621E-2</v>
      </c>
    </row>
    <row r="1512" spans="2:5" ht="15" thickBot="1" x14ac:dyDescent="0.35">
      <c r="B1512" s="170">
        <v>43249.645833333336</v>
      </c>
      <c r="C1512" s="169">
        <v>1544.05</v>
      </c>
      <c r="D1512" s="247">
        <f t="shared" si="26"/>
        <v>-0.6218066475616626</v>
      </c>
      <c r="E1512" s="248">
        <v>-1.3985120853156289E-2</v>
      </c>
    </row>
    <row r="1513" spans="2:5" ht="15" thickBot="1" x14ac:dyDescent="0.35">
      <c r="B1513" s="170">
        <v>45799.645833333336</v>
      </c>
      <c r="C1513" s="168">
        <v>4082.7</v>
      </c>
      <c r="D1513" s="247">
        <f t="shared" si="26"/>
        <v>0.78272165578673869</v>
      </c>
      <c r="E1513" s="248">
        <v>-1.4031105100463766E-2</v>
      </c>
    </row>
    <row r="1514" spans="2:5" ht="15" thickBot="1" x14ac:dyDescent="0.35">
      <c r="B1514" s="170">
        <v>44015.645833333336</v>
      </c>
      <c r="C1514" s="169">
        <v>2290.15</v>
      </c>
      <c r="D1514" s="247">
        <f t="shared" si="26"/>
        <v>0.1098645472388477</v>
      </c>
      <c r="E1514" s="248">
        <v>-1.4141196728368451E-2</v>
      </c>
    </row>
    <row r="1515" spans="2:5" ht="15" thickBot="1" x14ac:dyDescent="0.35">
      <c r="B1515" s="170">
        <v>44043.645833333336</v>
      </c>
      <c r="C1515" s="169">
        <v>2063.4499999999998</v>
      </c>
      <c r="D1515" s="247">
        <f t="shared" si="26"/>
        <v>0.44696890010869178</v>
      </c>
      <c r="E1515" s="248">
        <v>-1.4189140768698025E-2</v>
      </c>
    </row>
    <row r="1516" spans="2:5" ht="15" thickBot="1" x14ac:dyDescent="0.35">
      <c r="B1516" s="170">
        <v>43647.645833333336</v>
      </c>
      <c r="C1516" s="169">
        <v>1426.05</v>
      </c>
      <c r="D1516" s="247">
        <f t="shared" si="26"/>
        <v>-0.62795945787297314</v>
      </c>
      <c r="E1516" s="248">
        <v>-1.4205723766072138E-2</v>
      </c>
    </row>
    <row r="1517" spans="2:5" ht="15" thickBot="1" x14ac:dyDescent="0.35">
      <c r="B1517" s="170">
        <v>44435.645833333336</v>
      </c>
      <c r="C1517" s="169">
        <v>3833.05</v>
      </c>
      <c r="D1517" s="247">
        <f t="shared" si="26"/>
        <v>-8.6760221099780724E-2</v>
      </c>
      <c r="E1517" s="248">
        <v>-1.4221970758805078E-2</v>
      </c>
    </row>
    <row r="1518" spans="2:5" ht="15" thickBot="1" x14ac:dyDescent="0.35">
      <c r="B1518" s="170">
        <v>45873.645833333336</v>
      </c>
      <c r="C1518" s="168">
        <v>4197.2</v>
      </c>
      <c r="D1518" s="247">
        <f t="shared" si="26"/>
        <v>1.3449354712553772</v>
      </c>
      <c r="E1518" s="248">
        <v>-1.4232702334539049E-2</v>
      </c>
    </row>
    <row r="1519" spans="2:5" ht="15" thickBot="1" x14ac:dyDescent="0.35">
      <c r="B1519" s="170">
        <v>43836.645833333336</v>
      </c>
      <c r="C1519" s="169">
        <v>1789.9</v>
      </c>
      <c r="D1519" s="247">
        <f t="shared" si="26"/>
        <v>-0.58129525012573546</v>
      </c>
      <c r="E1519" s="248">
        <v>-1.4236541374087792E-2</v>
      </c>
    </row>
    <row r="1520" spans="2:5" ht="15" thickBot="1" x14ac:dyDescent="0.35">
      <c r="B1520" s="170">
        <v>44784.645833333336</v>
      </c>
      <c r="C1520" s="169">
        <v>4274.8500000000004</v>
      </c>
      <c r="D1520" s="247">
        <f t="shared" si="26"/>
        <v>0.25584982153086872</v>
      </c>
      <c r="E1520" s="248">
        <v>-1.4261996448912642E-2</v>
      </c>
    </row>
    <row r="1521" spans="2:5" ht="15" thickBot="1" x14ac:dyDescent="0.35">
      <c r="B1521" s="170">
        <v>45716.645833333336</v>
      </c>
      <c r="C1521" s="169">
        <v>3403.95</v>
      </c>
      <c r="D1521" s="247">
        <f t="shared" si="26"/>
        <v>1.2966298957595384</v>
      </c>
      <c r="E1521" s="248">
        <v>-1.4262133673114793E-2</v>
      </c>
    </row>
    <row r="1522" spans="2:5" ht="15" thickBot="1" x14ac:dyDescent="0.35">
      <c r="B1522" s="170">
        <v>43544.645833333336</v>
      </c>
      <c r="C1522" s="169">
        <v>1482.15</v>
      </c>
      <c r="D1522" s="247">
        <f t="shared" si="26"/>
        <v>4.387787442335471E-2</v>
      </c>
      <c r="E1522" s="248">
        <v>-1.4331316086985405E-2</v>
      </c>
    </row>
    <row r="1523" spans="2:5" ht="15" thickBot="1" x14ac:dyDescent="0.35">
      <c r="B1523" s="170">
        <v>43196.645833333336</v>
      </c>
      <c r="C1523" s="169">
        <v>1419.85</v>
      </c>
      <c r="D1523" s="247">
        <f t="shared" si="26"/>
        <v>-0.51458119658119661</v>
      </c>
      <c r="E1523" s="248">
        <v>-1.4335300242971253E-2</v>
      </c>
    </row>
    <row r="1524" spans="2:5" ht="15" thickBot="1" x14ac:dyDescent="0.35">
      <c r="B1524" s="170">
        <v>44236.645833333336</v>
      </c>
      <c r="C1524" s="169">
        <v>2925</v>
      </c>
      <c r="D1524" s="247">
        <f t="shared" si="26"/>
        <v>-0.36322372073278253</v>
      </c>
      <c r="E1524" s="248">
        <v>-1.4388246790443718E-2</v>
      </c>
    </row>
    <row r="1525" spans="2:5" ht="15" thickBot="1" x14ac:dyDescent="0.35">
      <c r="B1525" s="170">
        <v>44536.645833333336</v>
      </c>
      <c r="C1525" s="169">
        <v>4593.45</v>
      </c>
      <c r="D1525" s="247">
        <f t="shared" si="26"/>
        <v>-0.12758299779685484</v>
      </c>
      <c r="E1525" s="248">
        <v>-1.4418589681696721E-2</v>
      </c>
    </row>
    <row r="1526" spans="2:5" ht="15" thickBot="1" x14ac:dyDescent="0.35">
      <c r="B1526" s="170">
        <v>45553.645833333336</v>
      </c>
      <c r="C1526" s="169">
        <v>5265.2</v>
      </c>
      <c r="D1526" s="247">
        <f t="shared" si="26"/>
        <v>0.34739104844281804</v>
      </c>
      <c r="E1526" s="248">
        <v>-1.4468881609733305E-2</v>
      </c>
    </row>
    <row r="1527" spans="2:5" ht="15" thickBot="1" x14ac:dyDescent="0.35">
      <c r="B1527" s="170">
        <v>44893.645833333336</v>
      </c>
      <c r="C1527" s="169">
        <v>3907.7</v>
      </c>
      <c r="D1527" s="247">
        <f t="shared" si="26"/>
        <v>-0.20695288638139403</v>
      </c>
      <c r="E1527" s="248">
        <v>-1.447630576782429E-2</v>
      </c>
    </row>
    <row r="1528" spans="2:5" ht="15" thickBot="1" x14ac:dyDescent="0.35">
      <c r="B1528" s="170">
        <v>45534.645833333336</v>
      </c>
      <c r="C1528" s="169">
        <v>4927.45</v>
      </c>
      <c r="D1528" s="247">
        <f t="shared" si="26"/>
        <v>1.4764166352556853</v>
      </c>
      <c r="E1528" s="248">
        <v>-1.4480434413032499E-2</v>
      </c>
    </row>
    <row r="1529" spans="2:5" ht="15" thickBot="1" x14ac:dyDescent="0.35">
      <c r="B1529" s="170">
        <v>44029.645833333336</v>
      </c>
      <c r="C1529" s="169">
        <v>1989.75</v>
      </c>
      <c r="D1529" s="247">
        <f t="shared" si="26"/>
        <v>0.39167686658506734</v>
      </c>
      <c r="E1529" s="248">
        <v>-1.448736998514116E-2</v>
      </c>
    </row>
    <row r="1530" spans="2:5" ht="15" thickBot="1" x14ac:dyDescent="0.35">
      <c r="B1530" s="170">
        <v>43685.645833333336</v>
      </c>
      <c r="C1530" s="169">
        <v>1429.75</v>
      </c>
      <c r="D1530" s="247">
        <f t="shared" si="26"/>
        <v>9.6518137894010203E-2</v>
      </c>
      <c r="E1530" s="248">
        <v>-1.45092362834298E-2</v>
      </c>
    </row>
    <row r="1531" spans="2:5" ht="15" thickBot="1" x14ac:dyDescent="0.35">
      <c r="B1531" s="170">
        <v>43615.645833333336</v>
      </c>
      <c r="C1531" s="169">
        <v>1303.9000000000001</v>
      </c>
      <c r="D1531" s="247">
        <f t="shared" si="26"/>
        <v>-0.67618645541013733</v>
      </c>
      <c r="E1531" s="248">
        <v>-1.4511374801602162E-2</v>
      </c>
    </row>
    <row r="1532" spans="2:5" ht="15" thickBot="1" x14ac:dyDescent="0.35">
      <c r="B1532" s="170">
        <v>45853.645833333336</v>
      </c>
      <c r="C1532" s="168">
        <v>4026.7</v>
      </c>
      <c r="D1532" s="247">
        <f t="shared" si="26"/>
        <v>-1.7062930234829014E-2</v>
      </c>
      <c r="E1532" s="248">
        <v>-1.4512971120900681E-2</v>
      </c>
    </row>
    <row r="1533" spans="2:5" ht="15" thickBot="1" x14ac:dyDescent="0.35">
      <c r="B1533" s="170">
        <v>44613.645833333336</v>
      </c>
      <c r="C1533" s="169">
        <v>4096.6000000000004</v>
      </c>
      <c r="D1533" s="247">
        <f t="shared" si="26"/>
        <v>1.6264465459208208</v>
      </c>
      <c r="E1533" s="248">
        <v>-1.455341464001347E-2</v>
      </c>
    </row>
    <row r="1534" spans="2:5" ht="15" thickBot="1" x14ac:dyDescent="0.35">
      <c r="B1534" s="170">
        <v>43446.645833333336</v>
      </c>
      <c r="C1534" s="169">
        <v>1559.75</v>
      </c>
      <c r="D1534" s="247">
        <f t="shared" si="26"/>
        <v>-8.045026710760678E-3</v>
      </c>
      <c r="E1534" s="248">
        <v>-1.4625055278286746E-2</v>
      </c>
    </row>
    <row r="1535" spans="2:5" ht="15" thickBot="1" x14ac:dyDescent="0.35">
      <c r="B1535" s="170">
        <v>43473.645833333336</v>
      </c>
      <c r="C1535" s="169">
        <v>1572.4</v>
      </c>
      <c r="D1535" s="247">
        <f t="shared" si="26"/>
        <v>6.8860036707226013E-2</v>
      </c>
      <c r="E1535" s="248">
        <v>-1.4632617891273639E-2</v>
      </c>
    </row>
    <row r="1536" spans="2:5" ht="15" thickBot="1" x14ac:dyDescent="0.35">
      <c r="B1536" s="170">
        <v>43553.645833333336</v>
      </c>
      <c r="C1536" s="169">
        <v>1471.1</v>
      </c>
      <c r="D1536" s="247">
        <f t="shared" si="26"/>
        <v>-0.68206868232802409</v>
      </c>
      <c r="E1536" s="248">
        <v>-1.4635453297163425E-2</v>
      </c>
    </row>
    <row r="1537" spans="2:5" ht="15" thickBot="1" x14ac:dyDescent="0.35">
      <c r="B1537" s="170">
        <v>45400.645833333336</v>
      </c>
      <c r="C1537" s="169">
        <v>4627.1000000000004</v>
      </c>
      <c r="D1537" s="247">
        <f t="shared" si="26"/>
        <v>1.1579106913839339</v>
      </c>
      <c r="E1537" s="248">
        <v>-1.4672061328790382E-2</v>
      </c>
    </row>
    <row r="1538" spans="2:5" ht="15" thickBot="1" x14ac:dyDescent="0.35">
      <c r="B1538" s="170">
        <v>44130.645833333336</v>
      </c>
      <c r="C1538" s="169">
        <v>2144.25</v>
      </c>
      <c r="D1538" s="247">
        <f t="shared" si="26"/>
        <v>-0.46862686789086316</v>
      </c>
      <c r="E1538" s="248">
        <v>-1.4681555004135568E-2</v>
      </c>
    </row>
    <row r="1539" spans="2:5" ht="15" thickBot="1" x14ac:dyDescent="0.35">
      <c r="B1539" s="170">
        <v>44585.645833333336</v>
      </c>
      <c r="C1539" s="169">
        <v>4035.3</v>
      </c>
      <c r="D1539" s="247">
        <f t="shared" si="26"/>
        <v>-0.12035139730566323</v>
      </c>
      <c r="E1539" s="248">
        <v>-1.4687030729223807E-2</v>
      </c>
    </row>
    <row r="1540" spans="2:5" ht="15" thickBot="1" x14ac:dyDescent="0.35">
      <c r="B1540" s="170">
        <v>44551.645833333336</v>
      </c>
      <c r="C1540" s="169">
        <v>4587.3999999999996</v>
      </c>
      <c r="D1540" s="247">
        <f t="shared" si="26"/>
        <v>0.2956926987713599</v>
      </c>
      <c r="E1540" s="248">
        <v>-1.4701934125884795E-2</v>
      </c>
    </row>
    <row r="1541" spans="2:5" ht="15" thickBot="1" x14ac:dyDescent="0.35">
      <c r="B1541" s="170">
        <v>45722.645833333336</v>
      </c>
      <c r="C1541" s="169">
        <v>3540.5</v>
      </c>
      <c r="D1541" s="247">
        <f t="shared" ref="D1541:D1604" si="27">(C1541-C1542)/C1542</f>
        <v>2.0998555356126603</v>
      </c>
      <c r="E1541" s="248">
        <v>-1.4776268922528915E-2</v>
      </c>
    </row>
    <row r="1542" spans="2:5" ht="15" thickBot="1" x14ac:dyDescent="0.35">
      <c r="B1542" s="170">
        <v>43124.645833333336</v>
      </c>
      <c r="C1542" s="169">
        <v>1142.1500000000001</v>
      </c>
      <c r="D1542" s="247">
        <f t="shared" si="27"/>
        <v>-0.66986544881707688</v>
      </c>
      <c r="E1542" s="248">
        <v>-1.4793409816268321E-2</v>
      </c>
    </row>
    <row r="1543" spans="2:5" ht="15" thickBot="1" x14ac:dyDescent="0.35">
      <c r="B1543" s="170">
        <v>45650.645833333336</v>
      </c>
      <c r="C1543" s="169">
        <v>3459.65</v>
      </c>
      <c r="D1543" s="247">
        <f t="shared" si="27"/>
        <v>-0.18478504188413827</v>
      </c>
      <c r="E1543" s="248">
        <v>-1.4807853857873079E-2</v>
      </c>
    </row>
    <row r="1544" spans="2:5" ht="15" thickBot="1" x14ac:dyDescent="0.35">
      <c r="B1544" s="170">
        <v>44771.645833333336</v>
      </c>
      <c r="C1544" s="169">
        <v>4243.8500000000004</v>
      </c>
      <c r="D1544" s="247">
        <f t="shared" si="27"/>
        <v>1.8137107898998469E-2</v>
      </c>
      <c r="E1544" s="248">
        <v>-1.4810859749515229E-2</v>
      </c>
    </row>
    <row r="1545" spans="2:5" ht="15" thickBot="1" x14ac:dyDescent="0.35">
      <c r="B1545" s="170">
        <v>44634.645833333336</v>
      </c>
      <c r="C1545" s="169">
        <v>4168.25</v>
      </c>
      <c r="D1545" s="247">
        <f t="shared" si="27"/>
        <v>-3.8842898978485904E-2</v>
      </c>
      <c r="E1545" s="248">
        <v>-1.4842651351319455E-2</v>
      </c>
    </row>
    <row r="1546" spans="2:5" ht="15" thickBot="1" x14ac:dyDescent="0.35">
      <c r="B1546" s="170">
        <v>44785.645833333336</v>
      </c>
      <c r="C1546" s="169">
        <v>4336.7</v>
      </c>
      <c r="D1546" s="247">
        <f t="shared" si="27"/>
        <v>0.18448617275520651</v>
      </c>
      <c r="E1546" s="248">
        <v>-1.4856545739533527E-2</v>
      </c>
    </row>
    <row r="1547" spans="2:5" ht="15" thickBot="1" x14ac:dyDescent="0.35">
      <c r="B1547" s="170">
        <v>45623.645833333336</v>
      </c>
      <c r="C1547" s="169">
        <v>3661.25</v>
      </c>
      <c r="D1547" s="247">
        <f t="shared" si="27"/>
        <v>0.54980104977988475</v>
      </c>
      <c r="E1547" s="248">
        <v>-1.4879390832896149E-2</v>
      </c>
    </row>
    <row r="1548" spans="2:5" ht="15" thickBot="1" x14ac:dyDescent="0.35">
      <c r="B1548" s="170">
        <v>44145.645833333336</v>
      </c>
      <c r="C1548" s="169">
        <v>2362.4</v>
      </c>
      <c r="D1548" s="247">
        <f t="shared" si="27"/>
        <v>-0.34767361590501172</v>
      </c>
      <c r="E1548" s="248">
        <v>-1.4927862563589247E-2</v>
      </c>
    </row>
    <row r="1549" spans="2:5" ht="15" thickBot="1" x14ac:dyDescent="0.35">
      <c r="B1549" s="170">
        <v>45705.645833333336</v>
      </c>
      <c r="C1549" s="169">
        <v>3621.5</v>
      </c>
      <c r="D1549" s="247">
        <f t="shared" si="27"/>
        <v>-8.6656074247812145E-2</v>
      </c>
      <c r="E1549" s="248">
        <v>-1.4986672469129061E-2</v>
      </c>
    </row>
    <row r="1550" spans="2:5" ht="15" thickBot="1" x14ac:dyDescent="0.35">
      <c r="B1550" s="170">
        <v>44894.645833333336</v>
      </c>
      <c r="C1550" s="169">
        <v>3965.1</v>
      </c>
      <c r="D1550" s="247">
        <f t="shared" si="27"/>
        <v>-0.20740799968017271</v>
      </c>
      <c r="E1550" s="248">
        <v>-1.5004347286051444E-2</v>
      </c>
    </row>
    <row r="1551" spans="2:5" ht="15" thickBot="1" x14ac:dyDescent="0.35">
      <c r="B1551" s="170">
        <v>45523.645833333336</v>
      </c>
      <c r="C1551" s="169">
        <v>5002.7</v>
      </c>
      <c r="D1551" s="247">
        <f t="shared" si="27"/>
        <v>3.2798357430062448</v>
      </c>
      <c r="E1551" s="248">
        <v>-1.5061426996377383E-2</v>
      </c>
    </row>
    <row r="1552" spans="2:5" ht="15" thickBot="1" x14ac:dyDescent="0.35">
      <c r="B1552" s="170">
        <v>43150.645833333336</v>
      </c>
      <c r="C1552" s="169">
        <v>1168.9000000000001</v>
      </c>
      <c r="D1552" s="247">
        <f t="shared" si="27"/>
        <v>5.7158361219137234E-2</v>
      </c>
      <c r="E1552" s="248">
        <v>-1.5082574991573866E-2</v>
      </c>
    </row>
    <row r="1553" spans="2:5" ht="15" thickBot="1" x14ac:dyDescent="0.35">
      <c r="B1553" s="170">
        <v>43137.645833333336</v>
      </c>
      <c r="C1553" s="169">
        <v>1105.7</v>
      </c>
      <c r="D1553" s="247">
        <f t="shared" si="27"/>
        <v>-0.6755860693014113</v>
      </c>
      <c r="E1553" s="248">
        <v>-1.5098205139625034E-2</v>
      </c>
    </row>
    <row r="1554" spans="2:5" ht="15" thickBot="1" x14ac:dyDescent="0.35">
      <c r="B1554" s="170">
        <v>45646.645833333336</v>
      </c>
      <c r="C1554" s="169">
        <v>3408.3</v>
      </c>
      <c r="D1554" s="247">
        <f t="shared" si="27"/>
        <v>-0.10064121170541195</v>
      </c>
      <c r="E1554" s="248">
        <v>-1.5098755978095967E-2</v>
      </c>
    </row>
    <row r="1555" spans="2:5" ht="15" thickBot="1" x14ac:dyDescent="0.35">
      <c r="B1555" s="170">
        <v>44433.645833333336</v>
      </c>
      <c r="C1555" s="169">
        <v>3789.7</v>
      </c>
      <c r="D1555" s="247">
        <f t="shared" si="27"/>
        <v>-1.0807106331383741E-3</v>
      </c>
      <c r="E1555" s="248">
        <v>-1.5099537397993752E-2</v>
      </c>
    </row>
    <row r="1556" spans="2:5" ht="15" thickBot="1" x14ac:dyDescent="0.35">
      <c r="B1556" s="170">
        <v>45209.645833333336</v>
      </c>
      <c r="C1556" s="169">
        <v>3793.8</v>
      </c>
      <c r="D1556" s="247">
        <f t="shared" si="27"/>
        <v>1.7053160765857314</v>
      </c>
      <c r="E1556" s="248">
        <v>-1.5121818252618735E-2</v>
      </c>
    </row>
    <row r="1557" spans="2:5" ht="15" thickBot="1" x14ac:dyDescent="0.35">
      <c r="B1557" s="170">
        <v>43669.645833333336</v>
      </c>
      <c r="C1557" s="169">
        <v>1402.35</v>
      </c>
      <c r="D1557" s="247">
        <f t="shared" si="27"/>
        <v>-0.63018196202531651</v>
      </c>
      <c r="E1557" s="248">
        <v>-1.5134489781585912E-2</v>
      </c>
    </row>
    <row r="1558" spans="2:5" ht="15" thickBot="1" x14ac:dyDescent="0.35">
      <c r="B1558" s="170">
        <v>44748.645833333336</v>
      </c>
      <c r="C1558" s="169">
        <v>3792</v>
      </c>
      <c r="D1558" s="247">
        <f t="shared" si="27"/>
        <v>1.4511166413496654</v>
      </c>
      <c r="E1558" s="248">
        <v>-1.5307911034939383E-2</v>
      </c>
    </row>
    <row r="1559" spans="2:5" ht="15" thickBot="1" x14ac:dyDescent="0.35">
      <c r="B1559" s="170">
        <v>43706.645833333336</v>
      </c>
      <c r="C1559" s="169">
        <v>1547.05</v>
      </c>
      <c r="D1559" s="247">
        <f t="shared" si="27"/>
        <v>-0.48808775354885675</v>
      </c>
      <c r="E1559" s="248">
        <v>-1.5339082837412173E-2</v>
      </c>
    </row>
    <row r="1560" spans="2:5" ht="15" thickBot="1" x14ac:dyDescent="0.35">
      <c r="B1560" s="170">
        <v>44344.645833333336</v>
      </c>
      <c r="C1560" s="169">
        <v>3022.1</v>
      </c>
      <c r="D1560" s="247">
        <f t="shared" si="27"/>
        <v>1.5512641931535183</v>
      </c>
      <c r="E1560" s="248">
        <v>-1.5410177884928709E-2</v>
      </c>
    </row>
    <row r="1561" spans="2:5" ht="15" thickBot="1" x14ac:dyDescent="0.35">
      <c r="B1561" s="170">
        <v>43103.645833333336</v>
      </c>
      <c r="C1561" s="169">
        <v>1184.55</v>
      </c>
      <c r="D1561" s="247">
        <f t="shared" si="27"/>
        <v>-0.37124127498075854</v>
      </c>
      <c r="E1561" s="248">
        <v>-1.5418502202643136E-2</v>
      </c>
    </row>
    <row r="1562" spans="2:5" ht="15" thickBot="1" x14ac:dyDescent="0.35">
      <c r="B1562" s="170">
        <v>43816.645833333336</v>
      </c>
      <c r="C1562" s="169">
        <v>1883.95</v>
      </c>
      <c r="D1562" s="247">
        <f t="shared" si="27"/>
        <v>-0.18999505557108148</v>
      </c>
      <c r="E1562" s="248">
        <v>-1.5442905670237761E-2</v>
      </c>
    </row>
    <row r="1563" spans="2:5" ht="15" thickBot="1" x14ac:dyDescent="0.35">
      <c r="B1563" s="170">
        <v>44144.645833333336</v>
      </c>
      <c r="C1563" s="169">
        <v>2325.85</v>
      </c>
      <c r="D1563" s="247">
        <f t="shared" si="27"/>
        <v>-4.0688801814807211E-2</v>
      </c>
      <c r="E1563" s="248">
        <v>-1.5471554351507018E-2</v>
      </c>
    </row>
    <row r="1564" spans="2:5" ht="15" thickBot="1" x14ac:dyDescent="0.35">
      <c r="B1564" s="170">
        <v>43880.645833333336</v>
      </c>
      <c r="C1564" s="169">
        <v>2424.5</v>
      </c>
      <c r="D1564" s="247">
        <f t="shared" si="27"/>
        <v>-0.44152029945292254</v>
      </c>
      <c r="E1564" s="248">
        <v>-1.5491442145656139E-2</v>
      </c>
    </row>
    <row r="1565" spans="2:5" ht="15" thickBot="1" x14ac:dyDescent="0.35">
      <c r="B1565" s="170">
        <v>44798.645833333336</v>
      </c>
      <c r="C1565" s="169">
        <v>4341.25</v>
      </c>
      <c r="D1565" s="247">
        <f t="shared" si="27"/>
        <v>1.9740700143865177</v>
      </c>
      <c r="E1565" s="248">
        <v>-1.5511435147914152E-2</v>
      </c>
    </row>
    <row r="1566" spans="2:5" ht="15" thickBot="1" x14ac:dyDescent="0.35">
      <c r="B1566" s="170">
        <v>43676.645833333336</v>
      </c>
      <c r="C1566" s="169">
        <v>1459.7</v>
      </c>
      <c r="D1566" s="247">
        <f t="shared" si="27"/>
        <v>-0.50035085317222605</v>
      </c>
      <c r="E1566" s="248">
        <v>-1.551224118162811E-2</v>
      </c>
    </row>
    <row r="1567" spans="2:5" ht="15" thickBot="1" x14ac:dyDescent="0.35">
      <c r="B1567" s="170">
        <v>44203.645833333336</v>
      </c>
      <c r="C1567" s="169">
        <v>2921.45</v>
      </c>
      <c r="D1567" s="247">
        <f t="shared" si="27"/>
        <v>-0.22460652387398147</v>
      </c>
      <c r="E1567" s="248">
        <v>-1.5518112889637803E-2</v>
      </c>
    </row>
    <row r="1568" spans="2:5" ht="15" thickBot="1" x14ac:dyDescent="0.35">
      <c r="B1568" s="170">
        <v>45117.645833333336</v>
      </c>
      <c r="C1568" s="169">
        <v>3767.7</v>
      </c>
      <c r="D1568" s="247">
        <f t="shared" si="27"/>
        <v>-6.9967786924700459E-2</v>
      </c>
      <c r="E1568" s="248">
        <v>-1.5520890491494889E-2</v>
      </c>
    </row>
    <row r="1569" spans="2:5" ht="15" thickBot="1" x14ac:dyDescent="0.35">
      <c r="B1569" s="170">
        <v>44608.645833333336</v>
      </c>
      <c r="C1569" s="169">
        <v>4051.15</v>
      </c>
      <c r="D1569" s="247">
        <f t="shared" si="27"/>
        <v>0.4014667981249892</v>
      </c>
      <c r="E1569" s="248">
        <v>-1.5612091169752528E-2</v>
      </c>
    </row>
    <row r="1570" spans="2:5" ht="15" thickBot="1" x14ac:dyDescent="0.35">
      <c r="B1570" s="170">
        <v>44293.645833333336</v>
      </c>
      <c r="C1570" s="169">
        <v>2890.65</v>
      </c>
      <c r="D1570" s="247">
        <f t="shared" si="27"/>
        <v>0.27377883534932917</v>
      </c>
      <c r="E1570" s="248">
        <v>-1.5613825983313437E-2</v>
      </c>
    </row>
    <row r="1571" spans="2:5" ht="15" thickBot="1" x14ac:dyDescent="0.35">
      <c r="B1571" s="170">
        <v>43980.645833333336</v>
      </c>
      <c r="C1571" s="169">
        <v>2269.35</v>
      </c>
      <c r="D1571" s="247">
        <f t="shared" si="27"/>
        <v>0.75925423466025799</v>
      </c>
      <c r="E1571" s="248">
        <v>-1.5679895901106092E-2</v>
      </c>
    </row>
    <row r="1572" spans="2:5" ht="15" thickBot="1" x14ac:dyDescent="0.35">
      <c r="B1572" s="170">
        <v>43612.645833333336</v>
      </c>
      <c r="C1572" s="169">
        <v>1289.95</v>
      </c>
      <c r="D1572" s="247">
        <f t="shared" si="27"/>
        <v>-0.69681051097635505</v>
      </c>
      <c r="E1572" s="248">
        <v>-1.5681037771842772E-2</v>
      </c>
    </row>
    <row r="1573" spans="2:5" ht="15" thickBot="1" x14ac:dyDescent="0.35">
      <c r="B1573" s="170">
        <v>44574.645833333336</v>
      </c>
      <c r="C1573" s="169">
        <v>4254.6000000000004</v>
      </c>
      <c r="D1573" s="247">
        <f t="shared" si="27"/>
        <v>0.49132461705632874</v>
      </c>
      <c r="E1573" s="248">
        <v>-1.5754042612256103E-2</v>
      </c>
    </row>
    <row r="1574" spans="2:5" ht="15" thickBot="1" x14ac:dyDescent="0.35">
      <c r="B1574" s="170">
        <v>44316.645833333336</v>
      </c>
      <c r="C1574" s="169">
        <v>2852.9</v>
      </c>
      <c r="D1574" s="247">
        <f t="shared" si="27"/>
        <v>-0.23988543262505826</v>
      </c>
      <c r="E1574" s="248">
        <v>-1.5783209425077192E-2</v>
      </c>
    </row>
    <row r="1575" spans="2:5" ht="15" thickBot="1" x14ac:dyDescent="0.35">
      <c r="B1575" s="170">
        <v>45181.645833333336</v>
      </c>
      <c r="C1575" s="169">
        <v>3753.25</v>
      </c>
      <c r="D1575" s="247">
        <f t="shared" si="27"/>
        <v>2.2127113203509521</v>
      </c>
      <c r="E1575" s="248">
        <v>-1.5850748616828756E-2</v>
      </c>
    </row>
    <row r="1576" spans="2:5" ht="15" thickBot="1" x14ac:dyDescent="0.35">
      <c r="B1576" s="170">
        <v>43397.645833333336</v>
      </c>
      <c r="C1576" s="169">
        <v>1168.25</v>
      </c>
      <c r="D1576" s="247">
        <f t="shared" si="27"/>
        <v>-0.66732162943345719</v>
      </c>
      <c r="E1576" s="248">
        <v>-1.5879032937410421E-2</v>
      </c>
    </row>
    <row r="1577" spans="2:5" ht="15" thickBot="1" x14ac:dyDescent="0.35">
      <c r="B1577" s="170">
        <v>45652.645833333336</v>
      </c>
      <c r="C1577" s="169">
        <v>3511.65</v>
      </c>
      <c r="D1577" s="247">
        <f t="shared" si="27"/>
        <v>-0.29735380921414634</v>
      </c>
      <c r="E1577" s="248">
        <v>-1.5889696918743906E-2</v>
      </c>
    </row>
    <row r="1578" spans="2:5" ht="15" thickBot="1" x14ac:dyDescent="0.35">
      <c r="B1578" s="170">
        <v>44511.645833333336</v>
      </c>
      <c r="C1578" s="169">
        <v>4997.75</v>
      </c>
      <c r="D1578" s="247">
        <f t="shared" si="27"/>
        <v>1.1129455037415972</v>
      </c>
      <c r="E1578" s="248">
        <v>-1.5910053066328023E-2</v>
      </c>
    </row>
    <row r="1579" spans="2:5" ht="15" thickBot="1" x14ac:dyDescent="0.35">
      <c r="B1579" s="170">
        <v>43997.645833333336</v>
      </c>
      <c r="C1579" s="169">
        <v>2365.3000000000002</v>
      </c>
      <c r="D1579" s="247">
        <f t="shared" si="27"/>
        <v>-0.35255796129526729</v>
      </c>
      <c r="E1579" s="248">
        <v>-1.5913960599945914E-2</v>
      </c>
    </row>
    <row r="1580" spans="2:5" ht="15" thickBot="1" x14ac:dyDescent="0.35">
      <c r="B1580" s="170">
        <v>45237.645833333336</v>
      </c>
      <c r="C1580" s="169">
        <v>3653.3</v>
      </c>
      <c r="D1580" s="247">
        <f t="shared" si="27"/>
        <v>-0.12694467678336716</v>
      </c>
      <c r="E1580" s="248">
        <v>-1.5919620730524702E-2</v>
      </c>
    </row>
    <row r="1581" spans="2:5" ht="15" thickBot="1" x14ac:dyDescent="0.35">
      <c r="B1581" s="170">
        <v>45880.645833333336</v>
      </c>
      <c r="C1581" s="168">
        <v>4184.5</v>
      </c>
      <c r="D1581" s="247">
        <f t="shared" si="27"/>
        <v>-5.6610154206871752E-2</v>
      </c>
      <c r="E1581" s="248">
        <v>-1.5990593768371548E-2</v>
      </c>
    </row>
    <row r="1582" spans="2:5" ht="15" thickBot="1" x14ac:dyDescent="0.35">
      <c r="B1582" s="170">
        <v>45769.645833333336</v>
      </c>
      <c r="C1582" s="168">
        <v>4435.6000000000004</v>
      </c>
      <c r="D1582" s="247">
        <f t="shared" si="27"/>
        <v>2.2836837429671308</v>
      </c>
      <c r="E1582" s="248">
        <v>-1.6082163217319933E-2</v>
      </c>
    </row>
    <row r="1583" spans="2:5" ht="15" thickBot="1" x14ac:dyDescent="0.35">
      <c r="B1583" s="170">
        <v>43656.645833333336</v>
      </c>
      <c r="C1583" s="169">
        <v>1350.8</v>
      </c>
      <c r="D1583" s="247">
        <f t="shared" si="27"/>
        <v>-0.61783511571323491</v>
      </c>
      <c r="E1583" s="248">
        <v>-1.6168973051711614E-2</v>
      </c>
    </row>
    <row r="1584" spans="2:5" ht="15" thickBot="1" x14ac:dyDescent="0.35">
      <c r="B1584" s="170">
        <v>45163.645833333336</v>
      </c>
      <c r="C1584" s="169">
        <v>3534.6</v>
      </c>
      <c r="D1584" s="247">
        <f t="shared" si="27"/>
        <v>0.24297997292212467</v>
      </c>
      <c r="E1584" s="248">
        <v>-1.6226446603022679E-2</v>
      </c>
    </row>
    <row r="1585" spans="2:5" ht="15" thickBot="1" x14ac:dyDescent="0.35">
      <c r="B1585" s="170">
        <v>44292.645833333336</v>
      </c>
      <c r="C1585" s="169">
        <v>2843.65</v>
      </c>
      <c r="D1585" s="247">
        <f t="shared" si="27"/>
        <v>-0.14122852052064147</v>
      </c>
      <c r="E1585" s="248">
        <v>-1.6259318838323562E-2</v>
      </c>
    </row>
    <row r="1586" spans="2:5" ht="15" thickBot="1" x14ac:dyDescent="0.35">
      <c r="B1586" s="170">
        <v>45002.645833333336</v>
      </c>
      <c r="C1586" s="169">
        <v>3311.3</v>
      </c>
      <c r="D1586" s="247">
        <f t="shared" si="27"/>
        <v>0.42544123977615161</v>
      </c>
      <c r="E1586" s="248">
        <v>-1.6279967915391619E-2</v>
      </c>
    </row>
    <row r="1587" spans="2:5" ht="15" thickBot="1" x14ac:dyDescent="0.35">
      <c r="B1587" s="170">
        <v>44018.645833333336</v>
      </c>
      <c r="C1587" s="169">
        <v>2323</v>
      </c>
      <c r="D1587" s="247">
        <f t="shared" si="27"/>
        <v>7.4594500824008226E-3</v>
      </c>
      <c r="E1587" s="248">
        <v>-1.6386501249100148E-2</v>
      </c>
    </row>
    <row r="1588" spans="2:5" ht="15" thickBot="1" x14ac:dyDescent="0.35">
      <c r="B1588" s="170">
        <v>43949.645833333336</v>
      </c>
      <c r="C1588" s="169">
        <v>2305.8000000000002</v>
      </c>
      <c r="D1588" s="247">
        <f t="shared" si="27"/>
        <v>0.10871760350050506</v>
      </c>
      <c r="E1588" s="248">
        <v>-1.644379038966013E-2</v>
      </c>
    </row>
    <row r="1589" spans="2:5" ht="15" thickBot="1" x14ac:dyDescent="0.35">
      <c r="B1589" s="170">
        <v>43917.645833333336</v>
      </c>
      <c r="C1589" s="169">
        <v>2079.6999999999998</v>
      </c>
      <c r="D1589" s="247">
        <f t="shared" si="27"/>
        <v>-0.11288843389425644</v>
      </c>
      <c r="E1589" s="248">
        <v>-1.6481047977111141E-2</v>
      </c>
    </row>
    <row r="1590" spans="2:5" ht="15" thickBot="1" x14ac:dyDescent="0.35">
      <c r="B1590" s="170">
        <v>43950.645833333336</v>
      </c>
      <c r="C1590" s="169">
        <v>2344.35</v>
      </c>
      <c r="D1590" s="247">
        <f t="shared" si="27"/>
        <v>0.78189488085737069</v>
      </c>
      <c r="E1590" s="248">
        <v>-1.648731986659123E-2</v>
      </c>
    </row>
    <row r="1591" spans="2:5" ht="15" thickBot="1" x14ac:dyDescent="0.35">
      <c r="B1591" s="170">
        <v>43171.645833333336</v>
      </c>
      <c r="C1591" s="169">
        <v>1315.65</v>
      </c>
      <c r="D1591" s="247">
        <f t="shared" si="27"/>
        <v>-0.16176611130578819</v>
      </c>
      <c r="E1591" s="248">
        <v>-1.6630540399132969E-2</v>
      </c>
    </row>
    <row r="1592" spans="2:5" ht="15" thickBot="1" x14ac:dyDescent="0.35">
      <c r="B1592" s="170">
        <v>43721.645833333336</v>
      </c>
      <c r="C1592" s="169">
        <v>1569.55</v>
      </c>
      <c r="D1592" s="247">
        <f t="shared" si="27"/>
        <v>-0.59634549358982603</v>
      </c>
      <c r="E1592" s="248">
        <v>-1.672670321064999E-2</v>
      </c>
    </row>
    <row r="1593" spans="2:5" ht="15" thickBot="1" x14ac:dyDescent="0.35">
      <c r="B1593" s="170">
        <v>44438.645833333336</v>
      </c>
      <c r="C1593" s="169">
        <v>3888.35</v>
      </c>
      <c r="D1593" s="247">
        <f t="shared" si="27"/>
        <v>3.4259419345400305E-2</v>
      </c>
      <c r="E1593" s="248">
        <v>-1.6802366744209637E-2</v>
      </c>
    </row>
    <row r="1594" spans="2:5" ht="15" thickBot="1" x14ac:dyDescent="0.35">
      <c r="B1594" s="170">
        <v>45609.645833333336</v>
      </c>
      <c r="C1594" s="169">
        <v>3759.55</v>
      </c>
      <c r="D1594" s="247">
        <f t="shared" si="27"/>
        <v>1.5378358309707034</v>
      </c>
      <c r="E1594" s="248">
        <v>-1.6815513160819522E-2</v>
      </c>
    </row>
    <row r="1595" spans="2:5" ht="15" thickBot="1" x14ac:dyDescent="0.35">
      <c r="B1595" s="170">
        <v>43206.645833333336</v>
      </c>
      <c r="C1595" s="169">
        <v>1481.4</v>
      </c>
      <c r="D1595" s="247">
        <f t="shared" si="27"/>
        <v>-0.43823590754820729</v>
      </c>
      <c r="E1595" s="248">
        <v>-1.6856915317228473E-2</v>
      </c>
    </row>
    <row r="1596" spans="2:5" ht="15" thickBot="1" x14ac:dyDescent="0.35">
      <c r="B1596" s="170">
        <v>44183.645833333336</v>
      </c>
      <c r="C1596" s="169">
        <v>2637.05</v>
      </c>
      <c r="D1596" s="247">
        <f t="shared" si="27"/>
        <v>0.43419263610159359</v>
      </c>
      <c r="E1596" s="248">
        <v>-1.6906501640322064E-2</v>
      </c>
    </row>
    <row r="1597" spans="2:5" ht="15" thickBot="1" x14ac:dyDescent="0.35">
      <c r="B1597" s="170">
        <v>43753.645833333336</v>
      </c>
      <c r="C1597" s="169">
        <v>1838.7</v>
      </c>
      <c r="D1597" s="247">
        <f t="shared" si="27"/>
        <v>-5.3241336697389355E-2</v>
      </c>
      <c r="E1597" s="248">
        <v>-1.7000801924619061E-2</v>
      </c>
    </row>
    <row r="1598" spans="2:5" ht="15" thickBot="1" x14ac:dyDescent="0.35">
      <c r="B1598" s="170">
        <v>43767.645833333336</v>
      </c>
      <c r="C1598" s="169">
        <v>1942.1</v>
      </c>
      <c r="D1598" s="247">
        <f t="shared" si="27"/>
        <v>-0.50612857288170077</v>
      </c>
      <c r="E1598" s="248">
        <v>-1.7006630561320107E-2</v>
      </c>
    </row>
    <row r="1599" spans="2:5" ht="15" thickBot="1" x14ac:dyDescent="0.35">
      <c r="B1599" s="170">
        <v>44768.645833333336</v>
      </c>
      <c r="C1599" s="169">
        <v>3932.4</v>
      </c>
      <c r="D1599" s="247">
        <f t="shared" si="27"/>
        <v>1.7594821234342657</v>
      </c>
      <c r="E1599" s="248">
        <v>-1.7133430810182513E-2</v>
      </c>
    </row>
    <row r="1600" spans="2:5" ht="15" thickBot="1" x14ac:dyDescent="0.35">
      <c r="B1600" s="170">
        <v>43672.645833333336</v>
      </c>
      <c r="C1600" s="169">
        <v>1425.05</v>
      </c>
      <c r="D1600" s="247">
        <f t="shared" si="27"/>
        <v>-0.34305273833671396</v>
      </c>
      <c r="E1600" s="248">
        <v>-1.7139113042278872E-2</v>
      </c>
    </row>
    <row r="1601" spans="2:5" ht="15" thickBot="1" x14ac:dyDescent="0.35">
      <c r="B1601" s="170">
        <v>44055.645833333336</v>
      </c>
      <c r="C1601" s="169">
        <v>2169.1999999999998</v>
      </c>
      <c r="D1601" s="247">
        <f t="shared" si="27"/>
        <v>1.7472267173245154E-2</v>
      </c>
      <c r="E1601" s="248">
        <v>-1.7171854469666119E-2</v>
      </c>
    </row>
    <row r="1602" spans="2:5" ht="15" thickBot="1" x14ac:dyDescent="0.35">
      <c r="B1602" s="170">
        <v>44054.645833333336</v>
      </c>
      <c r="C1602" s="169">
        <v>2131.9499999999998</v>
      </c>
      <c r="D1602" s="247">
        <f t="shared" si="27"/>
        <v>0.13163831311871321</v>
      </c>
      <c r="E1602" s="248">
        <v>-1.7172229393324731E-2</v>
      </c>
    </row>
    <row r="1603" spans="2:5" ht="15" thickBot="1" x14ac:dyDescent="0.35">
      <c r="B1603" s="170">
        <v>43763.791666666664</v>
      </c>
      <c r="C1603" s="169">
        <v>1883.95</v>
      </c>
      <c r="D1603" s="247">
        <f t="shared" si="27"/>
        <v>-0.54012986061952306</v>
      </c>
      <c r="E1603" s="248">
        <v>-1.7240479916536232E-2</v>
      </c>
    </row>
    <row r="1604" spans="2:5" ht="15" thickBot="1" x14ac:dyDescent="0.35">
      <c r="B1604" s="170">
        <v>44629.645833333336</v>
      </c>
      <c r="C1604" s="169">
        <v>4096.7</v>
      </c>
      <c r="D1604" s="247">
        <f t="shared" si="27"/>
        <v>-0.22666565989296739</v>
      </c>
      <c r="E1604" s="248">
        <v>-1.7247996929424875E-2</v>
      </c>
    </row>
    <row r="1605" spans="2:5" ht="15" thickBot="1" x14ac:dyDescent="0.35">
      <c r="B1605" s="170">
        <v>45558.645833333336</v>
      </c>
      <c r="C1605" s="169">
        <v>5297.45</v>
      </c>
      <c r="D1605" s="247">
        <f t="shared" ref="D1605:D1668" si="28">(C1605-C1606)/C1606</f>
        <v>2.8168816197132354</v>
      </c>
      <c r="E1605" s="248">
        <v>-1.7435012844411058E-2</v>
      </c>
    </row>
    <row r="1606" spans="2:5" ht="15" thickBot="1" x14ac:dyDescent="0.35">
      <c r="B1606" s="170">
        <v>43420.645833333336</v>
      </c>
      <c r="C1606" s="169">
        <v>1387.9</v>
      </c>
      <c r="D1606" s="247">
        <f t="shared" si="28"/>
        <v>-0.7089196954761855</v>
      </c>
      <c r="E1606" s="248">
        <v>-1.7450709709390722E-2</v>
      </c>
    </row>
    <row r="1607" spans="2:5" ht="15" thickBot="1" x14ac:dyDescent="0.35">
      <c r="B1607" s="170">
        <v>45477.645833333336</v>
      </c>
      <c r="C1607" s="169">
        <v>4768.1000000000004</v>
      </c>
      <c r="D1607" s="247">
        <f t="shared" si="28"/>
        <v>2.3933514436343881E-2</v>
      </c>
      <c r="E1607" s="248">
        <v>-1.7514578310770433E-2</v>
      </c>
    </row>
    <row r="1608" spans="2:5" ht="15" thickBot="1" x14ac:dyDescent="0.35">
      <c r="B1608" s="170">
        <v>45456.645833333336</v>
      </c>
      <c r="C1608" s="169">
        <v>4656.6499999999996</v>
      </c>
      <c r="D1608" s="247">
        <f t="shared" si="28"/>
        <v>0.20951948051948044</v>
      </c>
      <c r="E1608" s="248">
        <v>-1.7574025042458294E-2</v>
      </c>
    </row>
    <row r="1609" spans="2:5" ht="15" thickBot="1" x14ac:dyDescent="0.35">
      <c r="B1609" s="170">
        <v>45350.645833333336</v>
      </c>
      <c r="C1609" s="169">
        <v>3850</v>
      </c>
      <c r="D1609" s="247">
        <f t="shared" si="28"/>
        <v>1.4573945235207761</v>
      </c>
      <c r="E1609" s="248">
        <v>-1.7581464186378855E-2</v>
      </c>
    </row>
    <row r="1610" spans="2:5" ht="15" thickBot="1" x14ac:dyDescent="0.35">
      <c r="B1610" s="170">
        <v>43308.645833333336</v>
      </c>
      <c r="C1610" s="169">
        <v>1566.7</v>
      </c>
      <c r="D1610" s="247">
        <f t="shared" si="28"/>
        <v>-0.63756448515973818</v>
      </c>
      <c r="E1610" s="248">
        <v>-1.765056274884777E-2</v>
      </c>
    </row>
    <row r="1611" spans="2:5" ht="15" thickBot="1" x14ac:dyDescent="0.35">
      <c r="B1611" s="170">
        <v>44575.645833333336</v>
      </c>
      <c r="C1611" s="169">
        <v>4322.7</v>
      </c>
      <c r="D1611" s="247">
        <f t="shared" si="28"/>
        <v>0.12485362616773783</v>
      </c>
      <c r="E1611" s="248">
        <v>-1.7679809112600881E-2</v>
      </c>
    </row>
    <row r="1612" spans="2:5" ht="15" thickBot="1" x14ac:dyDescent="0.35">
      <c r="B1612" s="170">
        <v>45254.645833333336</v>
      </c>
      <c r="C1612" s="169">
        <v>3842.9</v>
      </c>
      <c r="D1612" s="247">
        <f t="shared" si="28"/>
        <v>0.10342550320153912</v>
      </c>
      <c r="E1612" s="248">
        <v>-1.770126401083803E-2</v>
      </c>
    </row>
    <row r="1613" spans="2:5" ht="15" thickBot="1" x14ac:dyDescent="0.35">
      <c r="B1613" s="170">
        <v>44971.645833333336</v>
      </c>
      <c r="C1613" s="169">
        <v>3482.7</v>
      </c>
      <c r="D1613" s="247">
        <f t="shared" si="28"/>
        <v>1.2329294095018271</v>
      </c>
      <c r="E1613" s="248">
        <v>-1.7740297833935045E-2</v>
      </c>
    </row>
    <row r="1614" spans="2:5" ht="15" thickBot="1" x14ac:dyDescent="0.35">
      <c r="B1614" s="170">
        <v>43336.645833333336</v>
      </c>
      <c r="C1614" s="169">
        <v>1559.7</v>
      </c>
      <c r="D1614" s="247">
        <f t="shared" si="28"/>
        <v>-0.55467679305619</v>
      </c>
      <c r="E1614" s="248">
        <v>-1.788300484856109E-2</v>
      </c>
    </row>
    <row r="1615" spans="2:5" ht="15" thickBot="1" x14ac:dyDescent="0.35">
      <c r="B1615" s="170">
        <v>44410.645833333336</v>
      </c>
      <c r="C1615" s="169">
        <v>3502.4</v>
      </c>
      <c r="D1615" s="247">
        <f t="shared" si="28"/>
        <v>-0.11713846386529199</v>
      </c>
      <c r="E1615" s="248">
        <v>-1.7903960743077436E-2</v>
      </c>
    </row>
    <row r="1616" spans="2:5" ht="15" thickBot="1" x14ac:dyDescent="0.35">
      <c r="B1616" s="170">
        <v>45264.645833333336</v>
      </c>
      <c r="C1616" s="169">
        <v>3967.1</v>
      </c>
      <c r="D1616" s="247">
        <f t="shared" si="28"/>
        <v>-9.2674336161745599E-2</v>
      </c>
      <c r="E1616" s="248">
        <v>-1.793516604572298E-2</v>
      </c>
    </row>
    <row r="1617" spans="2:5" ht="15" thickBot="1" x14ac:dyDescent="0.35">
      <c r="B1617" s="170">
        <v>45838.645833333336</v>
      </c>
      <c r="C1617" s="168">
        <v>4372.3</v>
      </c>
      <c r="D1617" s="247">
        <f t="shared" si="28"/>
        <v>1.9925738338865884</v>
      </c>
      <c r="E1617" s="248">
        <v>-1.7990297367711676E-2</v>
      </c>
    </row>
    <row r="1618" spans="2:5" ht="15" thickBot="1" x14ac:dyDescent="0.35">
      <c r="B1618" s="170">
        <v>43517.645833333336</v>
      </c>
      <c r="C1618" s="169">
        <v>1461.05</v>
      </c>
      <c r="D1618" s="247">
        <f t="shared" si="28"/>
        <v>-0.71155421746211933</v>
      </c>
      <c r="E1618" s="248">
        <v>-1.8045567578466384E-2</v>
      </c>
    </row>
    <row r="1619" spans="2:5" ht="15" thickBot="1" x14ac:dyDescent="0.35">
      <c r="B1619" s="170">
        <v>45496.645833333336</v>
      </c>
      <c r="C1619" s="169">
        <v>5065.25</v>
      </c>
      <c r="D1619" s="247">
        <f t="shared" si="28"/>
        <v>0.75870629492031527</v>
      </c>
      <c r="E1619" s="248">
        <v>-1.8067442739582593E-2</v>
      </c>
    </row>
    <row r="1620" spans="2:5" ht="15" thickBot="1" x14ac:dyDescent="0.35">
      <c r="B1620" s="170">
        <v>44277.645833333336</v>
      </c>
      <c r="C1620" s="169">
        <v>2880.1</v>
      </c>
      <c r="D1620" s="247">
        <f t="shared" si="28"/>
        <v>7.3625854741958784E-3</v>
      </c>
      <c r="E1620" s="248">
        <v>-1.8253711247081344E-2</v>
      </c>
    </row>
    <row r="1621" spans="2:5" ht="15" thickBot="1" x14ac:dyDescent="0.35">
      <c r="B1621" s="170">
        <v>44286.645833333336</v>
      </c>
      <c r="C1621" s="169">
        <v>2859.05</v>
      </c>
      <c r="D1621" s="247">
        <f t="shared" si="28"/>
        <v>-0.26356798804832188</v>
      </c>
      <c r="E1621" s="248">
        <v>-1.8419336011260907E-2</v>
      </c>
    </row>
    <row r="1622" spans="2:5" ht="15" thickBot="1" x14ac:dyDescent="0.35">
      <c r="B1622" s="170">
        <v>44886.645833333336</v>
      </c>
      <c r="C1622" s="169">
        <v>3882.3</v>
      </c>
      <c r="D1622" s="247">
        <f t="shared" si="28"/>
        <v>5.0611610898971407E-3</v>
      </c>
      <c r="E1622" s="248">
        <v>-1.843143203883486E-2</v>
      </c>
    </row>
    <row r="1623" spans="2:5" ht="15" thickBot="1" x14ac:dyDescent="0.35">
      <c r="B1623" s="170">
        <v>45211.645833333336</v>
      </c>
      <c r="C1623" s="169">
        <v>3862.75</v>
      </c>
      <c r="D1623" s="247">
        <f t="shared" si="28"/>
        <v>0.16664149803684689</v>
      </c>
      <c r="E1623" s="248">
        <v>-1.8572862278796173E-2</v>
      </c>
    </row>
    <row r="1624" spans="2:5" ht="15" thickBot="1" x14ac:dyDescent="0.35">
      <c r="B1624" s="170">
        <v>44368.645833333336</v>
      </c>
      <c r="C1624" s="169">
        <v>3311</v>
      </c>
      <c r="D1624" s="247">
        <f t="shared" si="28"/>
        <v>5.7540284587252695E-2</v>
      </c>
      <c r="E1624" s="248">
        <v>-1.8614025727666187E-2</v>
      </c>
    </row>
    <row r="1625" spans="2:5" ht="15" thickBot="1" x14ac:dyDescent="0.35">
      <c r="B1625" s="170">
        <v>44243.645833333336</v>
      </c>
      <c r="C1625" s="169">
        <v>3130.85</v>
      </c>
      <c r="D1625" s="247">
        <f t="shared" si="28"/>
        <v>-9.8906317455749057E-2</v>
      </c>
      <c r="E1625" s="248">
        <v>-1.8619230467831704E-2</v>
      </c>
    </row>
    <row r="1626" spans="2:5" ht="15" thickBot="1" x14ac:dyDescent="0.35">
      <c r="B1626" s="170">
        <v>45721.645833333336</v>
      </c>
      <c r="C1626" s="169">
        <v>3474.5</v>
      </c>
      <c r="D1626" s="247">
        <f t="shared" si="28"/>
        <v>0.22141563988539886</v>
      </c>
      <c r="E1626" s="248">
        <v>-1.8641434825589605E-2</v>
      </c>
    </row>
    <row r="1627" spans="2:5" ht="15" thickBot="1" x14ac:dyDescent="0.35">
      <c r="B1627" s="170">
        <v>44330.645833333336</v>
      </c>
      <c r="C1627" s="169">
        <v>2844.65</v>
      </c>
      <c r="D1627" s="247">
        <f t="shared" si="28"/>
        <v>-0.39394294479834668</v>
      </c>
      <c r="E1627" s="248">
        <v>-1.8646289716079529E-2</v>
      </c>
    </row>
    <row r="1628" spans="2:5" ht="15" thickBot="1" x14ac:dyDescent="0.35">
      <c r="B1628" s="170">
        <v>44531.645833333336</v>
      </c>
      <c r="C1628" s="169">
        <v>4693.7</v>
      </c>
      <c r="D1628" s="247">
        <f t="shared" si="28"/>
        <v>1.5226808556379663</v>
      </c>
      <c r="E1628" s="248">
        <v>-1.8660031988626268E-2</v>
      </c>
    </row>
    <row r="1629" spans="2:5" ht="15" thickBot="1" x14ac:dyDescent="0.35">
      <c r="B1629" s="170">
        <v>43738.645833333336</v>
      </c>
      <c r="C1629" s="169">
        <v>1860.6</v>
      </c>
      <c r="D1629" s="247">
        <f t="shared" si="28"/>
        <v>0.25529618135204418</v>
      </c>
      <c r="E1629" s="248">
        <v>-1.8670886075949415E-2</v>
      </c>
    </row>
    <row r="1630" spans="2:5" ht="15" thickBot="1" x14ac:dyDescent="0.35">
      <c r="B1630" s="170">
        <v>43535.645833333336</v>
      </c>
      <c r="C1630" s="169">
        <v>1482.2</v>
      </c>
      <c r="D1630" s="247">
        <f t="shared" si="28"/>
        <v>-0.69232685341830225</v>
      </c>
      <c r="E1630" s="248">
        <v>-1.8800476631801843E-2</v>
      </c>
    </row>
    <row r="1631" spans="2:5" ht="15" thickBot="1" x14ac:dyDescent="0.35">
      <c r="B1631" s="170">
        <v>45509.645833333336</v>
      </c>
      <c r="C1631" s="169">
        <v>4817.45</v>
      </c>
      <c r="D1631" s="247">
        <f t="shared" si="28"/>
        <v>0.13285126396237504</v>
      </c>
      <c r="E1631" s="248">
        <v>-1.8829304059145773E-2</v>
      </c>
    </row>
    <row r="1632" spans="2:5" ht="15" thickBot="1" x14ac:dyDescent="0.35">
      <c r="B1632" s="170">
        <v>45881.645833333336</v>
      </c>
      <c r="C1632" s="168">
        <v>4252.5</v>
      </c>
      <c r="D1632" s="247">
        <f t="shared" si="28"/>
        <v>0.23786513746779808</v>
      </c>
      <c r="E1632" s="248">
        <v>-1.8940617358003127E-2</v>
      </c>
    </row>
    <row r="1633" spans="2:5" ht="15" thickBot="1" x14ac:dyDescent="0.35">
      <c r="B1633" s="170">
        <v>45071.645833333336</v>
      </c>
      <c r="C1633" s="169">
        <v>3435.35</v>
      </c>
      <c r="D1633" s="247">
        <f t="shared" si="28"/>
        <v>-0.13323156885502352</v>
      </c>
      <c r="E1633" s="248">
        <v>-1.8961947597629782E-2</v>
      </c>
    </row>
    <row r="1634" spans="2:5" ht="15" thickBot="1" x14ac:dyDescent="0.35">
      <c r="B1634" s="170">
        <v>44764.645833333336</v>
      </c>
      <c r="C1634" s="169">
        <v>3963.4</v>
      </c>
      <c r="D1634" s="247">
        <f t="shared" si="28"/>
        <v>-2.7267149343477706E-2</v>
      </c>
      <c r="E1634" s="248">
        <v>-1.8972537468595708E-2</v>
      </c>
    </row>
    <row r="1635" spans="2:5" ht="15" thickBot="1" x14ac:dyDescent="0.35">
      <c r="B1635" s="170">
        <v>45812.645833333336</v>
      </c>
      <c r="C1635" s="168">
        <v>4074.5</v>
      </c>
      <c r="D1635" s="247">
        <f t="shared" si="28"/>
        <v>0.19542894026522706</v>
      </c>
      <c r="E1635" s="248">
        <v>-1.9020103527145782E-2</v>
      </c>
    </row>
    <row r="1636" spans="2:5" ht="15" thickBot="1" x14ac:dyDescent="0.35">
      <c r="B1636" s="170">
        <v>45720.645833333336</v>
      </c>
      <c r="C1636" s="169">
        <v>3408.4</v>
      </c>
      <c r="D1636" s="247">
        <f t="shared" si="28"/>
        <v>1.9400500301906327</v>
      </c>
      <c r="E1636" s="248">
        <v>-1.9024320046049766E-2</v>
      </c>
    </row>
    <row r="1637" spans="2:5" ht="15" thickBot="1" x14ac:dyDescent="0.35">
      <c r="B1637" s="170">
        <v>43125.645833333336</v>
      </c>
      <c r="C1637" s="169">
        <v>1159.3</v>
      </c>
      <c r="D1637" s="247">
        <f t="shared" si="28"/>
        <v>-0.68402403957535529</v>
      </c>
      <c r="E1637" s="248">
        <v>-1.9121753109400234E-2</v>
      </c>
    </row>
    <row r="1638" spans="2:5" ht="15" thickBot="1" x14ac:dyDescent="0.35">
      <c r="B1638" s="170">
        <v>45222.645833333336</v>
      </c>
      <c r="C1638" s="169">
        <v>3668.95</v>
      </c>
      <c r="D1638" s="247">
        <f t="shared" si="28"/>
        <v>1.8114559386973179</v>
      </c>
      <c r="E1638" s="248">
        <v>-1.914157008996013E-2</v>
      </c>
    </row>
    <row r="1639" spans="2:5" ht="15" thickBot="1" x14ac:dyDescent="0.35">
      <c r="B1639" s="170">
        <v>43629.645833333336</v>
      </c>
      <c r="C1639" s="169">
        <v>1305</v>
      </c>
      <c r="D1639" s="247">
        <f t="shared" si="28"/>
        <v>-0.64386589708952469</v>
      </c>
      <c r="E1639" s="248">
        <v>-1.9239440853750119E-2</v>
      </c>
    </row>
    <row r="1640" spans="2:5" ht="15" thickBot="1" x14ac:dyDescent="0.35">
      <c r="B1640" s="170">
        <v>45167.645833333336</v>
      </c>
      <c r="C1640" s="169">
        <v>3664.35</v>
      </c>
      <c r="D1640" s="247">
        <f t="shared" si="28"/>
        <v>-0.11307031344547987</v>
      </c>
      <c r="E1640" s="248">
        <v>-1.9257018975992364E-2</v>
      </c>
    </row>
    <row r="1641" spans="2:5" ht="15" thickBot="1" x14ac:dyDescent="0.35">
      <c r="B1641" s="170">
        <v>45758.645833333336</v>
      </c>
      <c r="C1641" s="168">
        <v>4131.5</v>
      </c>
      <c r="D1641" s="247">
        <f t="shared" si="28"/>
        <v>3.201069104624879E-2</v>
      </c>
      <c r="E1641" s="248">
        <v>-1.9275049255821641E-2</v>
      </c>
    </row>
    <row r="1642" spans="2:5" ht="15" thickBot="1" x14ac:dyDescent="0.35">
      <c r="B1642" s="170">
        <v>44651.645833333336</v>
      </c>
      <c r="C1642" s="169">
        <v>4003.35</v>
      </c>
      <c r="D1642" s="247">
        <f t="shared" si="28"/>
        <v>0.20162984752071078</v>
      </c>
      <c r="E1642" s="248">
        <v>-1.9315565136446014E-2</v>
      </c>
    </row>
    <row r="1643" spans="2:5" ht="15" thickBot="1" x14ac:dyDescent="0.35">
      <c r="B1643" s="170">
        <v>44396.645833333336</v>
      </c>
      <c r="C1643" s="169">
        <v>3331.6</v>
      </c>
      <c r="D1643" s="247">
        <f t="shared" si="28"/>
        <v>-0.29203765485879424</v>
      </c>
      <c r="E1643" s="248">
        <v>-1.933888676301777E-2</v>
      </c>
    </row>
    <row r="1644" spans="2:5" ht="15" thickBot="1" x14ac:dyDescent="0.35">
      <c r="B1644" s="170">
        <v>45433.645833333336</v>
      </c>
      <c r="C1644" s="169">
        <v>4705.8999999999996</v>
      </c>
      <c r="D1644" s="247">
        <f t="shared" si="28"/>
        <v>0.21689099207426646</v>
      </c>
      <c r="E1644" s="248">
        <v>-1.9359006418271346E-2</v>
      </c>
    </row>
    <row r="1645" spans="2:5" ht="15" thickBot="1" x14ac:dyDescent="0.35">
      <c r="B1645" s="170">
        <v>44685.645833333336</v>
      </c>
      <c r="C1645" s="169">
        <v>3867.15</v>
      </c>
      <c r="D1645" s="247">
        <f t="shared" si="28"/>
        <v>7.6331097442177628E-2</v>
      </c>
      <c r="E1645" s="248">
        <v>-1.9435569755058595E-2</v>
      </c>
    </row>
    <row r="1646" spans="2:5" ht="15" thickBot="1" x14ac:dyDescent="0.35">
      <c r="B1646" s="170">
        <v>45166.645833333336</v>
      </c>
      <c r="C1646" s="169">
        <v>3592.9</v>
      </c>
      <c r="D1646" s="247">
        <f t="shared" si="28"/>
        <v>-8.6264337122657062E-2</v>
      </c>
      <c r="E1646" s="248">
        <v>-1.9498683258968117E-2</v>
      </c>
    </row>
    <row r="1647" spans="2:5" ht="15" thickBot="1" x14ac:dyDescent="0.35">
      <c r="B1647" s="170">
        <v>45366.645833333336</v>
      </c>
      <c r="C1647" s="169">
        <v>3932.1</v>
      </c>
      <c r="D1647" s="247">
        <f t="shared" si="28"/>
        <v>0.77754170245468113</v>
      </c>
      <c r="E1647" s="248">
        <v>-1.9560908104873462E-2</v>
      </c>
    </row>
    <row r="1648" spans="2:5" ht="15" thickBot="1" x14ac:dyDescent="0.35">
      <c r="B1648" s="170">
        <v>43938.645833333336</v>
      </c>
      <c r="C1648" s="169">
        <v>2212.1</v>
      </c>
      <c r="D1648" s="247">
        <f t="shared" si="28"/>
        <v>0.17856096326487111</v>
      </c>
      <c r="E1648" s="248">
        <v>-1.956786703601112E-2</v>
      </c>
    </row>
    <row r="1649" spans="2:5" ht="15" thickBot="1" x14ac:dyDescent="0.35">
      <c r="B1649" s="170">
        <v>43840.645833333336</v>
      </c>
      <c r="C1649" s="169">
        <v>1876.95</v>
      </c>
      <c r="D1649" s="247">
        <f t="shared" si="28"/>
        <v>0.34269261034408749</v>
      </c>
      <c r="E1649" s="248">
        <v>-1.9690282819314259E-2</v>
      </c>
    </row>
    <row r="1650" spans="2:5" ht="15" thickBot="1" x14ac:dyDescent="0.35">
      <c r="B1650" s="170">
        <v>43644.645833333336</v>
      </c>
      <c r="C1650" s="169">
        <v>1397.9</v>
      </c>
      <c r="D1650" s="247">
        <f t="shared" si="28"/>
        <v>-0.3784072213081951</v>
      </c>
      <c r="E1650" s="248">
        <v>-1.973984081904552E-2</v>
      </c>
    </row>
    <row r="1651" spans="2:5" ht="15" thickBot="1" x14ac:dyDescent="0.35">
      <c r="B1651" s="170">
        <v>43866.645833333336</v>
      </c>
      <c r="C1651" s="169">
        <v>2248.9</v>
      </c>
      <c r="D1651" s="247">
        <f t="shared" si="28"/>
        <v>-0.20024893314366995</v>
      </c>
      <c r="E1651" s="248">
        <v>-1.9809532111491193E-2</v>
      </c>
    </row>
    <row r="1652" spans="2:5" ht="15" thickBot="1" x14ac:dyDescent="0.35">
      <c r="B1652" s="170">
        <v>44228.645833333336</v>
      </c>
      <c r="C1652" s="169">
        <v>2812</v>
      </c>
      <c r="D1652" s="247">
        <f t="shared" si="28"/>
        <v>0.92484085152987872</v>
      </c>
      <c r="E1652" s="248">
        <v>-1.9901711338050229E-2</v>
      </c>
    </row>
    <row r="1653" spans="2:5" ht="15" thickBot="1" x14ac:dyDescent="0.35">
      <c r="B1653" s="170">
        <v>43690.645833333336</v>
      </c>
      <c r="C1653" s="169">
        <v>1460.9</v>
      </c>
      <c r="D1653" s="247">
        <f t="shared" si="28"/>
        <v>-0.38696208640187996</v>
      </c>
      <c r="E1653" s="248">
        <v>-1.9924862471487871E-2</v>
      </c>
    </row>
    <row r="1654" spans="2:5" ht="15" thickBot="1" x14ac:dyDescent="0.35">
      <c r="B1654" s="170">
        <v>44148.645833333336</v>
      </c>
      <c r="C1654" s="169">
        <v>2383.0500000000002</v>
      </c>
      <c r="D1654" s="247">
        <f t="shared" si="28"/>
        <v>-0.30181354740419536</v>
      </c>
      <c r="E1654" s="248">
        <v>-2.0187899595008493E-2</v>
      </c>
    </row>
    <row r="1655" spans="2:5" ht="15" thickBot="1" x14ac:dyDescent="0.35">
      <c r="B1655" s="170">
        <v>44400.645833333336</v>
      </c>
      <c r="C1655" s="169">
        <v>3413.2</v>
      </c>
      <c r="D1655" s="247">
        <f t="shared" si="28"/>
        <v>1.3006201132380695</v>
      </c>
      <c r="E1655" s="248">
        <v>-2.0194916105696879E-2</v>
      </c>
    </row>
    <row r="1656" spans="2:5" ht="15" thickBot="1" x14ac:dyDescent="0.35">
      <c r="B1656" s="170">
        <v>43678.645833333336</v>
      </c>
      <c r="C1656" s="169">
        <v>1483.6</v>
      </c>
      <c r="D1656" s="247">
        <f t="shared" si="28"/>
        <v>-0.69098104561549678</v>
      </c>
      <c r="E1656" s="248">
        <v>-2.0208691057984503E-2</v>
      </c>
    </row>
    <row r="1657" spans="2:5" ht="15" thickBot="1" x14ac:dyDescent="0.35">
      <c r="B1657" s="170">
        <v>45469.645833333336</v>
      </c>
      <c r="C1657" s="169">
        <v>4801</v>
      </c>
      <c r="D1657" s="247">
        <f t="shared" si="28"/>
        <v>0.57904257593448349</v>
      </c>
      <c r="E1657" s="248">
        <v>-2.0224077059651915E-2</v>
      </c>
    </row>
    <row r="1658" spans="2:5" ht="15" thickBot="1" x14ac:dyDescent="0.35">
      <c r="B1658" s="170">
        <v>44340.645833333336</v>
      </c>
      <c r="C1658" s="169">
        <v>3040.45</v>
      </c>
      <c r="D1658" s="247">
        <f t="shared" si="28"/>
        <v>-0.10800621956228366</v>
      </c>
      <c r="E1658" s="248">
        <v>-2.0426244824975463E-2</v>
      </c>
    </row>
    <row r="1659" spans="2:5" ht="15" thickBot="1" x14ac:dyDescent="0.35">
      <c r="B1659" s="170">
        <v>44739.645833333336</v>
      </c>
      <c r="C1659" s="169">
        <v>3408.6</v>
      </c>
      <c r="D1659" s="247">
        <f t="shared" si="28"/>
        <v>1.2761176588427765</v>
      </c>
      <c r="E1659" s="248">
        <v>-2.0503168148967632E-2</v>
      </c>
    </row>
    <row r="1660" spans="2:5" ht="15" thickBot="1" x14ac:dyDescent="0.35">
      <c r="B1660" s="170">
        <v>43245.645833333336</v>
      </c>
      <c r="C1660" s="169">
        <v>1497.55</v>
      </c>
      <c r="D1660" s="247">
        <f t="shared" si="28"/>
        <v>0.11928696887028656</v>
      </c>
      <c r="E1660" s="248">
        <v>-2.0504938190856258E-2</v>
      </c>
    </row>
    <row r="1661" spans="2:5" ht="15" thickBot="1" x14ac:dyDescent="0.35">
      <c r="B1661" s="170">
        <v>43404.645833333336</v>
      </c>
      <c r="C1661" s="169">
        <v>1337.95</v>
      </c>
      <c r="D1661" s="247">
        <f t="shared" si="28"/>
        <v>-0.66995572110462887</v>
      </c>
      <c r="E1661" s="248">
        <v>-2.0606104970353464E-2</v>
      </c>
    </row>
    <row r="1662" spans="2:5" ht="15" thickBot="1" x14ac:dyDescent="0.35">
      <c r="B1662" s="170">
        <v>45755.645833333336</v>
      </c>
      <c r="C1662" s="168">
        <v>4053.85</v>
      </c>
      <c r="D1662" s="247">
        <f t="shared" si="28"/>
        <v>2.4946982758620688</v>
      </c>
      <c r="E1662" s="248">
        <v>-2.0643587079941118E-2</v>
      </c>
    </row>
    <row r="1663" spans="2:5" ht="15" thickBot="1" x14ac:dyDescent="0.35">
      <c r="B1663" s="170">
        <v>43102.645833333336</v>
      </c>
      <c r="C1663" s="169">
        <v>1160</v>
      </c>
      <c r="D1663" s="247">
        <f t="shared" si="28"/>
        <v>-0.58512160228898424</v>
      </c>
      <c r="E1663" s="248">
        <v>-2.0725169895740962E-2</v>
      </c>
    </row>
    <row r="1664" spans="2:5" ht="15" thickBot="1" x14ac:dyDescent="0.35">
      <c r="B1664" s="170">
        <v>44280.645833333336</v>
      </c>
      <c r="C1664" s="169">
        <v>2796</v>
      </c>
      <c r="D1664" s="247">
        <f t="shared" si="28"/>
        <v>-0.25563069059155524</v>
      </c>
      <c r="E1664" s="248">
        <v>-2.07340991874474E-2</v>
      </c>
    </row>
    <row r="1665" spans="2:5" ht="15" thickBot="1" x14ac:dyDescent="0.35">
      <c r="B1665" s="170">
        <v>45342.645833333336</v>
      </c>
      <c r="C1665" s="169">
        <v>3756.2</v>
      </c>
      <c r="D1665" s="247">
        <f t="shared" si="28"/>
        <v>0.63075520437623456</v>
      </c>
      <c r="E1665" s="248">
        <v>-2.0739099263507838E-2</v>
      </c>
    </row>
    <row r="1666" spans="2:5" ht="15" thickBot="1" x14ac:dyDescent="0.35">
      <c r="B1666" s="170">
        <v>43963.645833333336</v>
      </c>
      <c r="C1666" s="169">
        <v>2303.35</v>
      </c>
      <c r="D1666" s="247">
        <f t="shared" si="28"/>
        <v>0.81066740036160689</v>
      </c>
      <c r="E1666" s="248">
        <v>-2.0746976170737487E-2</v>
      </c>
    </row>
    <row r="1667" spans="2:5" ht="15" thickBot="1" x14ac:dyDescent="0.35">
      <c r="B1667" s="170">
        <v>43606.645833333336</v>
      </c>
      <c r="C1667" s="169">
        <v>1272.0999999999999</v>
      </c>
      <c r="D1667" s="247">
        <f t="shared" si="28"/>
        <v>-0.11840327107661397</v>
      </c>
      <c r="E1667" s="248">
        <v>-2.0821306238694669E-2</v>
      </c>
    </row>
    <row r="1668" spans="2:5" ht="15" thickBot="1" x14ac:dyDescent="0.35">
      <c r="B1668" s="170">
        <v>43497.645833333336</v>
      </c>
      <c r="C1668" s="169">
        <v>1442.95</v>
      </c>
      <c r="D1668" s="247">
        <f t="shared" si="28"/>
        <v>-0.66769914561407551</v>
      </c>
      <c r="E1668" s="248">
        <v>-2.0998710903046371E-2</v>
      </c>
    </row>
    <row r="1669" spans="2:5" ht="15" thickBot="1" x14ac:dyDescent="0.35">
      <c r="B1669" s="170">
        <v>45768.645833333336</v>
      </c>
      <c r="C1669" s="168">
        <v>4342.3</v>
      </c>
      <c r="D1669" s="247">
        <f t="shared" ref="D1669:D1732" si="29">(C1669-C1670)/C1670</f>
        <v>0.1708888918849685</v>
      </c>
      <c r="E1669" s="248">
        <v>-2.1034358373162632E-2</v>
      </c>
    </row>
    <row r="1670" spans="2:5" ht="15" thickBot="1" x14ac:dyDescent="0.35">
      <c r="B1670" s="170">
        <v>44432.645833333336</v>
      </c>
      <c r="C1670" s="169">
        <v>3708.55</v>
      </c>
      <c r="D1670" s="247">
        <f t="shared" si="29"/>
        <v>1.3714230904498517</v>
      </c>
      <c r="E1670" s="248">
        <v>-2.141330448320438E-2</v>
      </c>
    </row>
    <row r="1671" spans="2:5" ht="15" thickBot="1" x14ac:dyDescent="0.35">
      <c r="B1671" s="170">
        <v>43290.645833333336</v>
      </c>
      <c r="C1671" s="169">
        <v>1563.85</v>
      </c>
      <c r="D1671" s="247">
        <f t="shared" si="29"/>
        <v>7.8219801434087022E-2</v>
      </c>
      <c r="E1671" s="248">
        <v>-2.1431700143920908E-2</v>
      </c>
    </row>
    <row r="1672" spans="2:5" ht="15" thickBot="1" x14ac:dyDescent="0.35">
      <c r="B1672" s="170">
        <v>43532.645833333336</v>
      </c>
      <c r="C1672" s="169">
        <v>1450.4</v>
      </c>
      <c r="D1672" s="247">
        <f t="shared" si="29"/>
        <v>-0.65618518211233712</v>
      </c>
      <c r="E1672" s="248">
        <v>-2.1454594521656965E-2</v>
      </c>
    </row>
    <row r="1673" spans="2:5" ht="15" thickBot="1" x14ac:dyDescent="0.35">
      <c r="B1673" s="170">
        <v>44475.645833333336</v>
      </c>
      <c r="C1673" s="169">
        <v>4218.55</v>
      </c>
      <c r="D1673" s="247">
        <f t="shared" si="29"/>
        <v>-0.14080734841850129</v>
      </c>
      <c r="E1673" s="248">
        <v>-2.1604007699979041E-2</v>
      </c>
    </row>
    <row r="1674" spans="2:5" ht="15" thickBot="1" x14ac:dyDescent="0.35">
      <c r="B1674" s="170">
        <v>45510.645833333336</v>
      </c>
      <c r="C1674" s="169">
        <v>4909.8999999999996</v>
      </c>
      <c r="D1674" s="247">
        <f t="shared" si="29"/>
        <v>0.36454338280251236</v>
      </c>
      <c r="E1674" s="248">
        <v>-2.1639932250672584E-2</v>
      </c>
    </row>
    <row r="1675" spans="2:5" ht="15" thickBot="1" x14ac:dyDescent="0.35">
      <c r="B1675" s="170">
        <v>45051.645833333336</v>
      </c>
      <c r="C1675" s="169">
        <v>3598.2</v>
      </c>
      <c r="D1675" s="247">
        <f t="shared" si="29"/>
        <v>0.6366985830926335</v>
      </c>
      <c r="E1675" s="248">
        <v>-2.1656674415759233E-2</v>
      </c>
    </row>
    <row r="1676" spans="2:5" ht="15" thickBot="1" x14ac:dyDescent="0.35">
      <c r="B1676" s="170">
        <v>43894.645833333336</v>
      </c>
      <c r="C1676" s="169">
        <v>2198.4499999999998</v>
      </c>
      <c r="D1676" s="247">
        <f t="shared" si="29"/>
        <v>-0.49011990630145885</v>
      </c>
      <c r="E1676" s="248">
        <v>-2.1693663225347101E-2</v>
      </c>
    </row>
    <row r="1677" spans="2:5" ht="15" thickBot="1" x14ac:dyDescent="0.35">
      <c r="B1677" s="170">
        <v>44476.645833333336</v>
      </c>
      <c r="C1677" s="169">
        <v>4311.7</v>
      </c>
      <c r="D1677" s="247">
        <f t="shared" si="29"/>
        <v>0.31822003454759462</v>
      </c>
      <c r="E1677" s="248">
        <v>-2.1835547136423963E-2</v>
      </c>
    </row>
    <row r="1678" spans="2:5" ht="15" thickBot="1" x14ac:dyDescent="0.35">
      <c r="B1678" s="170">
        <v>44376.645833333336</v>
      </c>
      <c r="C1678" s="169">
        <v>3270.85</v>
      </c>
      <c r="D1678" s="247">
        <f t="shared" si="29"/>
        <v>-0.20396938390586403</v>
      </c>
      <c r="E1678" s="248">
        <v>-2.1904249274842261E-2</v>
      </c>
    </row>
    <row r="1679" spans="2:5" ht="15" thickBot="1" x14ac:dyDescent="0.35">
      <c r="B1679" s="170">
        <v>44908.645833333336</v>
      </c>
      <c r="C1679" s="169">
        <v>4108.95</v>
      </c>
      <c r="D1679" s="247">
        <f t="shared" si="29"/>
        <v>1.8351273028358517</v>
      </c>
      <c r="E1679" s="248">
        <v>-2.1934731379876827E-2</v>
      </c>
    </row>
    <row r="1680" spans="2:5" ht="15" thickBot="1" x14ac:dyDescent="0.35">
      <c r="B1680" s="170">
        <v>43560.645833333336</v>
      </c>
      <c r="C1680" s="169">
        <v>1449.3</v>
      </c>
      <c r="D1680" s="247">
        <f t="shared" si="29"/>
        <v>-0.67295867134524034</v>
      </c>
      <c r="E1680" s="248">
        <v>-2.19657860107298E-2</v>
      </c>
    </row>
    <row r="1681" spans="2:5" ht="15" thickBot="1" x14ac:dyDescent="0.35">
      <c r="B1681" s="170">
        <v>44802.645833333336</v>
      </c>
      <c r="C1681" s="169">
        <v>4431.55</v>
      </c>
      <c r="D1681" s="247">
        <f t="shared" si="29"/>
        <v>0.33261663834969718</v>
      </c>
      <c r="E1681" s="248">
        <v>-2.2024341531773132E-2</v>
      </c>
    </row>
    <row r="1682" spans="2:5" ht="15" thickBot="1" x14ac:dyDescent="0.35">
      <c r="B1682" s="170">
        <v>45014.645833333336</v>
      </c>
      <c r="C1682" s="169">
        <v>3325.45</v>
      </c>
      <c r="D1682" s="247">
        <f t="shared" si="29"/>
        <v>-0.13881911174414094</v>
      </c>
      <c r="E1682" s="248">
        <v>-2.2228429455609402E-2</v>
      </c>
    </row>
    <row r="1683" spans="2:5" ht="15" thickBot="1" x14ac:dyDescent="0.35">
      <c r="B1683" s="170">
        <v>45259.645833333336</v>
      </c>
      <c r="C1683" s="169">
        <v>3861.5</v>
      </c>
      <c r="D1683" s="247">
        <f t="shared" si="29"/>
        <v>0.98427584080573471</v>
      </c>
      <c r="E1683" s="248">
        <v>-2.2343186277612507E-2</v>
      </c>
    </row>
    <row r="1684" spans="2:5" ht="15" thickBot="1" x14ac:dyDescent="0.35">
      <c r="B1684" s="170">
        <v>43846.645833333336</v>
      </c>
      <c r="C1684" s="169">
        <v>1946.05</v>
      </c>
      <c r="D1684" s="247">
        <f t="shared" si="29"/>
        <v>8.081017379367457E-3</v>
      </c>
      <c r="E1684" s="248">
        <v>-2.2355630353419909E-2</v>
      </c>
    </row>
    <row r="1685" spans="2:5" ht="15" thickBot="1" x14ac:dyDescent="0.35">
      <c r="B1685" s="170">
        <v>43858.645833333336</v>
      </c>
      <c r="C1685" s="169">
        <v>1930.45</v>
      </c>
      <c r="D1685" s="247">
        <f t="shared" si="29"/>
        <v>-0.45987801124758676</v>
      </c>
      <c r="E1685" s="248">
        <v>-2.2383713569493351E-2</v>
      </c>
    </row>
    <row r="1686" spans="2:5" ht="15" thickBot="1" x14ac:dyDescent="0.35">
      <c r="B1686" s="170">
        <v>44704.645833333336</v>
      </c>
      <c r="C1686" s="169">
        <v>3574.1</v>
      </c>
      <c r="D1686" s="247">
        <f t="shared" si="29"/>
        <v>-0.14965144774095321</v>
      </c>
      <c r="E1686" s="248">
        <v>-2.2602037328228644E-2</v>
      </c>
    </row>
    <row r="1687" spans="2:5" ht="15" thickBot="1" x14ac:dyDescent="0.35">
      <c r="B1687" s="170">
        <v>45827.645833333336</v>
      </c>
      <c r="C1687" s="168">
        <v>4203.1000000000004</v>
      </c>
      <c r="D1687" s="247">
        <f t="shared" si="29"/>
        <v>0.223966220151427</v>
      </c>
      <c r="E1687" s="248">
        <v>-2.2603074204125249E-2</v>
      </c>
    </row>
    <row r="1688" spans="2:5" ht="15" thickBot="1" x14ac:dyDescent="0.35">
      <c r="B1688" s="170">
        <v>44949.645833333336</v>
      </c>
      <c r="C1688" s="169">
        <v>3434</v>
      </c>
      <c r="D1688" s="247">
        <f t="shared" si="29"/>
        <v>-0.17209122908529825</v>
      </c>
      <c r="E1688" s="248">
        <v>-2.2627010103885015E-2</v>
      </c>
    </row>
    <row r="1689" spans="2:5" ht="15" thickBot="1" x14ac:dyDescent="0.35">
      <c r="B1689" s="170">
        <v>44770.645833333336</v>
      </c>
      <c r="C1689" s="169">
        <v>4147.8</v>
      </c>
      <c r="D1689" s="247">
        <f t="shared" si="29"/>
        <v>0.85318559556786722</v>
      </c>
      <c r="E1689" s="248">
        <v>-2.2632750921922351E-2</v>
      </c>
    </row>
    <row r="1690" spans="2:5" ht="15" thickBot="1" x14ac:dyDescent="0.35">
      <c r="B1690" s="170">
        <v>43942.645833333336</v>
      </c>
      <c r="C1690" s="169">
        <v>2238.1999999999998</v>
      </c>
      <c r="D1690" s="247">
        <f t="shared" si="29"/>
        <v>6.8710308933772446E-2</v>
      </c>
      <c r="E1690" s="248">
        <v>-2.2641427043077818E-2</v>
      </c>
    </row>
    <row r="1691" spans="2:5" ht="15" thickBot="1" x14ac:dyDescent="0.35">
      <c r="B1691" s="170">
        <v>44123.645833333336</v>
      </c>
      <c r="C1691" s="169">
        <v>2094.3000000000002</v>
      </c>
      <c r="D1691" s="247">
        <f t="shared" si="29"/>
        <v>-0.45616016827016703</v>
      </c>
      <c r="E1691" s="248">
        <v>-2.2747952684258416E-2</v>
      </c>
    </row>
    <row r="1692" spans="2:5" ht="15" thickBot="1" x14ac:dyDescent="0.35">
      <c r="B1692" s="170">
        <v>44749.645833333336</v>
      </c>
      <c r="C1692" s="169">
        <v>3850.95</v>
      </c>
      <c r="D1692" s="247">
        <f t="shared" si="29"/>
        <v>-5.4621523204462933E-3</v>
      </c>
      <c r="E1692" s="248">
        <v>-2.3023061115762234E-2</v>
      </c>
    </row>
    <row r="1693" spans="2:5" ht="15" thickBot="1" x14ac:dyDescent="0.35">
      <c r="B1693" s="170">
        <v>45104.645833333336</v>
      </c>
      <c r="C1693" s="169">
        <v>3872.1</v>
      </c>
      <c r="D1693" s="247">
        <f t="shared" si="29"/>
        <v>1.5481886084696128</v>
      </c>
      <c r="E1693" s="248">
        <v>-2.3085074174992431E-2</v>
      </c>
    </row>
    <row r="1694" spans="2:5" ht="15" thickBot="1" x14ac:dyDescent="0.35">
      <c r="B1694" s="170">
        <v>43257.645833333336</v>
      </c>
      <c r="C1694" s="169">
        <v>1519.55</v>
      </c>
      <c r="D1694" s="247">
        <f t="shared" si="29"/>
        <v>-0.65625318116523956</v>
      </c>
      <c r="E1694" s="248">
        <v>-2.3142939796213558E-2</v>
      </c>
    </row>
    <row r="1695" spans="2:5" ht="15" thickBot="1" x14ac:dyDescent="0.35">
      <c r="B1695" s="170">
        <v>45378.645833333336</v>
      </c>
      <c r="C1695" s="169">
        <v>4420.55</v>
      </c>
      <c r="D1695" s="247">
        <f t="shared" si="29"/>
        <v>0.13199405905098469</v>
      </c>
      <c r="E1695" s="248">
        <v>-2.3212391727063852E-2</v>
      </c>
    </row>
    <row r="1696" spans="2:5" ht="15" thickBot="1" x14ac:dyDescent="0.35">
      <c r="B1696" s="170">
        <v>45740.645833333336</v>
      </c>
      <c r="C1696" s="169">
        <v>3905.1</v>
      </c>
      <c r="D1696" s="247">
        <f t="shared" si="29"/>
        <v>1.5858164481525623</v>
      </c>
      <c r="E1696" s="248">
        <v>-2.3432029608882732E-2</v>
      </c>
    </row>
    <row r="1697" spans="2:5" ht="15" thickBot="1" x14ac:dyDescent="0.35">
      <c r="B1697" s="170">
        <v>43444.645833333336</v>
      </c>
      <c r="C1697" s="169">
        <v>1510.2</v>
      </c>
      <c r="D1697" s="247">
        <f t="shared" si="29"/>
        <v>-0.42403844320283751</v>
      </c>
      <c r="E1697" s="248">
        <v>-2.347235693501452E-2</v>
      </c>
    </row>
    <row r="1698" spans="2:5" ht="15" thickBot="1" x14ac:dyDescent="0.35">
      <c r="B1698" s="170">
        <v>44175.645833333336</v>
      </c>
      <c r="C1698" s="169">
        <v>2622.05</v>
      </c>
      <c r="D1698" s="247">
        <f t="shared" si="29"/>
        <v>-0.26072798015112214</v>
      </c>
      <c r="E1698" s="248">
        <v>-2.3481434583441856E-2</v>
      </c>
    </row>
    <row r="1699" spans="2:5" ht="15" thickBot="1" x14ac:dyDescent="0.35">
      <c r="B1699" s="170">
        <v>45085.645833333336</v>
      </c>
      <c r="C1699" s="169">
        <v>3546.8</v>
      </c>
      <c r="D1699" s="247">
        <f t="shared" si="29"/>
        <v>-0.287876962614946</v>
      </c>
      <c r="E1699" s="248">
        <v>-2.3485036204950231E-2</v>
      </c>
    </row>
    <row r="1700" spans="2:5" ht="15" thickBot="1" x14ac:dyDescent="0.35">
      <c r="B1700" s="170">
        <v>45538.645833333336</v>
      </c>
      <c r="C1700" s="169">
        <v>4980.6000000000004</v>
      </c>
      <c r="D1700" s="247">
        <f t="shared" si="29"/>
        <v>0.23295911673329953</v>
      </c>
      <c r="E1700" s="248">
        <v>-2.3584073398811835E-2</v>
      </c>
    </row>
    <row r="1701" spans="2:5" ht="15" thickBot="1" x14ac:dyDescent="0.35">
      <c r="B1701" s="170">
        <v>45265.645833333336</v>
      </c>
      <c r="C1701" s="169">
        <v>4039.55</v>
      </c>
      <c r="D1701" s="247">
        <f t="shared" si="29"/>
        <v>1.718039294845916</v>
      </c>
      <c r="E1701" s="248">
        <v>-2.3591119490470363E-2</v>
      </c>
    </row>
    <row r="1702" spans="2:5" ht="15" thickBot="1" x14ac:dyDescent="0.35">
      <c r="B1702" s="170">
        <v>43564.645833333336</v>
      </c>
      <c r="C1702" s="169">
        <v>1486.2</v>
      </c>
      <c r="D1702" s="247">
        <f t="shared" si="29"/>
        <v>-0.60255655987591583</v>
      </c>
      <c r="E1702" s="248">
        <v>-2.3714116796951921E-2</v>
      </c>
    </row>
    <row r="1703" spans="2:5" ht="15" thickBot="1" x14ac:dyDescent="0.35">
      <c r="B1703" s="170">
        <v>44720.645833333336</v>
      </c>
      <c r="C1703" s="169">
        <v>3739.4</v>
      </c>
      <c r="D1703" s="247">
        <f t="shared" si="29"/>
        <v>1.4039085853878053</v>
      </c>
      <c r="E1703" s="248">
        <v>-2.3744566423433842E-2</v>
      </c>
    </row>
    <row r="1704" spans="2:5" ht="15" thickBot="1" x14ac:dyDescent="0.35">
      <c r="B1704" s="170">
        <v>43258.645833333336</v>
      </c>
      <c r="C1704" s="169">
        <v>1555.55</v>
      </c>
      <c r="D1704" s="247">
        <f t="shared" si="29"/>
        <v>-0.64534552335788054</v>
      </c>
      <c r="E1704" s="248">
        <v>-2.3846129710395032E-2</v>
      </c>
    </row>
    <row r="1705" spans="2:5" ht="15" thickBot="1" x14ac:dyDescent="0.35">
      <c r="B1705" s="170">
        <v>44813.645833333336</v>
      </c>
      <c r="C1705" s="169">
        <v>4386.1000000000004</v>
      </c>
      <c r="D1705" s="247">
        <f t="shared" si="29"/>
        <v>2.3107638888888893</v>
      </c>
      <c r="E1705" s="248">
        <v>-2.3846881433260921E-2</v>
      </c>
    </row>
    <row r="1706" spans="2:5" ht="15" thickBot="1" x14ac:dyDescent="0.35">
      <c r="B1706" s="170">
        <v>43187.645833333336</v>
      </c>
      <c r="C1706" s="169">
        <v>1324.8</v>
      </c>
      <c r="D1706" s="247">
        <f t="shared" si="29"/>
        <v>-0.62946803154891773</v>
      </c>
      <c r="E1706" s="248">
        <v>-2.3944595888897077E-2</v>
      </c>
    </row>
    <row r="1707" spans="2:5" ht="15" thickBot="1" x14ac:dyDescent="0.35">
      <c r="B1707" s="170">
        <v>45687.645833333336</v>
      </c>
      <c r="C1707" s="169">
        <v>3575.4</v>
      </c>
      <c r="D1707" s="247">
        <f t="shared" si="29"/>
        <v>0.44044477569848717</v>
      </c>
      <c r="E1707" s="248">
        <v>-2.4354303958086038E-2</v>
      </c>
    </row>
    <row r="1708" spans="2:5" ht="15" thickBot="1" x14ac:dyDescent="0.35">
      <c r="B1708" s="170">
        <v>43873.645833333336</v>
      </c>
      <c r="C1708" s="169">
        <v>2482.15</v>
      </c>
      <c r="D1708" s="247">
        <f t="shared" si="29"/>
        <v>-0.37790726817042603</v>
      </c>
      <c r="E1708" s="248">
        <v>-2.4369632293693374E-2</v>
      </c>
    </row>
    <row r="1709" spans="2:5" ht="15" thickBot="1" x14ac:dyDescent="0.35">
      <c r="B1709" s="170">
        <v>44911.645833333336</v>
      </c>
      <c r="C1709" s="169">
        <v>3990</v>
      </c>
      <c r="D1709" s="247">
        <f t="shared" si="29"/>
        <v>0.68717493340098945</v>
      </c>
      <c r="E1709" s="248">
        <v>-2.449757958046057E-2</v>
      </c>
    </row>
    <row r="1710" spans="2:5" ht="15" thickBot="1" x14ac:dyDescent="0.35">
      <c r="B1710" s="170">
        <v>43879.645833333336</v>
      </c>
      <c r="C1710" s="169">
        <v>2364.9</v>
      </c>
      <c r="D1710" s="247">
        <f t="shared" si="29"/>
        <v>0.54598940968817411</v>
      </c>
      <c r="E1710" s="248">
        <v>-2.4582388121262077E-2</v>
      </c>
    </row>
    <row r="1711" spans="2:5" ht="15" thickBot="1" x14ac:dyDescent="0.35">
      <c r="B1711" s="170">
        <v>43714.645833333336</v>
      </c>
      <c r="C1711" s="169">
        <v>1529.7</v>
      </c>
      <c r="D1711" s="247">
        <f t="shared" si="29"/>
        <v>-0.61590418319690643</v>
      </c>
      <c r="E1711" s="248">
        <v>-2.4923508414074393E-2</v>
      </c>
    </row>
    <row r="1712" spans="2:5" ht="15" thickBot="1" x14ac:dyDescent="0.35">
      <c r="B1712" s="170">
        <v>44454.645833333336</v>
      </c>
      <c r="C1712" s="169">
        <v>3982.6</v>
      </c>
      <c r="D1712" s="247">
        <f t="shared" si="29"/>
        <v>1.7873740201567752</v>
      </c>
      <c r="E1712" s="248">
        <v>-2.4947974048231139E-2</v>
      </c>
    </row>
    <row r="1713" spans="2:5" ht="15" thickBot="1" x14ac:dyDescent="0.35">
      <c r="B1713" s="170">
        <v>43509.645833333336</v>
      </c>
      <c r="C1713" s="169">
        <v>1428.8</v>
      </c>
      <c r="D1713" s="247">
        <f t="shared" si="29"/>
        <v>-0.64098247377347817</v>
      </c>
      <c r="E1713" s="248">
        <v>-2.4976115736317819E-2</v>
      </c>
    </row>
    <row r="1714" spans="2:5" ht="15" thickBot="1" x14ac:dyDescent="0.35">
      <c r="B1714" s="170">
        <v>44606.645833333336</v>
      </c>
      <c r="C1714" s="169">
        <v>3979.75</v>
      </c>
      <c r="D1714" s="247">
        <f t="shared" si="29"/>
        <v>0.76485587583148562</v>
      </c>
      <c r="E1714" s="248">
        <v>-2.4989281558155205E-2</v>
      </c>
    </row>
    <row r="1715" spans="2:5" ht="15" thickBot="1" x14ac:dyDescent="0.35">
      <c r="B1715" s="170">
        <v>43959.645833333336</v>
      </c>
      <c r="C1715" s="169">
        <v>2255</v>
      </c>
      <c r="D1715" s="247">
        <f t="shared" si="29"/>
        <v>-0.31126110992333766</v>
      </c>
      <c r="E1715" s="248">
        <v>-2.5307427978647611E-2</v>
      </c>
    </row>
    <row r="1716" spans="2:5" ht="15" thickBot="1" x14ac:dyDescent="0.35">
      <c r="B1716" s="170">
        <v>44361.645833333336</v>
      </c>
      <c r="C1716" s="169">
        <v>3274.1</v>
      </c>
      <c r="D1716" s="247">
        <f t="shared" si="29"/>
        <v>1.4334609238544724</v>
      </c>
      <c r="E1716" s="248">
        <v>-2.5420449471647594E-2</v>
      </c>
    </row>
    <row r="1717" spans="2:5" ht="15" thickBot="1" x14ac:dyDescent="0.35">
      <c r="B1717" s="170">
        <v>43241.645833333336</v>
      </c>
      <c r="C1717" s="169">
        <v>1345.45</v>
      </c>
      <c r="D1717" s="247">
        <f t="shared" si="29"/>
        <v>-0.12153956646644024</v>
      </c>
      <c r="E1717" s="248">
        <v>-2.5424649596175374E-2</v>
      </c>
    </row>
    <row r="1718" spans="2:5" ht="15" thickBot="1" x14ac:dyDescent="0.35">
      <c r="B1718" s="170">
        <v>43304.645833333336</v>
      </c>
      <c r="C1718" s="169">
        <v>1531.6</v>
      </c>
      <c r="D1718" s="247">
        <f t="shared" si="29"/>
        <v>-0.62241916994342206</v>
      </c>
      <c r="E1718" s="248">
        <v>-2.5482772882003103E-2</v>
      </c>
    </row>
    <row r="1719" spans="2:5" ht="15" thickBot="1" x14ac:dyDescent="0.35">
      <c r="B1719" s="170">
        <v>45371.645833333336</v>
      </c>
      <c r="C1719" s="169">
        <v>4056.35</v>
      </c>
      <c r="D1719" s="247">
        <f t="shared" si="29"/>
        <v>0.166791313102258</v>
      </c>
      <c r="E1719" s="248">
        <v>-2.5641949508779623E-2</v>
      </c>
    </row>
    <row r="1720" spans="2:5" ht="15" thickBot="1" x14ac:dyDescent="0.35">
      <c r="B1720" s="170">
        <v>45671.645833333336</v>
      </c>
      <c r="C1720" s="169">
        <v>3476.5</v>
      </c>
      <c r="D1720" s="247">
        <f t="shared" si="29"/>
        <v>-0.22465319594986399</v>
      </c>
      <c r="E1720" s="248">
        <v>-2.5767490086732285E-2</v>
      </c>
    </row>
    <row r="1721" spans="2:5" ht="15" thickBot="1" x14ac:dyDescent="0.35">
      <c r="B1721" s="170">
        <v>45411.645833333336</v>
      </c>
      <c r="C1721" s="169">
        <v>4483.8</v>
      </c>
      <c r="D1721" s="247">
        <f t="shared" si="29"/>
        <v>2.1459743904578144</v>
      </c>
      <c r="E1721" s="248">
        <v>-2.6065424214779094E-2</v>
      </c>
    </row>
    <row r="1722" spans="2:5" ht="15" thickBot="1" x14ac:dyDescent="0.35">
      <c r="B1722" s="170">
        <v>43661.645833333336</v>
      </c>
      <c r="C1722" s="169">
        <v>1425.25</v>
      </c>
      <c r="D1722" s="247">
        <f t="shared" si="29"/>
        <v>-0.59977254219201936</v>
      </c>
      <c r="E1722" s="248">
        <v>-2.6202514348182503E-2</v>
      </c>
    </row>
    <row r="1723" spans="2:5" ht="15" thickBot="1" x14ac:dyDescent="0.35">
      <c r="B1723" s="170">
        <v>44697.645833333336</v>
      </c>
      <c r="C1723" s="169">
        <v>3561.1</v>
      </c>
      <c r="D1723" s="247">
        <f t="shared" si="29"/>
        <v>0.60521986071356138</v>
      </c>
      <c r="E1723" s="248">
        <v>-2.6223680612523951E-2</v>
      </c>
    </row>
    <row r="1724" spans="2:5" ht="15" thickBot="1" x14ac:dyDescent="0.35">
      <c r="B1724" s="170">
        <v>44076.645833333336</v>
      </c>
      <c r="C1724" s="169">
        <v>2218.4499999999998</v>
      </c>
      <c r="D1724" s="247">
        <f t="shared" si="29"/>
        <v>8.3571446015581072E-2</v>
      </c>
      <c r="E1724" s="248">
        <v>-2.6312324438202365E-2</v>
      </c>
    </row>
    <row r="1725" spans="2:5" ht="15" thickBot="1" x14ac:dyDescent="0.35">
      <c r="B1725" s="170">
        <v>44098.645833333336</v>
      </c>
      <c r="C1725" s="169">
        <v>2047.35</v>
      </c>
      <c r="D1725" s="247">
        <f t="shared" si="29"/>
        <v>-0.50238798352109093</v>
      </c>
      <c r="E1725" s="248">
        <v>-2.6323298616065017E-2</v>
      </c>
    </row>
    <row r="1726" spans="2:5" ht="15" thickBot="1" x14ac:dyDescent="0.35">
      <c r="B1726" s="170">
        <v>44592.645833333336</v>
      </c>
      <c r="C1726" s="169">
        <v>4114.3500000000004</v>
      </c>
      <c r="D1726" s="247">
        <f t="shared" si="29"/>
        <v>2.0338458135162041</v>
      </c>
      <c r="E1726" s="248">
        <v>-2.6327622112836045E-2</v>
      </c>
    </row>
    <row r="1727" spans="2:5" ht="15" thickBot="1" x14ac:dyDescent="0.35">
      <c r="B1727" s="170">
        <v>43651.645833333336</v>
      </c>
      <c r="C1727" s="169">
        <v>1356.15</v>
      </c>
      <c r="D1727" s="247">
        <f t="shared" si="29"/>
        <v>-8.7013599030564159E-2</v>
      </c>
      <c r="E1727" s="248">
        <v>-2.6453697056712067E-2</v>
      </c>
    </row>
    <row r="1728" spans="2:5" ht="15" thickBot="1" x14ac:dyDescent="0.35">
      <c r="B1728" s="170">
        <v>43280.645833333336</v>
      </c>
      <c r="C1728" s="169">
        <v>1485.4</v>
      </c>
      <c r="D1728" s="247">
        <f t="shared" si="29"/>
        <v>-7.339134774336413E-2</v>
      </c>
      <c r="E1728" s="248">
        <v>-2.6541713087358278E-2</v>
      </c>
    </row>
    <row r="1729" spans="2:5" ht="15" thickBot="1" x14ac:dyDescent="0.35">
      <c r="B1729" s="170">
        <v>43725.645833333336</v>
      </c>
      <c r="C1729" s="169">
        <v>1603.05</v>
      </c>
      <c r="D1729" s="247">
        <f t="shared" si="29"/>
        <v>-0.62189095798002181</v>
      </c>
      <c r="E1729" s="248">
        <v>-2.6625781771813791E-2</v>
      </c>
    </row>
    <row r="1730" spans="2:5" ht="15" thickBot="1" x14ac:dyDescent="0.35">
      <c r="B1730" s="170">
        <v>44456.645833333336</v>
      </c>
      <c r="C1730" s="169">
        <v>4239.6499999999996</v>
      </c>
      <c r="D1730" s="247">
        <f t="shared" si="29"/>
        <v>2.0176518737321611</v>
      </c>
      <c r="E1730" s="248">
        <v>-2.6687940494501714E-2</v>
      </c>
    </row>
    <row r="1731" spans="2:5" ht="15" thickBot="1" x14ac:dyDescent="0.35">
      <c r="B1731" s="170">
        <v>43431.645833333336</v>
      </c>
      <c r="C1731" s="169">
        <v>1404.95</v>
      </c>
      <c r="D1731" s="247">
        <f t="shared" si="29"/>
        <v>-0.40197079981271022</v>
      </c>
      <c r="E1731" s="248">
        <v>-2.6840756389831681E-2</v>
      </c>
    </row>
    <row r="1732" spans="2:5" ht="15" thickBot="1" x14ac:dyDescent="0.35">
      <c r="B1732" s="170">
        <v>43985.645833333336</v>
      </c>
      <c r="C1732" s="169">
        <v>2349.3000000000002</v>
      </c>
      <c r="D1732" s="247">
        <f t="shared" si="29"/>
        <v>0.63908462987511361</v>
      </c>
      <c r="E1732" s="248">
        <v>-2.6882611216966133E-2</v>
      </c>
    </row>
    <row r="1733" spans="2:5" ht="15" thickBot="1" x14ac:dyDescent="0.35">
      <c r="B1733" s="170">
        <v>43515.645833333336</v>
      </c>
      <c r="C1733" s="169">
        <v>1433.3</v>
      </c>
      <c r="D1733" s="247">
        <f t="shared" ref="D1733:D1796" si="30">(C1733-C1734)/C1734</f>
        <v>-2.6092274240674111E-2</v>
      </c>
      <c r="E1733" s="248">
        <v>-2.6918768457856745E-2</v>
      </c>
    </row>
    <row r="1734" spans="2:5" ht="15" thickBot="1" x14ac:dyDescent="0.35">
      <c r="B1734" s="170">
        <v>43501.645833333336</v>
      </c>
      <c r="C1734" s="169">
        <v>1471.7</v>
      </c>
      <c r="D1734" s="247">
        <f t="shared" si="30"/>
        <v>-0.60692298446869042</v>
      </c>
      <c r="E1734" s="248">
        <v>-2.7071695369054335E-2</v>
      </c>
    </row>
    <row r="1735" spans="2:5" ht="15" thickBot="1" x14ac:dyDescent="0.35">
      <c r="B1735" s="170">
        <v>45100.645833333336</v>
      </c>
      <c r="C1735" s="169">
        <v>3744.05</v>
      </c>
      <c r="D1735" s="247">
        <f t="shared" si="30"/>
        <v>2.2717700004369297</v>
      </c>
      <c r="E1735" s="248">
        <v>-2.7077242902618027E-2</v>
      </c>
    </row>
    <row r="1736" spans="2:5" ht="15" thickBot="1" x14ac:dyDescent="0.35">
      <c r="B1736" s="170">
        <v>43119.645833333336</v>
      </c>
      <c r="C1736" s="169">
        <v>1144.3499999999999</v>
      </c>
      <c r="D1736" s="247">
        <f t="shared" si="30"/>
        <v>-0.3743473387824281</v>
      </c>
      <c r="E1736" s="248">
        <v>-2.7161438408569282E-2</v>
      </c>
    </row>
    <row r="1737" spans="2:5" ht="15" thickBot="1" x14ac:dyDescent="0.35">
      <c r="B1737" s="170">
        <v>43838.645833333336</v>
      </c>
      <c r="C1737" s="169">
        <v>1829.05</v>
      </c>
      <c r="D1737" s="247">
        <f t="shared" si="30"/>
        <v>-0.39923798262469007</v>
      </c>
      <c r="E1737" s="248">
        <v>-2.7385605275052512E-2</v>
      </c>
    </row>
    <row r="1738" spans="2:5" ht="15" thickBot="1" x14ac:dyDescent="0.35">
      <c r="B1738" s="170">
        <v>44242.645833333336</v>
      </c>
      <c r="C1738" s="169">
        <v>3044.55</v>
      </c>
      <c r="D1738" s="247">
        <f t="shared" si="30"/>
        <v>-0.14328526204713327</v>
      </c>
      <c r="E1738" s="248">
        <v>-2.7564399444240297E-2</v>
      </c>
    </row>
    <row r="1739" spans="2:5" ht="15" thickBot="1" x14ac:dyDescent="0.35">
      <c r="B1739" s="170">
        <v>45019.645833333336</v>
      </c>
      <c r="C1739" s="169">
        <v>3553.75</v>
      </c>
      <c r="D1739" s="247">
        <f t="shared" si="30"/>
        <v>-0.12759297901067879</v>
      </c>
      <c r="E1739" s="248">
        <v>-2.7661873948315228E-2</v>
      </c>
    </row>
    <row r="1740" spans="2:5" ht="15" thickBot="1" x14ac:dyDescent="0.35">
      <c r="B1740" s="170">
        <v>45792.645833333336</v>
      </c>
      <c r="C1740" s="168">
        <v>4073.5</v>
      </c>
      <c r="D1740" s="247">
        <f t="shared" si="30"/>
        <v>-5.4587230487153859E-2</v>
      </c>
      <c r="E1740" s="248">
        <v>-2.7734682674177107E-2</v>
      </c>
    </row>
    <row r="1741" spans="2:5" ht="15" thickBot="1" x14ac:dyDescent="0.35">
      <c r="B1741" s="170">
        <v>44825.645833333336</v>
      </c>
      <c r="C1741" s="169">
        <v>4308.7</v>
      </c>
      <c r="D1741" s="247">
        <f t="shared" si="30"/>
        <v>0.16852439454343277</v>
      </c>
      <c r="E1741" s="248">
        <v>-2.7754586276146853E-2</v>
      </c>
    </row>
    <row r="1742" spans="2:5" ht="15" thickBot="1" x14ac:dyDescent="0.35">
      <c r="B1742" s="170">
        <v>45321.645833333336</v>
      </c>
      <c r="C1742" s="169">
        <v>3687.3</v>
      </c>
      <c r="D1742" s="247">
        <f t="shared" si="30"/>
        <v>0.28164754953076127</v>
      </c>
      <c r="E1742" s="248">
        <v>-2.779022859704159E-2</v>
      </c>
    </row>
    <row r="1743" spans="2:5" ht="15" thickBot="1" x14ac:dyDescent="0.35">
      <c r="B1743" s="170">
        <v>44230.645833333336</v>
      </c>
      <c r="C1743" s="169">
        <v>2877</v>
      </c>
      <c r="D1743" s="247">
        <f t="shared" si="30"/>
        <v>1.118712718167759</v>
      </c>
      <c r="E1743" s="248">
        <v>-2.7991283342061222E-2</v>
      </c>
    </row>
    <row r="1744" spans="2:5" ht="15" thickBot="1" x14ac:dyDescent="0.35">
      <c r="B1744" s="170">
        <v>43487.645833333336</v>
      </c>
      <c r="C1744" s="169">
        <v>1357.9</v>
      </c>
      <c r="D1744" s="247">
        <f t="shared" si="30"/>
        <v>4.2013582473237922E-2</v>
      </c>
      <c r="E1744" s="248">
        <v>-2.8197237529521121E-2</v>
      </c>
    </row>
    <row r="1745" spans="2:5" ht="15" thickBot="1" x14ac:dyDescent="0.35">
      <c r="B1745" s="170">
        <v>43608.645833333336</v>
      </c>
      <c r="C1745" s="169">
        <v>1303.1500000000001</v>
      </c>
      <c r="D1745" s="247">
        <f t="shared" si="30"/>
        <v>-0.40118095763257045</v>
      </c>
      <c r="E1745" s="248">
        <v>-2.8261436933745845E-2</v>
      </c>
    </row>
    <row r="1746" spans="2:5" ht="15" thickBot="1" x14ac:dyDescent="0.35">
      <c r="B1746" s="170">
        <v>44131.645833333336</v>
      </c>
      <c r="C1746" s="169">
        <v>2176.1999999999998</v>
      </c>
      <c r="D1746" s="247">
        <f t="shared" si="30"/>
        <v>-0.45643920471575583</v>
      </c>
      <c r="E1746" s="248">
        <v>-2.8568877778769756E-2</v>
      </c>
    </row>
    <row r="1747" spans="2:5" ht="15" thickBot="1" x14ac:dyDescent="0.35">
      <c r="B1747" s="170">
        <v>45748.645833333336</v>
      </c>
      <c r="C1747" s="168">
        <v>4003.6</v>
      </c>
      <c r="D1747" s="247">
        <f t="shared" si="30"/>
        <v>0.71009973730858755</v>
      </c>
      <c r="E1747" s="248">
        <v>-2.8594305402224924E-2</v>
      </c>
    </row>
    <row r="1748" spans="2:5" ht="15" thickBot="1" x14ac:dyDescent="0.35">
      <c r="B1748" s="170">
        <v>44068.645833333336</v>
      </c>
      <c r="C1748" s="169">
        <v>2341.15</v>
      </c>
      <c r="D1748" s="247">
        <f t="shared" si="30"/>
        <v>0.25161721464848974</v>
      </c>
      <c r="E1748" s="248">
        <v>-2.8608771420272943E-2</v>
      </c>
    </row>
    <row r="1749" spans="2:5" ht="15" thickBot="1" x14ac:dyDescent="0.35">
      <c r="B1749" s="170">
        <v>43754.645833333336</v>
      </c>
      <c r="C1749" s="169">
        <v>1870.5</v>
      </c>
      <c r="D1749" s="247">
        <f t="shared" si="30"/>
        <v>-0.52593963048381775</v>
      </c>
      <c r="E1749" s="248">
        <v>-2.8614457831325255E-2</v>
      </c>
    </row>
    <row r="1750" spans="2:5" ht="15" thickBot="1" x14ac:dyDescent="0.35">
      <c r="B1750" s="170">
        <v>45742.645833333336</v>
      </c>
      <c r="C1750" s="169">
        <v>3945.7</v>
      </c>
      <c r="D1750" s="247">
        <f t="shared" si="30"/>
        <v>2.4803739966481433</v>
      </c>
      <c r="E1750" s="248">
        <v>-2.9348093480934853E-2</v>
      </c>
    </row>
    <row r="1751" spans="2:5" ht="15" thickBot="1" x14ac:dyDescent="0.35">
      <c r="B1751" s="170">
        <v>43396.645833333336</v>
      </c>
      <c r="C1751" s="169">
        <v>1133.7</v>
      </c>
      <c r="D1751" s="247">
        <f t="shared" si="30"/>
        <v>-0.71045473700340955</v>
      </c>
      <c r="E1751" s="248">
        <v>-2.9574149368713849E-2</v>
      </c>
    </row>
    <row r="1752" spans="2:5" ht="15" thickBot="1" x14ac:dyDescent="0.35">
      <c r="B1752" s="170">
        <v>44762.645833333336</v>
      </c>
      <c r="C1752" s="169">
        <v>3915.45</v>
      </c>
      <c r="D1752" s="247">
        <f t="shared" si="30"/>
        <v>0.27393850658857971</v>
      </c>
      <c r="E1752" s="248">
        <v>-2.9712416519013244E-2</v>
      </c>
    </row>
    <row r="1753" spans="2:5" ht="15" thickBot="1" x14ac:dyDescent="0.35">
      <c r="B1753" s="170">
        <v>44257.645833333336</v>
      </c>
      <c r="C1753" s="169">
        <v>3073.5</v>
      </c>
      <c r="D1753" s="247">
        <f t="shared" si="30"/>
        <v>1.2613398079682152</v>
      </c>
      <c r="E1753" s="248">
        <v>-2.9737664551567327E-2</v>
      </c>
    </row>
    <row r="1754" spans="2:5" ht="15" thickBot="1" x14ac:dyDescent="0.35">
      <c r="B1754" s="170">
        <v>43194.645833333336</v>
      </c>
      <c r="C1754" s="169">
        <v>1359.15</v>
      </c>
      <c r="D1754" s="247">
        <f t="shared" si="30"/>
        <v>-0.5719954023712428</v>
      </c>
      <c r="E1754" s="248">
        <v>-3.0079212160136919E-2</v>
      </c>
    </row>
    <row r="1755" spans="2:5" ht="15" thickBot="1" x14ac:dyDescent="0.35">
      <c r="B1755" s="170">
        <v>44358.645833333336</v>
      </c>
      <c r="C1755" s="169">
        <v>3175.55</v>
      </c>
      <c r="D1755" s="247">
        <f t="shared" si="30"/>
        <v>0.18477409245233742</v>
      </c>
      <c r="E1755" s="248">
        <v>-3.0099874774747175E-2</v>
      </c>
    </row>
    <row r="1756" spans="2:5" ht="15" thickBot="1" x14ac:dyDescent="0.35">
      <c r="B1756" s="170">
        <v>44195.645833333336</v>
      </c>
      <c r="C1756" s="169">
        <v>2680.3</v>
      </c>
      <c r="D1756" s="247">
        <f t="shared" si="30"/>
        <v>-0.41695217585190503</v>
      </c>
      <c r="E1756" s="248">
        <v>-3.0141843971631107E-2</v>
      </c>
    </row>
    <row r="1757" spans="2:5" ht="15" thickBot="1" x14ac:dyDescent="0.35">
      <c r="B1757" s="170">
        <v>44502.645833333336</v>
      </c>
      <c r="C1757" s="169">
        <v>4597.05</v>
      </c>
      <c r="D1757" s="247">
        <f t="shared" si="30"/>
        <v>-1.3603836539389895E-2</v>
      </c>
      <c r="E1757" s="248">
        <v>-3.04241452766119E-2</v>
      </c>
    </row>
    <row r="1758" spans="2:5" ht="15" thickBot="1" x14ac:dyDescent="0.35">
      <c r="B1758" s="170">
        <v>45419.645833333336</v>
      </c>
      <c r="C1758" s="169">
        <v>4660.45</v>
      </c>
      <c r="D1758" s="247">
        <f t="shared" si="30"/>
        <v>0.37527111766875687</v>
      </c>
      <c r="E1758" s="248">
        <v>-3.0436365527643457E-2</v>
      </c>
    </row>
    <row r="1759" spans="2:5" ht="15" thickBot="1" x14ac:dyDescent="0.35">
      <c r="B1759" s="170">
        <v>44743.645833333336</v>
      </c>
      <c r="C1759" s="169">
        <v>3388.75</v>
      </c>
      <c r="D1759" s="247">
        <f t="shared" si="30"/>
        <v>0.96563225058004643</v>
      </c>
      <c r="E1759" s="248">
        <v>-3.0539264768988699E-2</v>
      </c>
    </row>
    <row r="1760" spans="2:5" ht="15" thickBot="1" x14ac:dyDescent="0.35">
      <c r="B1760" s="170">
        <v>43810.645833333336</v>
      </c>
      <c r="C1760" s="169">
        <v>1724</v>
      </c>
      <c r="D1760" s="247">
        <f t="shared" si="30"/>
        <v>-0.32552180121672114</v>
      </c>
      <c r="E1760" s="248">
        <v>-3.0671052261673812E-2</v>
      </c>
    </row>
    <row r="1761" spans="2:5" ht="15" thickBot="1" x14ac:dyDescent="0.35">
      <c r="B1761" s="170">
        <v>44182.645833333336</v>
      </c>
      <c r="C1761" s="169">
        <v>2556.0500000000002</v>
      </c>
      <c r="D1761" s="247">
        <f t="shared" si="30"/>
        <v>0.16727936979107214</v>
      </c>
      <c r="E1761" s="248">
        <v>-3.0716141142564605E-2</v>
      </c>
    </row>
    <row r="1762" spans="2:5" ht="15" thickBot="1" x14ac:dyDescent="0.35">
      <c r="B1762" s="170">
        <v>44060.645833333336</v>
      </c>
      <c r="C1762" s="169">
        <v>2189.75</v>
      </c>
      <c r="D1762" s="247">
        <f t="shared" si="30"/>
        <v>-0.24450999672238605</v>
      </c>
      <c r="E1762" s="248">
        <v>-3.0848215273628458E-2</v>
      </c>
    </row>
    <row r="1763" spans="2:5" ht="15" thickBot="1" x14ac:dyDescent="0.35">
      <c r="B1763" s="170">
        <v>44200.645833333336</v>
      </c>
      <c r="C1763" s="169">
        <v>2898.45</v>
      </c>
      <c r="D1763" s="247">
        <f t="shared" si="30"/>
        <v>0.79331786542923421</v>
      </c>
      <c r="E1763" s="248">
        <v>-3.0991424702873568E-2</v>
      </c>
    </row>
    <row r="1764" spans="2:5" ht="15" thickBot="1" x14ac:dyDescent="0.35">
      <c r="B1764" s="170">
        <v>43451.645833333336</v>
      </c>
      <c r="C1764" s="169">
        <v>1616.25</v>
      </c>
      <c r="D1764" s="247">
        <f t="shared" si="30"/>
        <v>-0.61713845789411348</v>
      </c>
      <c r="E1764" s="248">
        <v>-3.1112310044060839E-2</v>
      </c>
    </row>
    <row r="1765" spans="2:5" ht="15" thickBot="1" x14ac:dyDescent="0.35">
      <c r="B1765" s="170">
        <v>45763.645833333336</v>
      </c>
      <c r="C1765" s="168">
        <v>4221.5</v>
      </c>
      <c r="D1765" s="247">
        <f t="shared" si="30"/>
        <v>1.4028007974826362E-2</v>
      </c>
      <c r="E1765" s="248">
        <v>-3.1121617589681291E-2</v>
      </c>
    </row>
    <row r="1766" spans="2:5" ht="15" thickBot="1" x14ac:dyDescent="0.35">
      <c r="B1766" s="170">
        <v>45372.645833333336</v>
      </c>
      <c r="C1766" s="169">
        <v>4163.1000000000004</v>
      </c>
      <c r="D1766" s="247">
        <f t="shared" si="30"/>
        <v>0.95152935661549298</v>
      </c>
      <c r="E1766" s="248">
        <v>-3.1296537602382719E-2</v>
      </c>
    </row>
    <row r="1767" spans="2:5" ht="15" thickBot="1" x14ac:dyDescent="0.35">
      <c r="B1767" s="170">
        <v>44103.645833333336</v>
      </c>
      <c r="C1767" s="169">
        <v>2133.25</v>
      </c>
      <c r="D1767" s="247">
        <f t="shared" si="30"/>
        <v>0.19362690241718886</v>
      </c>
      <c r="E1767" s="248">
        <v>-3.1727299548373958E-2</v>
      </c>
    </row>
    <row r="1768" spans="2:5" ht="15" thickBot="1" x14ac:dyDescent="0.35">
      <c r="B1768" s="170">
        <v>43795.645833333336</v>
      </c>
      <c r="C1768" s="169">
        <v>1787.2</v>
      </c>
      <c r="D1768" s="247">
        <f t="shared" si="30"/>
        <v>-0.6165341744177314</v>
      </c>
      <c r="E1768" s="248">
        <v>-3.1931316523576114E-2</v>
      </c>
    </row>
    <row r="1769" spans="2:5" ht="15" thickBot="1" x14ac:dyDescent="0.35">
      <c r="B1769" s="170">
        <v>44537.645833333336</v>
      </c>
      <c r="C1769" s="169">
        <v>4660.6499999999996</v>
      </c>
      <c r="D1769" s="247">
        <f t="shared" si="30"/>
        <v>1.0215354586857512</v>
      </c>
      <c r="E1769" s="248">
        <v>-3.1975657375483052E-2</v>
      </c>
    </row>
    <row r="1770" spans="2:5" ht="15" thickBot="1" x14ac:dyDescent="0.35">
      <c r="B1770" s="170">
        <v>43983.645833333336</v>
      </c>
      <c r="C1770" s="169">
        <v>2305.5</v>
      </c>
      <c r="D1770" s="247">
        <f t="shared" si="30"/>
        <v>-0.42241930028935404</v>
      </c>
      <c r="E1770" s="248">
        <v>-3.1993953898475806E-2</v>
      </c>
    </row>
    <row r="1771" spans="2:5" ht="15" thickBot="1" x14ac:dyDescent="0.35">
      <c r="B1771" s="170">
        <v>44627.645833333336</v>
      </c>
      <c r="C1771" s="169">
        <v>3991.65</v>
      </c>
      <c r="D1771" s="247">
        <f t="shared" si="30"/>
        <v>2.3625221127116505</v>
      </c>
      <c r="E1771" s="248">
        <v>-3.2092628516003856E-2</v>
      </c>
    </row>
    <row r="1772" spans="2:5" ht="15" thickBot="1" x14ac:dyDescent="0.35">
      <c r="B1772" s="170">
        <v>43398.645833333336</v>
      </c>
      <c r="C1772" s="169">
        <v>1187.0999999999999</v>
      </c>
      <c r="D1772" s="247">
        <f t="shared" si="30"/>
        <v>-0.4559827688923514</v>
      </c>
      <c r="E1772" s="248">
        <v>-3.2202837110712541E-2</v>
      </c>
    </row>
    <row r="1773" spans="2:5" ht="15" thickBot="1" x14ac:dyDescent="0.35">
      <c r="B1773" s="170">
        <v>43958.645833333336</v>
      </c>
      <c r="C1773" s="169">
        <v>2182.1</v>
      </c>
      <c r="D1773" s="247">
        <f t="shared" si="30"/>
        <v>-0.40610200860051165</v>
      </c>
      <c r="E1773" s="248">
        <v>-3.2328159645232855E-2</v>
      </c>
    </row>
    <row r="1774" spans="2:5" ht="15" thickBot="1" x14ac:dyDescent="0.35">
      <c r="B1774" s="170">
        <v>45728.645833333336</v>
      </c>
      <c r="C1774" s="169">
        <v>3674.2</v>
      </c>
      <c r="D1774" s="247">
        <f t="shared" si="30"/>
        <v>2.053943978056687</v>
      </c>
      <c r="E1774" s="248">
        <v>-3.2366806246872638E-2</v>
      </c>
    </row>
    <row r="1775" spans="2:5" ht="15" thickBot="1" x14ac:dyDescent="0.35">
      <c r="B1775" s="170">
        <v>43104.645833333336</v>
      </c>
      <c r="C1775" s="169">
        <v>1203.0999999999999</v>
      </c>
      <c r="D1775" s="247">
        <f t="shared" si="30"/>
        <v>-0.16480388753904901</v>
      </c>
      <c r="E1775" s="248">
        <v>-3.2411130770468213E-2</v>
      </c>
    </row>
    <row r="1776" spans="2:5" ht="15" thickBot="1" x14ac:dyDescent="0.35">
      <c r="B1776" s="170">
        <v>43199.645833333336</v>
      </c>
      <c r="C1776" s="169">
        <v>1440.5</v>
      </c>
      <c r="D1776" s="247">
        <f t="shared" si="30"/>
        <v>-0.546827319344386</v>
      </c>
      <c r="E1776" s="248">
        <v>-3.247472881754368E-2</v>
      </c>
    </row>
    <row r="1777" spans="2:5" ht="15" thickBot="1" x14ac:dyDescent="0.35">
      <c r="B1777" s="170">
        <v>44259.645833333336</v>
      </c>
      <c r="C1777" s="169">
        <v>3178.7</v>
      </c>
      <c r="D1777" s="247">
        <f t="shared" si="30"/>
        <v>0.55757546060368479</v>
      </c>
      <c r="E1777" s="248">
        <v>-3.2683119807674778E-2</v>
      </c>
    </row>
    <row r="1778" spans="2:5" ht="15" thickBot="1" x14ac:dyDescent="0.35">
      <c r="B1778" s="170">
        <v>44033.645833333336</v>
      </c>
      <c r="C1778" s="169">
        <v>2040.8</v>
      </c>
      <c r="D1778" s="247">
        <f t="shared" si="30"/>
        <v>-0.27955660677092525</v>
      </c>
      <c r="E1778" s="248">
        <v>-3.2796208530805712E-2</v>
      </c>
    </row>
    <row r="1779" spans="2:5" ht="15" thickBot="1" x14ac:dyDescent="0.35">
      <c r="B1779" s="170">
        <v>44299.645833333336</v>
      </c>
      <c r="C1779" s="169">
        <v>2832.7</v>
      </c>
      <c r="D1779" s="247">
        <f t="shared" si="30"/>
        <v>0.81171053052348818</v>
      </c>
      <c r="E1779" s="248">
        <v>-3.2845095428317893E-2</v>
      </c>
    </row>
    <row r="1780" spans="2:5" ht="15" thickBot="1" x14ac:dyDescent="0.35">
      <c r="B1780" s="170">
        <v>43328.645833333336</v>
      </c>
      <c r="C1780" s="169">
        <v>1563.55</v>
      </c>
      <c r="D1780" s="247">
        <f t="shared" si="30"/>
        <v>0.20504816955684005</v>
      </c>
      <c r="E1780" s="248">
        <v>-3.2875610812148258E-2</v>
      </c>
    </row>
    <row r="1781" spans="2:5" ht="15" thickBot="1" x14ac:dyDescent="0.35">
      <c r="B1781" s="170">
        <v>43633.645833333336</v>
      </c>
      <c r="C1781" s="169">
        <v>1297.5</v>
      </c>
      <c r="D1781" s="247">
        <f t="shared" si="30"/>
        <v>-0.38012087045840004</v>
      </c>
      <c r="E1781" s="248">
        <v>-3.3159463487332341E-2</v>
      </c>
    </row>
    <row r="1782" spans="2:5" ht="15" thickBot="1" x14ac:dyDescent="0.35">
      <c r="B1782" s="170">
        <v>44046.645833333336</v>
      </c>
      <c r="C1782" s="169">
        <v>2093.15</v>
      </c>
      <c r="D1782" s="247">
        <f t="shared" si="30"/>
        <v>-0.50639657591585996</v>
      </c>
      <c r="E1782" s="248">
        <v>-3.3231721398549637E-2</v>
      </c>
    </row>
    <row r="1783" spans="2:5" ht="15" thickBot="1" x14ac:dyDescent="0.35">
      <c r="B1783" s="170">
        <v>44833.645833333336</v>
      </c>
      <c r="C1783" s="169">
        <v>4240.55</v>
      </c>
      <c r="D1783" s="247">
        <f t="shared" si="30"/>
        <v>1.0054148636825802</v>
      </c>
      <c r="E1783" s="248">
        <v>-3.3283559973099584E-2</v>
      </c>
    </row>
    <row r="1784" spans="2:5" ht="15" thickBot="1" x14ac:dyDescent="0.35">
      <c r="B1784" s="170">
        <v>43920.645833333336</v>
      </c>
      <c r="C1784" s="169">
        <v>2114.5500000000002</v>
      </c>
      <c r="D1784" s="247">
        <f t="shared" si="30"/>
        <v>0.62482710926694329</v>
      </c>
      <c r="E1784" s="248">
        <v>-3.3348571428571346E-2</v>
      </c>
    </row>
    <row r="1785" spans="2:5" ht="15" thickBot="1" x14ac:dyDescent="0.35">
      <c r="B1785" s="170">
        <v>43376.645833333336</v>
      </c>
      <c r="C1785" s="169">
        <v>1301.4000000000001</v>
      </c>
      <c r="D1785" s="247">
        <f t="shared" si="30"/>
        <v>-0.4670543429296859</v>
      </c>
      <c r="E1785" s="248">
        <v>-3.3386563672150496E-2</v>
      </c>
    </row>
    <row r="1786" spans="2:5" ht="15" thickBot="1" x14ac:dyDescent="0.35">
      <c r="B1786" s="170">
        <v>44169.645833333336</v>
      </c>
      <c r="C1786" s="169">
        <v>2441.9</v>
      </c>
      <c r="D1786" s="247">
        <f t="shared" si="30"/>
        <v>0.14222232616881456</v>
      </c>
      <c r="E1786" s="248">
        <v>-3.3465930455777768E-2</v>
      </c>
    </row>
    <row r="1787" spans="2:5" ht="15" thickBot="1" x14ac:dyDescent="0.35">
      <c r="B1787" s="170">
        <v>43937.645833333336</v>
      </c>
      <c r="C1787" s="169">
        <v>2137.85</v>
      </c>
      <c r="D1787" s="247">
        <f t="shared" si="30"/>
        <v>0.48932390539552045</v>
      </c>
      <c r="E1787" s="248">
        <v>-3.356539035305818E-2</v>
      </c>
    </row>
    <row r="1788" spans="2:5" ht="15" thickBot="1" x14ac:dyDescent="0.35">
      <c r="B1788" s="170">
        <v>43279.645833333336</v>
      </c>
      <c r="C1788" s="169">
        <v>1435.45</v>
      </c>
      <c r="D1788" s="247">
        <f t="shared" si="30"/>
        <v>-0.47103585510557539</v>
      </c>
      <c r="E1788" s="248">
        <v>-3.3627305776221923E-2</v>
      </c>
    </row>
    <row r="1789" spans="2:5" ht="15" thickBot="1" x14ac:dyDescent="0.35">
      <c r="B1789" s="170">
        <v>44309.645833333336</v>
      </c>
      <c r="C1789" s="169">
        <v>2713.7</v>
      </c>
      <c r="D1789" s="247">
        <f t="shared" si="30"/>
        <v>1.1101045838031181</v>
      </c>
      <c r="E1789" s="248">
        <v>-3.3668654856227255E-2</v>
      </c>
    </row>
    <row r="1790" spans="2:5" ht="15" thickBot="1" x14ac:dyDescent="0.35">
      <c r="B1790" s="170">
        <v>43578.645833333336</v>
      </c>
      <c r="C1790" s="169">
        <v>1286.05</v>
      </c>
      <c r="D1790" s="247">
        <f t="shared" si="30"/>
        <v>-0.4672976555380664</v>
      </c>
      <c r="E1790" s="248">
        <v>-3.3880479284829006E-2</v>
      </c>
    </row>
    <row r="1791" spans="2:5" ht="15" thickBot="1" x14ac:dyDescent="0.35">
      <c r="B1791" s="170">
        <v>43986.645833333336</v>
      </c>
      <c r="C1791" s="169">
        <v>2414.1999999999998</v>
      </c>
      <c r="D1791" s="247">
        <f t="shared" si="30"/>
        <v>-0.42392173238680431</v>
      </c>
      <c r="E1791" s="248">
        <v>-3.3933573429371824E-2</v>
      </c>
    </row>
    <row r="1792" spans="2:5" ht="15" thickBot="1" x14ac:dyDescent="0.35">
      <c r="B1792" s="170">
        <v>44617.645833333336</v>
      </c>
      <c r="C1792" s="169">
        <v>4190.75</v>
      </c>
      <c r="D1792" s="247">
        <f t="shared" si="30"/>
        <v>-8.2685783079785483E-2</v>
      </c>
      <c r="E1792" s="248">
        <v>-3.4467266464686105E-2</v>
      </c>
    </row>
    <row r="1793" spans="2:5" ht="15" thickBot="1" x14ac:dyDescent="0.35">
      <c r="B1793" s="170">
        <v>44495.645833333336</v>
      </c>
      <c r="C1793" s="169">
        <v>4568.5</v>
      </c>
      <c r="D1793" s="247">
        <f t="shared" si="30"/>
        <v>0.90791396951346837</v>
      </c>
      <c r="E1793" s="248">
        <v>-3.4755968730192266E-2</v>
      </c>
    </row>
    <row r="1794" spans="2:5" ht="15" thickBot="1" x14ac:dyDescent="0.35">
      <c r="B1794" s="170">
        <v>43872.645833333336</v>
      </c>
      <c r="C1794" s="169">
        <v>2394.5</v>
      </c>
      <c r="D1794" s="247">
        <f t="shared" si="30"/>
        <v>-0.40151713967932612</v>
      </c>
      <c r="E1794" s="248">
        <v>-3.531212859819112E-2</v>
      </c>
    </row>
    <row r="1795" spans="2:5" ht="15" thickBot="1" x14ac:dyDescent="0.35">
      <c r="B1795" s="170">
        <v>44769.645833333336</v>
      </c>
      <c r="C1795" s="169">
        <v>4000.95</v>
      </c>
      <c r="D1795" s="247">
        <f t="shared" si="30"/>
        <v>0.81116316968832736</v>
      </c>
      <c r="E1795" s="248">
        <v>-3.5404310718935426E-2</v>
      </c>
    </row>
    <row r="1796" spans="2:5" ht="15" thickBot="1" x14ac:dyDescent="0.35">
      <c r="B1796" s="170">
        <v>44138.645833333336</v>
      </c>
      <c r="C1796" s="169">
        <v>2209.0500000000002</v>
      </c>
      <c r="D1796" s="247">
        <f t="shared" si="30"/>
        <v>7.4911196535448532E-2</v>
      </c>
      <c r="E1796" s="248">
        <v>-3.56862231534835E-2</v>
      </c>
    </row>
    <row r="1797" spans="2:5" ht="15" thickBot="1" x14ac:dyDescent="0.35">
      <c r="B1797" s="170">
        <v>43862.708333333336</v>
      </c>
      <c r="C1797" s="169">
        <v>2055.1</v>
      </c>
      <c r="D1797" s="247">
        <f t="shared" ref="D1797:D1860" si="31">(C1797-C1798)/C1798</f>
        <v>0.51249310027598893</v>
      </c>
      <c r="E1797" s="248">
        <v>-3.5911148640724408E-2</v>
      </c>
    </row>
    <row r="1798" spans="2:5" ht="15" thickBot="1" x14ac:dyDescent="0.35">
      <c r="B1798" s="170">
        <v>43243.645833333336</v>
      </c>
      <c r="C1798" s="169">
        <v>1358.75</v>
      </c>
      <c r="D1798" s="247">
        <f t="shared" si="31"/>
        <v>-0.14803900053296543</v>
      </c>
      <c r="E1798" s="248">
        <v>-3.6279168735371368E-2</v>
      </c>
    </row>
    <row r="1799" spans="2:5" ht="15" thickBot="1" x14ac:dyDescent="0.35">
      <c r="B1799" s="170">
        <v>43311.645833333336</v>
      </c>
      <c r="C1799" s="169">
        <v>1594.85</v>
      </c>
      <c r="D1799" s="247">
        <f t="shared" si="31"/>
        <v>-0.60180515330070905</v>
      </c>
      <c r="E1799" s="248">
        <v>-3.6286180433863183E-2</v>
      </c>
    </row>
    <row r="1800" spans="2:5" ht="15" thickBot="1" x14ac:dyDescent="0.35">
      <c r="B1800" s="170">
        <v>45587.645833333336</v>
      </c>
      <c r="C1800" s="169">
        <v>4005.2</v>
      </c>
      <c r="D1800" s="247">
        <f t="shared" si="31"/>
        <v>1.7850636256171337</v>
      </c>
      <c r="E1800" s="248">
        <v>-3.6308077283992331E-2</v>
      </c>
    </row>
    <row r="1801" spans="2:5" ht="15" thickBot="1" x14ac:dyDescent="0.35">
      <c r="B1801" s="170">
        <v>43433.645833333336</v>
      </c>
      <c r="C1801" s="169">
        <v>1438.1</v>
      </c>
      <c r="D1801" s="247">
        <f t="shared" si="31"/>
        <v>-0.64791284122903658</v>
      </c>
      <c r="E1801" s="248">
        <v>-3.6448911222780628E-2</v>
      </c>
    </row>
    <row r="1802" spans="2:5" ht="15" thickBot="1" x14ac:dyDescent="0.35">
      <c r="B1802" s="170">
        <v>44455.645833333336</v>
      </c>
      <c r="C1802" s="169">
        <v>4084.5</v>
      </c>
      <c r="D1802" s="247">
        <f t="shared" si="31"/>
        <v>-7.1831113939008387E-2</v>
      </c>
      <c r="E1802" s="248">
        <v>-3.6595001945915265E-2</v>
      </c>
    </row>
    <row r="1803" spans="2:5" ht="15" thickBot="1" x14ac:dyDescent="0.35">
      <c r="B1803" s="170">
        <v>44494.645833333336</v>
      </c>
      <c r="C1803" s="169">
        <v>4400.6000000000004</v>
      </c>
      <c r="D1803" s="247">
        <f t="shared" si="31"/>
        <v>2.9198325390816371</v>
      </c>
      <c r="E1803" s="248">
        <v>-3.6751669037977372E-2</v>
      </c>
    </row>
    <row r="1804" spans="2:5" ht="15" thickBot="1" x14ac:dyDescent="0.35">
      <c r="B1804" s="170">
        <v>43138.645833333336</v>
      </c>
      <c r="C1804" s="169">
        <v>1122.6500000000001</v>
      </c>
      <c r="D1804" s="247">
        <f t="shared" si="31"/>
        <v>-0.4314688679006406</v>
      </c>
      <c r="E1804" s="248">
        <v>-3.680665780103802E-2</v>
      </c>
    </row>
    <row r="1805" spans="2:5" ht="15" thickBot="1" x14ac:dyDescent="0.35">
      <c r="B1805" s="170">
        <v>43859.645833333336</v>
      </c>
      <c r="C1805" s="169">
        <v>1974.65</v>
      </c>
      <c r="D1805" s="247">
        <f t="shared" si="31"/>
        <v>-0.30149100620810404</v>
      </c>
      <c r="E1805" s="248">
        <v>-3.7366548042704666E-2</v>
      </c>
    </row>
    <row r="1806" spans="2:5" ht="15" thickBot="1" x14ac:dyDescent="0.35">
      <c r="B1806" s="170">
        <v>44313.645833333336</v>
      </c>
      <c r="C1806" s="169">
        <v>2826.95</v>
      </c>
      <c r="D1806" s="247">
        <f t="shared" si="31"/>
        <v>1.3570685884335416E-2</v>
      </c>
      <c r="E1806" s="248">
        <v>-3.7404658131299492E-2</v>
      </c>
    </row>
    <row r="1807" spans="2:5" ht="15" thickBot="1" x14ac:dyDescent="0.35">
      <c r="B1807" s="170">
        <v>44197.645833333336</v>
      </c>
      <c r="C1807" s="169">
        <v>2789.1</v>
      </c>
      <c r="D1807" s="247">
        <f t="shared" si="31"/>
        <v>-4.7731230154665634E-2</v>
      </c>
      <c r="E1807" s="248">
        <v>-3.7727061015370253E-2</v>
      </c>
    </row>
    <row r="1808" spans="2:5" ht="15" thickBot="1" x14ac:dyDescent="0.35">
      <c r="B1808" s="170">
        <v>44239.645833333336</v>
      </c>
      <c r="C1808" s="169">
        <v>2928.9</v>
      </c>
      <c r="D1808" s="247">
        <f t="shared" si="31"/>
        <v>-0.21386585071261771</v>
      </c>
      <c r="E1808" s="248">
        <v>-3.7985909247672096E-2</v>
      </c>
    </row>
    <row r="1809" spans="2:5" ht="15" thickBot="1" x14ac:dyDescent="0.35">
      <c r="B1809" s="170">
        <v>45202.645833333336</v>
      </c>
      <c r="C1809" s="169">
        <v>3725.7</v>
      </c>
      <c r="D1809" s="247">
        <f t="shared" si="31"/>
        <v>-7.2689938398357329E-2</v>
      </c>
      <c r="E1809" s="248">
        <v>-3.8020113866690769E-2</v>
      </c>
    </row>
    <row r="1810" spans="2:5" ht="15" thickBot="1" x14ac:dyDescent="0.35">
      <c r="B1810" s="170">
        <v>44923.645833333336</v>
      </c>
      <c r="C1810" s="169">
        <v>4017.75</v>
      </c>
      <c r="D1810" s="247">
        <f t="shared" si="31"/>
        <v>3.9104470153169812E-3</v>
      </c>
      <c r="E1810" s="248">
        <v>-3.8424718186822436E-2</v>
      </c>
    </row>
    <row r="1811" spans="2:5" ht="15" thickBot="1" x14ac:dyDescent="0.35">
      <c r="B1811" s="170">
        <v>44601.645833333336</v>
      </c>
      <c r="C1811" s="169">
        <v>4002.1</v>
      </c>
      <c r="D1811" s="247">
        <f t="shared" si="31"/>
        <v>0.95100667869156119</v>
      </c>
      <c r="E1811" s="248">
        <v>-3.8580728853868866E-2</v>
      </c>
    </row>
    <row r="1812" spans="2:5" ht="15" thickBot="1" x14ac:dyDescent="0.35">
      <c r="B1812" s="170">
        <v>43860.645833333336</v>
      </c>
      <c r="C1812" s="169">
        <v>2051.3000000000002</v>
      </c>
      <c r="D1812" s="247">
        <f t="shared" si="31"/>
        <v>-0.54062860406006108</v>
      </c>
      <c r="E1812" s="248">
        <v>-3.8730991822676093E-2</v>
      </c>
    </row>
    <row r="1813" spans="2:5" ht="15" thickBot="1" x14ac:dyDescent="0.35">
      <c r="B1813" s="170">
        <v>45573.645833333336</v>
      </c>
      <c r="C1813" s="169">
        <v>4465.45</v>
      </c>
      <c r="D1813" s="247">
        <f t="shared" si="31"/>
        <v>0.98437986046304915</v>
      </c>
      <c r="E1813" s="248">
        <v>-3.873724544710893E-2</v>
      </c>
    </row>
    <row r="1814" spans="2:5" ht="15" thickBot="1" x14ac:dyDescent="0.35">
      <c r="B1814" s="170">
        <v>44067.645833333336</v>
      </c>
      <c r="C1814" s="169">
        <v>2250.3000000000002</v>
      </c>
      <c r="D1814" s="247">
        <f t="shared" si="31"/>
        <v>-0.56024349491416114</v>
      </c>
      <c r="E1814" s="248">
        <v>-3.8805715139995263E-2</v>
      </c>
    </row>
    <row r="1815" spans="2:5" ht="15" thickBot="1" x14ac:dyDescent="0.35">
      <c r="B1815" s="170">
        <v>44482.645833333336</v>
      </c>
      <c r="C1815" s="169">
        <v>5117.1499999999996</v>
      </c>
      <c r="D1815" s="247">
        <f t="shared" si="31"/>
        <v>3.1857123252759319E-3</v>
      </c>
      <c r="E1815" s="248">
        <v>-3.8807231744541038E-2</v>
      </c>
    </row>
    <row r="1816" spans="2:5" ht="15" thickBot="1" x14ac:dyDescent="0.35">
      <c r="B1816" s="170">
        <v>45539.645833333336</v>
      </c>
      <c r="C1816" s="169">
        <v>5100.8999999999996</v>
      </c>
      <c r="D1816" s="247">
        <f t="shared" si="31"/>
        <v>0.4592762122729222</v>
      </c>
      <c r="E1816" s="248">
        <v>-3.9043734634477176E-2</v>
      </c>
    </row>
    <row r="1817" spans="2:5" ht="15" thickBot="1" x14ac:dyDescent="0.35">
      <c r="B1817" s="170">
        <v>44746.645833333336</v>
      </c>
      <c r="C1817" s="169">
        <v>3495.5</v>
      </c>
      <c r="D1817" s="247">
        <f t="shared" si="31"/>
        <v>-4.9722705524140952E-2</v>
      </c>
      <c r="E1817" s="248">
        <v>-3.9447108448633618E-2</v>
      </c>
    </row>
    <row r="1818" spans="2:5" ht="15" thickBot="1" x14ac:dyDescent="0.35">
      <c r="B1818" s="170">
        <v>45628.645833333336</v>
      </c>
      <c r="C1818" s="169">
        <v>3678.4</v>
      </c>
      <c r="D1818" s="247">
        <f t="shared" si="31"/>
        <v>0.19966081795055779</v>
      </c>
      <c r="E1818" s="248">
        <v>-3.9544629685235665E-2</v>
      </c>
    </row>
    <row r="1819" spans="2:5" ht="15" thickBot="1" x14ac:dyDescent="0.35">
      <c r="B1819" s="170">
        <v>44349.645833333336</v>
      </c>
      <c r="C1819" s="169">
        <v>3066.2</v>
      </c>
      <c r="D1819" s="247">
        <f t="shared" si="31"/>
        <v>-0.31264991369454592</v>
      </c>
      <c r="E1819" s="248">
        <v>-3.9621636859084791E-2</v>
      </c>
    </row>
    <row r="1820" spans="2:5" ht="15" thickBot="1" x14ac:dyDescent="0.35">
      <c r="B1820" s="170">
        <v>45385.645833333336</v>
      </c>
      <c r="C1820" s="169">
        <v>4460.8999999999996</v>
      </c>
      <c r="D1820" s="247">
        <f t="shared" si="31"/>
        <v>2.0342130322405114</v>
      </c>
      <c r="E1820" s="248">
        <v>-3.9644352590392042E-2</v>
      </c>
    </row>
    <row r="1821" spans="2:5" ht="15" thickBot="1" x14ac:dyDescent="0.35">
      <c r="B1821" s="170">
        <v>43700.645833333336</v>
      </c>
      <c r="C1821" s="169">
        <v>1470.2</v>
      </c>
      <c r="D1821" s="247">
        <f t="shared" si="31"/>
        <v>-0.62065228609763645</v>
      </c>
      <c r="E1821" s="248">
        <v>-3.9743966558897427E-2</v>
      </c>
    </row>
    <row r="1822" spans="2:5" ht="15" thickBot="1" x14ac:dyDescent="0.35">
      <c r="B1822" s="170">
        <v>44918.645833333336</v>
      </c>
      <c r="C1822" s="169">
        <v>3875.6</v>
      </c>
      <c r="D1822" s="247">
        <f t="shared" si="31"/>
        <v>-4.5207065605676139E-2</v>
      </c>
      <c r="E1822" s="248">
        <v>-3.9885051776247335E-2</v>
      </c>
    </row>
    <row r="1823" spans="2:5" ht="15" thickBot="1" x14ac:dyDescent="0.35">
      <c r="B1823" s="170">
        <v>45825.645833333336</v>
      </c>
      <c r="C1823" s="168">
        <v>4059.1</v>
      </c>
      <c r="D1823" s="247">
        <f t="shared" si="31"/>
        <v>0.11542847721245922</v>
      </c>
      <c r="E1823" s="248">
        <v>-4.003878535616303E-2</v>
      </c>
    </row>
    <row r="1824" spans="2:5" ht="15" thickBot="1" x14ac:dyDescent="0.35">
      <c r="B1824" s="170">
        <v>44747.645833333336</v>
      </c>
      <c r="C1824" s="169">
        <v>3639.05</v>
      </c>
      <c r="D1824" s="247">
        <f t="shared" si="31"/>
        <v>1.553360931799046</v>
      </c>
      <c r="E1824" s="248">
        <v>-4.03349156118143E-2</v>
      </c>
    </row>
    <row r="1825" spans="2:5" ht="15" thickBot="1" x14ac:dyDescent="0.35">
      <c r="B1825" s="170">
        <v>43234.645833333336</v>
      </c>
      <c r="C1825" s="169">
        <v>1425.2</v>
      </c>
      <c r="D1825" s="247">
        <f t="shared" si="31"/>
        <v>7.1055499192124116E-2</v>
      </c>
      <c r="E1825" s="248">
        <v>-4.0560099633107811E-2</v>
      </c>
    </row>
    <row r="1826" spans="2:5" ht="15" thickBot="1" x14ac:dyDescent="0.35">
      <c r="B1826" s="170">
        <v>43641.645833333336</v>
      </c>
      <c r="C1826" s="169">
        <v>1330.65</v>
      </c>
      <c r="D1826" s="247">
        <f t="shared" si="31"/>
        <v>-0.72028420377747171</v>
      </c>
      <c r="E1826" s="248">
        <v>-4.0938412195034024E-2</v>
      </c>
    </row>
    <row r="1827" spans="2:5" ht="15" thickBot="1" x14ac:dyDescent="0.35">
      <c r="B1827" s="170">
        <v>44509.645833333336</v>
      </c>
      <c r="C1827" s="169">
        <v>4757.1499999999996</v>
      </c>
      <c r="D1827" s="247">
        <f t="shared" si="31"/>
        <v>0.21427112846823387</v>
      </c>
      <c r="E1827" s="248">
        <v>-4.0955184162248359E-2</v>
      </c>
    </row>
    <row r="1828" spans="2:5" ht="15" thickBot="1" x14ac:dyDescent="0.35">
      <c r="B1828" s="170">
        <v>45092.645833333336</v>
      </c>
      <c r="C1828" s="169">
        <v>3917.7</v>
      </c>
      <c r="D1828" s="247">
        <f t="shared" si="31"/>
        <v>0.9646949675283969</v>
      </c>
      <c r="E1828" s="248">
        <v>-4.1095555120422969E-2</v>
      </c>
    </row>
    <row r="1829" spans="2:5" ht="15" thickBot="1" x14ac:dyDescent="0.35">
      <c r="B1829" s="170">
        <v>43916.645833333336</v>
      </c>
      <c r="C1829" s="169">
        <v>1994.05</v>
      </c>
      <c r="D1829" s="247">
        <f t="shared" si="31"/>
        <v>0.68019042804179308</v>
      </c>
      <c r="E1829" s="248">
        <v>-4.1183824590085044E-2</v>
      </c>
    </row>
    <row r="1830" spans="2:5" ht="15" thickBot="1" x14ac:dyDescent="0.35">
      <c r="B1830" s="170">
        <v>43151.645833333336</v>
      </c>
      <c r="C1830" s="169">
        <v>1186.8</v>
      </c>
      <c r="D1830" s="247">
        <f t="shared" si="31"/>
        <v>-0.449357398042036</v>
      </c>
      <c r="E1830" s="248">
        <v>-4.1202132816286964E-2</v>
      </c>
    </row>
    <row r="1831" spans="2:5" ht="15" thickBot="1" x14ac:dyDescent="0.35">
      <c r="B1831" s="170">
        <v>43865.645833333336</v>
      </c>
      <c r="C1831" s="169">
        <v>2155.3000000000002</v>
      </c>
      <c r="D1831" s="247">
        <f t="shared" si="31"/>
        <v>-0.46314124518949346</v>
      </c>
      <c r="E1831" s="248">
        <v>-4.1620347725554674E-2</v>
      </c>
    </row>
    <row r="1832" spans="2:5" ht="15" thickBot="1" x14ac:dyDescent="0.35">
      <c r="B1832" s="170">
        <v>44616.645833333336</v>
      </c>
      <c r="C1832" s="169">
        <v>4014.65</v>
      </c>
      <c r="D1832" s="247">
        <f t="shared" si="31"/>
        <v>-6.5839072970960588E-2</v>
      </c>
      <c r="E1832" s="248">
        <v>-4.2021117938316511E-2</v>
      </c>
    </row>
    <row r="1833" spans="2:5" ht="15" thickBot="1" x14ac:dyDescent="0.35">
      <c r="B1833" s="170">
        <v>45373.645833333336</v>
      </c>
      <c r="C1833" s="169">
        <v>4297.6000000000004</v>
      </c>
      <c r="D1833" s="247">
        <f t="shared" si="31"/>
        <v>0.26360976757177934</v>
      </c>
      <c r="E1833" s="248">
        <v>-4.2040033881681482E-2</v>
      </c>
    </row>
    <row r="1834" spans="2:5" ht="15" thickBot="1" x14ac:dyDescent="0.35">
      <c r="B1834" s="170">
        <v>45016.645833333336</v>
      </c>
      <c r="C1834" s="169">
        <v>3401.05</v>
      </c>
      <c r="D1834" s="247">
        <f t="shared" si="31"/>
        <v>1.339501289767842</v>
      </c>
      <c r="E1834" s="248">
        <v>-4.2968695040450179E-2</v>
      </c>
    </row>
    <row r="1835" spans="2:5" ht="15" thickBot="1" x14ac:dyDescent="0.35">
      <c r="B1835" s="170">
        <v>43256.645833333336</v>
      </c>
      <c r="C1835" s="169">
        <v>1453.75</v>
      </c>
      <c r="D1835" s="247">
        <f t="shared" si="31"/>
        <v>-0.66643338993162315</v>
      </c>
      <c r="E1835" s="248">
        <v>-4.3302293442137443E-2</v>
      </c>
    </row>
    <row r="1836" spans="2:5" ht="15" thickBot="1" x14ac:dyDescent="0.35">
      <c r="B1836" s="170">
        <v>45883.645833333336</v>
      </c>
      <c r="C1836" s="168">
        <v>4358.2</v>
      </c>
      <c r="D1836" s="247">
        <f t="shared" si="31"/>
        <v>2.0347868072239424E-3</v>
      </c>
      <c r="E1836" s="248">
        <v>-4.3835015357613027E-2</v>
      </c>
    </row>
    <row r="1837" spans="2:5" ht="15" thickBot="1" x14ac:dyDescent="0.35">
      <c r="B1837" s="170">
        <v>45446.645833333336</v>
      </c>
      <c r="C1837" s="169">
        <v>4349.3500000000004</v>
      </c>
      <c r="D1837" s="247">
        <f t="shared" si="31"/>
        <v>0.1456511431882837</v>
      </c>
      <c r="E1837" s="248">
        <v>-4.3836218741412393E-2</v>
      </c>
    </row>
    <row r="1838" spans="2:5" ht="15" thickBot="1" x14ac:dyDescent="0.35">
      <c r="B1838" s="170">
        <v>44711.645833333336</v>
      </c>
      <c r="C1838" s="169">
        <v>3796.4</v>
      </c>
      <c r="D1838" s="247">
        <f t="shared" si="31"/>
        <v>1.9633908360003125</v>
      </c>
      <c r="E1838" s="248">
        <v>-4.4401933145388664E-2</v>
      </c>
    </row>
    <row r="1839" spans="2:5" ht="15" thickBot="1" x14ac:dyDescent="0.35">
      <c r="B1839" s="170">
        <v>43182.645833333336</v>
      </c>
      <c r="C1839" s="169">
        <v>1281.0999999999999</v>
      </c>
      <c r="D1839" s="247">
        <f t="shared" si="31"/>
        <v>3.260387699995955E-2</v>
      </c>
      <c r="E1839" s="248">
        <v>-4.498863170449896E-2</v>
      </c>
    </row>
    <row r="1840" spans="2:5" ht="15" thickBot="1" x14ac:dyDescent="0.35">
      <c r="B1840" s="170">
        <v>43153.645833333336</v>
      </c>
      <c r="C1840" s="169">
        <v>1240.6500000000001</v>
      </c>
      <c r="D1840" s="247">
        <f t="shared" si="31"/>
        <v>-0.38106759790471434</v>
      </c>
      <c r="E1840" s="248">
        <v>-4.58373389732743E-2</v>
      </c>
    </row>
    <row r="1841" spans="2:5" ht="15" thickBot="1" x14ac:dyDescent="0.35">
      <c r="B1841" s="170">
        <v>43902.645833333336</v>
      </c>
      <c r="C1841" s="169">
        <v>2004.5</v>
      </c>
      <c r="D1841" s="247">
        <f t="shared" si="31"/>
        <v>0.47454759452699713</v>
      </c>
      <c r="E1841" s="248">
        <v>-4.5930509281294621E-2</v>
      </c>
    </row>
    <row r="1842" spans="2:5" ht="15" thickBot="1" x14ac:dyDescent="0.35">
      <c r="B1842" s="170">
        <v>43658.645833333336</v>
      </c>
      <c r="C1842" s="169">
        <v>1359.4</v>
      </c>
      <c r="D1842" s="247">
        <f t="shared" si="31"/>
        <v>5.2819083023544024E-2</v>
      </c>
      <c r="E1842" s="248">
        <v>-4.6202420627959942E-2</v>
      </c>
    </row>
    <row r="1843" spans="2:5" ht="15" thickBot="1" x14ac:dyDescent="0.35">
      <c r="B1843" s="170">
        <v>43157.645833333336</v>
      </c>
      <c r="C1843" s="169">
        <v>1291.2</v>
      </c>
      <c r="D1843" s="247">
        <f t="shared" si="31"/>
        <v>-0.41314425961276241</v>
      </c>
      <c r="E1843" s="248">
        <v>-4.6873846608105112E-2</v>
      </c>
    </row>
    <row r="1844" spans="2:5" ht="15" thickBot="1" x14ac:dyDescent="0.35">
      <c r="B1844" s="170">
        <v>43978.645833333336</v>
      </c>
      <c r="C1844" s="169">
        <v>2200.1999999999998</v>
      </c>
      <c r="D1844" s="247">
        <f t="shared" si="31"/>
        <v>0.60032003491289954</v>
      </c>
      <c r="E1844" s="248">
        <v>-4.6892936819077739E-2</v>
      </c>
    </row>
    <row r="1845" spans="2:5" ht="15" thickBot="1" x14ac:dyDescent="0.35">
      <c r="B1845" s="170">
        <v>43496.645833333336</v>
      </c>
      <c r="C1845" s="169">
        <v>1374.85</v>
      </c>
      <c r="D1845" s="247">
        <f t="shared" si="31"/>
        <v>-0.45581745136456292</v>
      </c>
      <c r="E1845" s="248">
        <v>-4.7194982501126255E-2</v>
      </c>
    </row>
    <row r="1846" spans="2:5" ht="15" thickBot="1" x14ac:dyDescent="0.35">
      <c r="B1846" s="170">
        <v>44172.645833333336</v>
      </c>
      <c r="C1846" s="169">
        <v>2526.4499999999998</v>
      </c>
      <c r="D1846" s="247">
        <f t="shared" si="31"/>
        <v>0.38443202367252982</v>
      </c>
      <c r="E1846" s="248">
        <v>-4.7377549866143849E-2</v>
      </c>
    </row>
    <row r="1847" spans="2:5" ht="15" thickBot="1" x14ac:dyDescent="0.35">
      <c r="B1847" s="170">
        <v>43909.645833333336</v>
      </c>
      <c r="C1847" s="169">
        <v>1824.9</v>
      </c>
      <c r="D1847" s="247">
        <f t="shared" si="31"/>
        <v>-0.11710491303611589</v>
      </c>
      <c r="E1847" s="248">
        <v>-4.7596680757789167E-2</v>
      </c>
    </row>
    <row r="1848" spans="2:5" ht="15" thickBot="1" x14ac:dyDescent="0.35">
      <c r="B1848" s="170">
        <v>43924.645833333336</v>
      </c>
      <c r="C1848" s="169">
        <v>2066.9499999999998</v>
      </c>
      <c r="D1848" s="247">
        <f t="shared" si="31"/>
        <v>0.14278210869685395</v>
      </c>
      <c r="E1848" s="248">
        <v>-4.7598202972007918E-2</v>
      </c>
    </row>
    <row r="1849" spans="2:5" ht="15" thickBot="1" x14ac:dyDescent="0.35">
      <c r="B1849" s="170">
        <v>43914.645833333336</v>
      </c>
      <c r="C1849" s="169">
        <v>1808.7</v>
      </c>
      <c r="D1849" s="247">
        <f t="shared" si="31"/>
        <v>-0.2062753702687877</v>
      </c>
      <c r="E1849" s="248">
        <v>-4.760149544521082E-2</v>
      </c>
    </row>
    <row r="1850" spans="2:5" ht="15" thickBot="1" x14ac:dyDescent="0.35">
      <c r="B1850" s="170">
        <v>43929.645833333336</v>
      </c>
      <c r="C1850" s="169">
        <v>2278.75</v>
      </c>
      <c r="D1850" s="247">
        <f t="shared" si="31"/>
        <v>-2.5133689839572194E-2</v>
      </c>
      <c r="E1850" s="248">
        <v>-4.7604120953754242E-2</v>
      </c>
    </row>
    <row r="1851" spans="2:5" ht="15" thickBot="1" x14ac:dyDescent="0.35">
      <c r="B1851" s="170">
        <v>43970.645833333336</v>
      </c>
      <c r="C1851" s="169">
        <v>2337.5</v>
      </c>
      <c r="D1851" s="247">
        <f t="shared" si="31"/>
        <v>7.7064854279460887E-2</v>
      </c>
      <c r="E1851" s="248">
        <v>-4.7609346670197776E-2</v>
      </c>
    </row>
    <row r="1852" spans="2:5" ht="15" thickBot="1" x14ac:dyDescent="0.35">
      <c r="B1852" s="170">
        <v>43928.645833333336</v>
      </c>
      <c r="C1852" s="169">
        <v>2170.25</v>
      </c>
      <c r="D1852" s="247">
        <f t="shared" si="31"/>
        <v>0.14277815807487762</v>
      </c>
      <c r="E1852" s="248">
        <v>-4.7613823368074605E-2</v>
      </c>
    </row>
    <row r="1853" spans="2:5" ht="15" thickBot="1" x14ac:dyDescent="0.35">
      <c r="B1853" s="170">
        <v>43915.645833333336</v>
      </c>
      <c r="C1853" s="169">
        <v>1899.1</v>
      </c>
      <c r="D1853" s="247">
        <f t="shared" si="31"/>
        <v>-0.47449396073439687</v>
      </c>
      <c r="E1853" s="248">
        <v>-4.7616659562197565E-2</v>
      </c>
    </row>
    <row r="1854" spans="2:5" ht="15" thickBot="1" x14ac:dyDescent="0.35">
      <c r="B1854" s="170">
        <v>44708.645833333336</v>
      </c>
      <c r="C1854" s="169">
        <v>3613.85</v>
      </c>
      <c r="D1854" s="247">
        <f t="shared" si="31"/>
        <v>1.8375078517587942</v>
      </c>
      <c r="E1854" s="248">
        <v>-4.8085027921188545E-2</v>
      </c>
    </row>
    <row r="1855" spans="2:5" ht="15" thickBot="1" x14ac:dyDescent="0.35">
      <c r="B1855" s="170">
        <v>43403.645833333336</v>
      </c>
      <c r="C1855" s="169">
        <v>1273.5999999999999</v>
      </c>
      <c r="D1855" s="247">
        <f t="shared" si="31"/>
        <v>-2.398651237642745E-2</v>
      </c>
      <c r="E1855" s="248">
        <v>-4.8095967711797999E-2</v>
      </c>
    </row>
    <row r="1856" spans="2:5" ht="15" thickBot="1" x14ac:dyDescent="0.35">
      <c r="B1856" s="170">
        <v>43381.645833333336</v>
      </c>
      <c r="C1856" s="169">
        <v>1304.9000000000001</v>
      </c>
      <c r="D1856" s="247">
        <f t="shared" si="31"/>
        <v>6.3834991032121466E-2</v>
      </c>
      <c r="E1856" s="248">
        <v>-4.9253187613843286E-2</v>
      </c>
    </row>
    <row r="1857" spans="2:5" ht="15" thickBot="1" x14ac:dyDescent="0.35">
      <c r="B1857" s="170">
        <v>43399.645833333336</v>
      </c>
      <c r="C1857" s="169">
        <v>1226.5999999999999</v>
      </c>
      <c r="D1857" s="247">
        <f t="shared" si="31"/>
        <v>-0.54890314988139677</v>
      </c>
      <c r="E1857" s="248">
        <v>-5.0067763794772575E-2</v>
      </c>
    </row>
    <row r="1858" spans="2:5" ht="15" thickBot="1" x14ac:dyDescent="0.35">
      <c r="B1858" s="170">
        <v>44217.645833333336</v>
      </c>
      <c r="C1858" s="169">
        <v>2719.15</v>
      </c>
      <c r="D1858" s="247">
        <f t="shared" si="31"/>
        <v>-9.1375392635166683E-2</v>
      </c>
      <c r="E1858" s="248">
        <v>-5.0161557942537738E-2</v>
      </c>
    </row>
    <row r="1859" spans="2:5" ht="15" thickBot="1" x14ac:dyDescent="0.35">
      <c r="B1859" s="170">
        <v>44249.645833333336</v>
      </c>
      <c r="C1859" s="169">
        <v>2992.6</v>
      </c>
      <c r="D1859" s="247">
        <f t="shared" si="31"/>
        <v>0.90593255421456531</v>
      </c>
      <c r="E1859" s="248">
        <v>-5.0556005012769849E-2</v>
      </c>
    </row>
    <row r="1860" spans="2:5" ht="15" thickBot="1" x14ac:dyDescent="0.35">
      <c r="B1860" s="170">
        <v>43461.645833333336</v>
      </c>
      <c r="C1860" s="169">
        <v>1570.15</v>
      </c>
      <c r="D1860" s="247">
        <f t="shared" si="31"/>
        <v>-0.45832614620347045</v>
      </c>
      <c r="E1860" s="248">
        <v>-5.124021873772619E-2</v>
      </c>
    </row>
    <row r="1861" spans="2:5" ht="15" thickBot="1" x14ac:dyDescent="0.35">
      <c r="B1861" s="170">
        <v>44333.645833333336</v>
      </c>
      <c r="C1861" s="169">
        <v>2898.7</v>
      </c>
      <c r="D1861" s="247">
        <f t="shared" ref="D1861:D1882" si="32">(C1861-C1862)/C1862</f>
        <v>0.46089103920975694</v>
      </c>
      <c r="E1861" s="248">
        <v>-5.1565618558387712E-2</v>
      </c>
    </row>
    <row r="1862" spans="2:5" ht="15" thickBot="1" x14ac:dyDescent="0.35">
      <c r="B1862" s="170">
        <v>44120.645833333336</v>
      </c>
      <c r="C1862" s="169">
        <v>1984.2</v>
      </c>
      <c r="D1862" s="247">
        <f t="shared" si="32"/>
        <v>-0.31778094861524175</v>
      </c>
      <c r="E1862" s="248">
        <v>-5.2571264861767712E-2</v>
      </c>
    </row>
    <row r="1863" spans="2:5" ht="15" thickBot="1" x14ac:dyDescent="0.35">
      <c r="B1863" s="170">
        <v>44256.645833333336</v>
      </c>
      <c r="C1863" s="169">
        <v>2908.45</v>
      </c>
      <c r="D1863" s="247">
        <f t="shared" si="32"/>
        <v>-0.21496146942521294</v>
      </c>
      <c r="E1863" s="248">
        <v>-5.3700992353993879E-2</v>
      </c>
    </row>
    <row r="1864" spans="2:5" ht="15" thickBot="1" x14ac:dyDescent="0.35">
      <c r="B1864" s="170">
        <v>45091.645833333336</v>
      </c>
      <c r="C1864" s="169">
        <v>3704.85</v>
      </c>
      <c r="D1864" s="247">
        <f t="shared" si="32"/>
        <v>0.61840380919098381</v>
      </c>
      <c r="E1864" s="248">
        <v>-5.4330346887204208E-2</v>
      </c>
    </row>
    <row r="1865" spans="2:5" ht="15" thickBot="1" x14ac:dyDescent="0.35">
      <c r="B1865" s="170">
        <v>44162.645833333336</v>
      </c>
      <c r="C1865" s="169">
        <v>2289.1999999999998</v>
      </c>
      <c r="D1865" s="247">
        <f t="shared" si="32"/>
        <v>-0.13663963794078829</v>
      </c>
      <c r="E1865" s="248">
        <v>-5.6661309597395647E-2</v>
      </c>
    </row>
    <row r="1866" spans="2:5" ht="15" thickBot="1" x14ac:dyDescent="0.35">
      <c r="B1866" s="170">
        <v>44225.645833333336</v>
      </c>
      <c r="C1866" s="169">
        <v>2651.5</v>
      </c>
      <c r="D1866" s="247">
        <f t="shared" si="32"/>
        <v>0.88062983190297173</v>
      </c>
      <c r="E1866" s="248">
        <v>-5.7076813655761026E-2</v>
      </c>
    </row>
    <row r="1867" spans="2:5" ht="15" thickBot="1" x14ac:dyDescent="0.35">
      <c r="B1867" s="170">
        <v>43244.645833333336</v>
      </c>
      <c r="C1867" s="169">
        <v>1409.9</v>
      </c>
      <c r="D1867" s="247">
        <f t="shared" si="32"/>
        <v>-0.70254960495363872</v>
      </c>
      <c r="E1867" s="248">
        <v>-5.8528930586624728E-2</v>
      </c>
    </row>
    <row r="1868" spans="2:5" ht="15" thickBot="1" x14ac:dyDescent="0.35">
      <c r="B1868" s="170">
        <v>45457.645833333336</v>
      </c>
      <c r="C1868" s="169">
        <v>4739.95</v>
      </c>
      <c r="D1868" s="247">
        <f t="shared" si="32"/>
        <v>1.6773328061455035</v>
      </c>
      <c r="E1868" s="248">
        <v>-5.9403091699244015E-2</v>
      </c>
    </row>
    <row r="1869" spans="2:5" ht="15" thickBot="1" x14ac:dyDescent="0.35">
      <c r="B1869" s="170">
        <v>43815.645833333336</v>
      </c>
      <c r="C1869" s="169">
        <v>1770.4</v>
      </c>
      <c r="D1869" s="247">
        <f t="shared" si="32"/>
        <v>0.33504260613830045</v>
      </c>
      <c r="E1869" s="248">
        <v>-6.0272300220281828E-2</v>
      </c>
    </row>
    <row r="1870" spans="2:5" ht="15" thickBot="1" x14ac:dyDescent="0.35">
      <c r="B1870" s="170">
        <v>43384.645833333336</v>
      </c>
      <c r="C1870" s="169">
        <v>1326.1</v>
      </c>
      <c r="D1870" s="247">
        <f t="shared" si="32"/>
        <v>7.441766254810607E-2</v>
      </c>
      <c r="E1870" s="248">
        <v>-6.0636112488489151E-2</v>
      </c>
    </row>
    <row r="1871" spans="2:5" ht="15" thickBot="1" x14ac:dyDescent="0.35">
      <c r="B1871" s="170">
        <v>43602.645833333336</v>
      </c>
      <c r="C1871" s="169">
        <v>1234.25</v>
      </c>
      <c r="D1871" s="247">
        <f t="shared" si="32"/>
        <v>-0.72866172025281672</v>
      </c>
      <c r="E1871" s="248">
        <v>-6.3614293300963437E-2</v>
      </c>
    </row>
    <row r="1872" spans="2:5" ht="15" thickBot="1" x14ac:dyDescent="0.35">
      <c r="B1872" s="170">
        <v>45447.645833333336</v>
      </c>
      <c r="C1872" s="169">
        <v>4548.75</v>
      </c>
      <c r="D1872" s="247">
        <f t="shared" si="32"/>
        <v>2.3297342800673451</v>
      </c>
      <c r="E1872" s="248">
        <v>-6.4476322690112609E-2</v>
      </c>
    </row>
    <row r="1873" spans="2:5" ht="15" thickBot="1" x14ac:dyDescent="0.35">
      <c r="B1873" s="170">
        <v>43405.645833333336</v>
      </c>
      <c r="C1873" s="169">
        <v>1366.1</v>
      </c>
      <c r="D1873" s="247">
        <f t="shared" si="32"/>
        <v>-0.65838959739934988</v>
      </c>
      <c r="E1873" s="248">
        <v>-6.5914529914529979E-2</v>
      </c>
    </row>
    <row r="1874" spans="2:5" ht="15" thickBot="1" x14ac:dyDescent="0.35">
      <c r="B1874" s="170">
        <v>45867.645833333336</v>
      </c>
      <c r="C1874" s="168">
        <v>3999</v>
      </c>
      <c r="D1874" s="247">
        <f t="shared" si="32"/>
        <v>-9.2775553261720267E-2</v>
      </c>
      <c r="E1874" s="248">
        <v>-6.5959732797682927E-2</v>
      </c>
    </row>
    <row r="1875" spans="2:5" ht="15" thickBot="1" x14ac:dyDescent="0.35">
      <c r="B1875" s="170">
        <v>44477.645833333336</v>
      </c>
      <c r="C1875" s="169">
        <v>4407.95</v>
      </c>
      <c r="D1875" s="247">
        <f t="shared" si="32"/>
        <v>0.20282973817417754</v>
      </c>
      <c r="E1875" s="248">
        <v>-6.6003453792285116E-2</v>
      </c>
    </row>
    <row r="1876" spans="2:5" ht="15" thickBot="1" x14ac:dyDescent="0.35">
      <c r="B1876" s="170">
        <v>45688.645833333336</v>
      </c>
      <c r="C1876" s="169">
        <v>3664.65</v>
      </c>
      <c r="D1876" s="247">
        <f t="shared" si="32"/>
        <v>-0.22670394598016458</v>
      </c>
      <c r="E1876" s="248">
        <v>-7.1735248299707385E-2</v>
      </c>
    </row>
    <row r="1877" spans="2:5" ht="15" thickBot="1" x14ac:dyDescent="0.35">
      <c r="B1877" s="170">
        <v>44481.645833333336</v>
      </c>
      <c r="C1877" s="169">
        <v>4739</v>
      </c>
      <c r="D1877" s="247">
        <f t="shared" si="32"/>
        <v>1.0719657222805179</v>
      </c>
      <c r="E1877" s="248">
        <v>-7.3898556813851393E-2</v>
      </c>
    </row>
    <row r="1878" spans="2:5" ht="15" thickBot="1" x14ac:dyDescent="0.35">
      <c r="B1878" s="170">
        <v>43868.645833333336</v>
      </c>
      <c r="C1878" s="169">
        <v>2287.1999999999998</v>
      </c>
      <c r="D1878" s="247">
        <f t="shared" si="32"/>
        <v>0.4124185630036743</v>
      </c>
      <c r="E1878" s="248">
        <v>-7.9097296317919299E-2</v>
      </c>
    </row>
    <row r="1879" spans="2:5" ht="15" thickBot="1" x14ac:dyDescent="0.35">
      <c r="B1879" s="170">
        <v>43727.645833333336</v>
      </c>
      <c r="C1879" s="169">
        <v>1619.35</v>
      </c>
      <c r="D1879" s="247">
        <f t="shared" si="32"/>
        <v>-8.0541676129911505E-2</v>
      </c>
      <c r="E1879" s="248">
        <v>-8.0541676129911505E-2</v>
      </c>
    </row>
    <row r="1880" spans="2:5" ht="15" thickBot="1" x14ac:dyDescent="0.35">
      <c r="B1880" s="170">
        <v>43728.645833333336</v>
      </c>
      <c r="C1880" s="169">
        <v>1761.2</v>
      </c>
      <c r="D1880" s="247">
        <f t="shared" si="32"/>
        <v>-0.45483811056769635</v>
      </c>
      <c r="E1880" s="248">
        <v>-8.1272822117892524E-2</v>
      </c>
    </row>
    <row r="1881" spans="2:5" ht="15" thickBot="1" x14ac:dyDescent="0.35">
      <c r="B1881" s="170">
        <v>44694.645833333336</v>
      </c>
      <c r="C1881" s="169">
        <v>3230.6</v>
      </c>
      <c r="D1881" s="247">
        <f t="shared" si="32"/>
        <v>-0.1053695549832461</v>
      </c>
      <c r="E1881" s="248">
        <v>-9.2808401898289858E-2</v>
      </c>
    </row>
    <row r="1882" spans="2:5" ht="15" thickBot="1" x14ac:dyDescent="0.35">
      <c r="B1882" s="170">
        <v>45659.645833333336</v>
      </c>
      <c r="C1882" s="169">
        <v>3611.1</v>
      </c>
      <c r="D1882" s="247">
        <f t="shared" si="32"/>
        <v>-0.20774462483545417</v>
      </c>
      <c r="E1882" s="248">
        <v>-0.10287687568319585</v>
      </c>
    </row>
    <row r="1883" spans="2:5" ht="15" thickBot="1" x14ac:dyDescent="0.35">
      <c r="B1883" s="170">
        <v>45887.645833333336</v>
      </c>
      <c r="C1883" s="168">
        <v>4558</v>
      </c>
      <c r="D1883" s="171"/>
    </row>
  </sheetData>
  <autoFilter ref="B4:E1883" xr:uid="{EC8297B8-D0EB-4B9A-BF74-8ED0975F74E5}">
    <sortState xmlns:xlrd2="http://schemas.microsoft.com/office/spreadsheetml/2017/richdata2" ref="B5:E1883">
      <sortCondition descending="1" ref="E4:E1883"/>
    </sortState>
  </autoFilter>
  <pageMargins left="0.7" right="0.7" top="0.75" bottom="0.75" header="0.3" footer="0.3"/>
  <ignoredErrors>
    <ignoredError sqref="I16:I17" formulaRange="1"/>
  </ignoredErrors>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FE7CE7-023D-4CAB-A89A-053E446DBB77}">
  <sheetPr>
    <tabColor theme="6"/>
    <pageSetUpPr fitToPage="1"/>
  </sheetPr>
  <dimension ref="B4:K83"/>
  <sheetViews>
    <sheetView showGridLines="0" topLeftCell="A12" zoomScale="76" zoomScaleNormal="103" zoomScaleSheetLayoutView="84" workbookViewId="0">
      <selection activeCell="M37" sqref="M37"/>
    </sheetView>
  </sheetViews>
  <sheetFormatPr defaultRowHeight="14.4" x14ac:dyDescent="0.3"/>
  <cols>
    <col min="1" max="1" width="1.88671875" customWidth="1"/>
    <col min="2" max="2" width="31.6640625" customWidth="1"/>
    <col min="3" max="11" width="15.77734375" customWidth="1"/>
  </cols>
  <sheetData>
    <row r="4" spans="2:11" ht="28.8" x14ac:dyDescent="0.55000000000000004">
      <c r="B4" s="179" t="str">
        <f>'Data Sheet'!B1</f>
        <v>AVENUE SUPERMARTS LTD</v>
      </c>
      <c r="C4" s="180"/>
    </row>
    <row r="7" spans="2:11" ht="18" x14ac:dyDescent="0.35">
      <c r="B7" s="181" t="str">
        <f>CONCATENATE(" ","INR "&amp;'Data Sheet'!B8)</f>
        <v xml:space="preserve"> INR 4358.2</v>
      </c>
    </row>
    <row r="8" spans="2:11" x14ac:dyDescent="0.3">
      <c r="B8" t="s">
        <v>437</v>
      </c>
    </row>
    <row r="9" spans="2:11" ht="1.2" customHeight="1" thickBot="1" x14ac:dyDescent="0.35">
      <c r="B9" s="182"/>
      <c r="C9" s="182"/>
      <c r="D9" s="182"/>
      <c r="E9" s="182"/>
      <c r="F9" s="182"/>
      <c r="G9" s="182"/>
      <c r="H9" s="182"/>
      <c r="I9" s="182"/>
      <c r="J9" s="182"/>
      <c r="K9" s="182"/>
    </row>
    <row r="10" spans="2:11" ht="17.399999999999999" customHeight="1" x14ac:dyDescent="0.3">
      <c r="B10" s="187" t="s">
        <v>438</v>
      </c>
    </row>
    <row r="11" spans="2:11" ht="14.4" customHeight="1" x14ac:dyDescent="0.3">
      <c r="B11" s="266" t="s">
        <v>454</v>
      </c>
      <c r="C11" s="266"/>
      <c r="D11" s="266"/>
      <c r="E11" s="266"/>
      <c r="F11" s="266"/>
      <c r="G11" s="266"/>
      <c r="H11" s="266"/>
      <c r="I11" s="266"/>
    </row>
    <row r="12" spans="2:11" x14ac:dyDescent="0.3">
      <c r="B12" s="266"/>
      <c r="C12" s="266"/>
      <c r="D12" s="266"/>
      <c r="E12" s="266"/>
      <c r="F12" s="266"/>
      <c r="G12" s="266"/>
      <c r="H12" s="266"/>
      <c r="I12" s="266"/>
    </row>
    <row r="13" spans="2:11" x14ac:dyDescent="0.3">
      <c r="B13" s="266"/>
      <c r="C13" s="266"/>
      <c r="D13" s="266"/>
      <c r="E13" s="266"/>
      <c r="F13" s="266"/>
      <c r="G13" s="266"/>
      <c r="H13" s="266"/>
      <c r="I13" s="266"/>
    </row>
    <row r="14" spans="2:11" x14ac:dyDescent="0.3">
      <c r="B14" s="266"/>
      <c r="C14" s="266"/>
      <c r="D14" s="266"/>
      <c r="E14" s="266"/>
      <c r="F14" s="266"/>
      <c r="G14" s="266"/>
      <c r="H14" s="266"/>
      <c r="I14" s="266"/>
    </row>
    <row r="15" spans="2:11" x14ac:dyDescent="0.3">
      <c r="B15" s="266"/>
      <c r="C15" s="266"/>
      <c r="D15" s="266"/>
      <c r="E15" s="266"/>
      <c r="F15" s="266"/>
      <c r="G15" s="266"/>
      <c r="H15" s="266"/>
      <c r="I15" s="266"/>
    </row>
    <row r="16" spans="2:11" x14ac:dyDescent="0.3">
      <c r="B16" s="266"/>
      <c r="C16" s="266"/>
      <c r="D16" s="266"/>
      <c r="E16" s="266"/>
      <c r="F16" s="266"/>
      <c r="G16" s="266"/>
      <c r="H16" s="266"/>
      <c r="I16" s="266"/>
    </row>
    <row r="17" spans="2:9" ht="18" x14ac:dyDescent="0.35">
      <c r="B17" s="186" t="s">
        <v>439</v>
      </c>
      <c r="I17" s="2"/>
    </row>
    <row r="45" spans="2:11" x14ac:dyDescent="0.3">
      <c r="B45" s="263" t="s">
        <v>440</v>
      </c>
      <c r="C45" s="263"/>
      <c r="D45" s="263"/>
      <c r="E45" s="263"/>
      <c r="F45" s="263"/>
      <c r="G45" s="263"/>
      <c r="H45" s="263"/>
      <c r="I45" s="263"/>
      <c r="J45" s="263"/>
      <c r="K45" s="263"/>
    </row>
    <row r="46" spans="2:11" x14ac:dyDescent="0.3">
      <c r="C46" s="75">
        <f>'Raw FS'!F2</f>
        <v>42795</v>
      </c>
      <c r="D46" s="75">
        <f>'Raw FS'!G2</f>
        <v>43160</v>
      </c>
      <c r="E46" s="75">
        <f>'Raw FS'!H2</f>
        <v>43525</v>
      </c>
      <c r="F46" s="75">
        <f>'Raw FS'!I2</f>
        <v>43891</v>
      </c>
      <c r="G46" s="75">
        <f>'Raw FS'!J2</f>
        <v>44256</v>
      </c>
      <c r="H46" s="75">
        <f>'Raw FS'!K2</f>
        <v>44621</v>
      </c>
      <c r="I46" s="75">
        <f>'Raw FS'!L2</f>
        <v>44986</v>
      </c>
      <c r="J46" s="75">
        <f>'Raw FS'!M2</f>
        <v>45352</v>
      </c>
      <c r="K46" s="75">
        <f>'Raw FS'!N2</f>
        <v>45717</v>
      </c>
    </row>
    <row r="47" spans="2:11" x14ac:dyDescent="0.3">
      <c r="B47" t="s">
        <v>441</v>
      </c>
      <c r="C47" s="161">
        <f>HistoricaIFS!D32</f>
        <v>478.75</v>
      </c>
      <c r="D47" s="161">
        <f>HistoricaIFS!E32</f>
        <v>806.26</v>
      </c>
      <c r="E47" s="161">
        <f>HistoricaIFS!F32</f>
        <v>902.54</v>
      </c>
      <c r="F47" s="161">
        <f>HistoricaIFS!G32</f>
        <v>1301.08</v>
      </c>
      <c r="G47" s="161">
        <f>HistoricaIFS!H32</f>
        <v>1099.49</v>
      </c>
      <c r="H47" s="161">
        <f>HistoricaIFS!I32</f>
        <v>1492.55</v>
      </c>
      <c r="I47" s="161">
        <f>HistoricaIFS!J32</f>
        <v>2378.5100000000002</v>
      </c>
      <c r="J47" s="161">
        <f>HistoricaIFS!K32</f>
        <v>2536.17</v>
      </c>
      <c r="K47" s="161">
        <f>HistoricaIFS!L32</f>
        <v>2708.02</v>
      </c>
    </row>
    <row r="48" spans="2:11" x14ac:dyDescent="0.3">
      <c r="B48" t="s">
        <v>442</v>
      </c>
      <c r="C48" s="161">
        <f>(('Data Sheet'!C57+'Data Sheet'!C58)+('Data Sheet'!B57+'Data Sheet'!B58))/2</f>
        <v>2681.1099999999997</v>
      </c>
      <c r="D48" s="161">
        <f>(('Data Sheet'!D57+'Data Sheet'!D58)+('Data Sheet'!C57+'Data Sheet'!C58))/2</f>
        <v>4255.415</v>
      </c>
      <c r="E48" s="161">
        <f>(('Data Sheet'!E57+'Data Sheet'!E58)+('Data Sheet'!D57+'Data Sheet'!D58))/2</f>
        <v>5128.25</v>
      </c>
      <c r="F48" s="161">
        <f>(('Data Sheet'!F57+'Data Sheet'!F58)+('Data Sheet'!E57+'Data Sheet'!E58))/2</f>
        <v>8333.5949999999993</v>
      </c>
      <c r="G48" s="161">
        <f>(('Data Sheet'!G57+'Data Sheet'!G58)+('Data Sheet'!F57+'Data Sheet'!F58))/2</f>
        <v>11631.725</v>
      </c>
      <c r="H48" s="161">
        <f>(('Data Sheet'!H57+'Data Sheet'!H58)+('Data Sheet'!G57+'Data Sheet'!G58))/2</f>
        <v>12930.675000000001</v>
      </c>
      <c r="I48" s="161">
        <f>(('Data Sheet'!I57+'Data Sheet'!I58)+('Data Sheet'!H57+'Data Sheet'!H58))/2</f>
        <v>14878.170000000002</v>
      </c>
      <c r="J48" s="161">
        <f>(('Data Sheet'!J57+'Data Sheet'!J58)+('Data Sheet'!I57+'Data Sheet'!I58))/2</f>
        <v>17388.260000000002</v>
      </c>
      <c r="K48" s="161">
        <f>(('Data Sheet'!K57+'Data Sheet'!K58)+('Data Sheet'!J57+'Data Sheet'!J58))/2</f>
        <v>20062.785</v>
      </c>
    </row>
    <row r="49" spans="2:11" x14ac:dyDescent="0.3">
      <c r="B49" s="184" t="s">
        <v>443</v>
      </c>
      <c r="C49" s="183">
        <f>C47/C48</f>
        <v>0.17856410218155916</v>
      </c>
      <c r="D49" s="183">
        <f t="shared" ref="D49:K49" si="0">D47/D48</f>
        <v>0.18946683225960334</v>
      </c>
      <c r="E49" s="183">
        <f t="shared" si="0"/>
        <v>0.17599376005459952</v>
      </c>
      <c r="F49" s="183">
        <f t="shared" si="0"/>
        <v>0.15612469768449272</v>
      </c>
      <c r="G49" s="183">
        <f t="shared" si="0"/>
        <v>9.4525102682534182E-2</v>
      </c>
      <c r="H49" s="183">
        <f t="shared" si="0"/>
        <v>0.11542707553936665</v>
      </c>
      <c r="I49" s="183">
        <f t="shared" si="0"/>
        <v>0.15986576306091407</v>
      </c>
      <c r="J49" s="183">
        <f t="shared" si="0"/>
        <v>0.14585530697148535</v>
      </c>
      <c r="K49" s="183">
        <f t="shared" si="0"/>
        <v>0.13497727259699988</v>
      </c>
    </row>
    <row r="51" spans="2:11" x14ac:dyDescent="0.3">
      <c r="B51" s="263" t="s">
        <v>444</v>
      </c>
      <c r="C51" s="263"/>
      <c r="D51" s="263"/>
      <c r="E51" s="263"/>
      <c r="F51" s="263"/>
      <c r="G51" s="263"/>
      <c r="H51" s="263"/>
      <c r="I51" s="263"/>
      <c r="J51" s="263"/>
      <c r="K51" s="263"/>
    </row>
    <row r="52" spans="2:11" x14ac:dyDescent="0.3">
      <c r="C52" s="75">
        <f t="shared" ref="C52:J52" si="1">C46</f>
        <v>42795</v>
      </c>
      <c r="D52" s="75">
        <f t="shared" si="1"/>
        <v>43160</v>
      </c>
      <c r="E52" s="75">
        <f t="shared" si="1"/>
        <v>43525</v>
      </c>
      <c r="F52" s="75">
        <f t="shared" si="1"/>
        <v>43891</v>
      </c>
      <c r="G52" s="75">
        <f t="shared" si="1"/>
        <v>44256</v>
      </c>
      <c r="H52" s="75">
        <f t="shared" si="1"/>
        <v>44621</v>
      </c>
      <c r="I52" s="75">
        <f t="shared" si="1"/>
        <v>44986</v>
      </c>
      <c r="J52" s="75">
        <f t="shared" si="1"/>
        <v>45352</v>
      </c>
      <c r="K52" s="75">
        <f>K46</f>
        <v>45717</v>
      </c>
    </row>
    <row r="53" spans="2:11" x14ac:dyDescent="0.3">
      <c r="B53" t="s">
        <v>441</v>
      </c>
      <c r="C53" s="161">
        <v>658.75</v>
      </c>
      <c r="D53" s="161">
        <v>623.55999999999995</v>
      </c>
      <c r="E53" s="161">
        <v>690.61</v>
      </c>
      <c r="F53" s="161">
        <v>563.25</v>
      </c>
      <c r="G53" s="161">
        <v>773.82</v>
      </c>
      <c r="H53" s="161">
        <v>659.58</v>
      </c>
      <c r="I53" s="161">
        <v>723.72</v>
      </c>
      <c r="J53" s="161">
        <v>550.9</v>
      </c>
      <c r="K53" s="161">
        <v>772.97</v>
      </c>
    </row>
    <row r="54" spans="2:11" x14ac:dyDescent="0.3">
      <c r="B54" t="s">
        <v>446</v>
      </c>
      <c r="C54" s="161">
        <f>'Data Sheet'!C17</f>
        <v>11897.7</v>
      </c>
      <c r="D54" s="161">
        <f>'Data Sheet'!D17</f>
        <v>15033.2</v>
      </c>
      <c r="E54" s="161">
        <f>'Data Sheet'!E17</f>
        <v>20004.52</v>
      </c>
      <c r="F54" s="161">
        <f>'Data Sheet'!F17</f>
        <v>24870.2</v>
      </c>
      <c r="G54" s="161">
        <f>'Data Sheet'!G17</f>
        <v>24143.06</v>
      </c>
      <c r="H54" s="161">
        <f>'Data Sheet'!H17</f>
        <v>30976.27</v>
      </c>
      <c r="I54" s="161">
        <f>'Data Sheet'!I17</f>
        <v>42839.56</v>
      </c>
      <c r="J54" s="161">
        <f>'Data Sheet'!J17</f>
        <v>50788.83</v>
      </c>
      <c r="K54" s="161">
        <f>'Data Sheet'!K17</f>
        <v>59358.05</v>
      </c>
    </row>
    <row r="55" spans="2:11" x14ac:dyDescent="0.3">
      <c r="B55" s="184" t="s">
        <v>445</v>
      </c>
      <c r="C55" s="183">
        <f t="shared" ref="C55:J55" si="2">C53/C54</f>
        <v>5.5367844205182509E-2</v>
      </c>
      <c r="D55" s="183">
        <f t="shared" si="2"/>
        <v>4.1478860122927917E-2</v>
      </c>
      <c r="E55" s="183">
        <f t="shared" si="2"/>
        <v>3.4522697870281317E-2</v>
      </c>
      <c r="F55" s="183">
        <f t="shared" si="2"/>
        <v>2.2647586267902951E-2</v>
      </c>
      <c r="G55" s="183">
        <f t="shared" si="2"/>
        <v>3.2051446668317933E-2</v>
      </c>
      <c r="H55" s="183">
        <f t="shared" si="2"/>
        <v>2.1293073698027555E-2</v>
      </c>
      <c r="I55" s="183">
        <f t="shared" si="2"/>
        <v>1.6893730934678136E-2</v>
      </c>
      <c r="J55" s="183">
        <f t="shared" si="2"/>
        <v>1.084687321995801E-2</v>
      </c>
      <c r="K55" s="183">
        <f>K53/K54</f>
        <v>1.3022159589137446E-2</v>
      </c>
    </row>
    <row r="57" spans="2:11" x14ac:dyDescent="0.3">
      <c r="B57" t="s">
        <v>25</v>
      </c>
      <c r="C57" s="161">
        <f t="shared" ref="C57:J57" si="3">C54</f>
        <v>11897.7</v>
      </c>
      <c r="D57" s="161">
        <f t="shared" si="3"/>
        <v>15033.2</v>
      </c>
      <c r="E57" s="161">
        <f t="shared" si="3"/>
        <v>20004.52</v>
      </c>
      <c r="F57" s="161">
        <f t="shared" si="3"/>
        <v>24870.2</v>
      </c>
      <c r="G57" s="161">
        <f t="shared" si="3"/>
        <v>24143.06</v>
      </c>
      <c r="H57" s="161">
        <f t="shared" si="3"/>
        <v>30976.27</v>
      </c>
      <c r="I57" s="161">
        <f t="shared" si="3"/>
        <v>42839.56</v>
      </c>
      <c r="J57" s="161">
        <f t="shared" si="3"/>
        <v>50788.83</v>
      </c>
      <c r="K57" s="161">
        <f>K54</f>
        <v>59358.05</v>
      </c>
    </row>
    <row r="58" spans="2:11" x14ac:dyDescent="0.3">
      <c r="B58" t="s">
        <v>447</v>
      </c>
      <c r="C58" s="161">
        <f>('Data Sheet'!C66+'Data Sheet'!B66)/2</f>
        <v>4460.42</v>
      </c>
      <c r="D58" s="161">
        <f>('Data Sheet'!D66+'Data Sheet'!C66)/2</f>
        <v>5733.75</v>
      </c>
      <c r="E58" s="161">
        <f>('Data Sheet'!E66+'Data Sheet'!D66)/2</f>
        <v>6326.8600000000006</v>
      </c>
      <c r="F58" s="161">
        <f>('Data Sheet'!F66+'Data Sheet'!E66)/2</f>
        <v>9540.83</v>
      </c>
      <c r="G58" s="161">
        <f>('Data Sheet'!G66+'Data Sheet'!F66)/2</f>
        <v>12865.605</v>
      </c>
      <c r="H58" s="161">
        <f>('Data Sheet'!H66+'Data Sheet'!G66)/2</f>
        <v>14563.014999999999</v>
      </c>
      <c r="I58" s="161">
        <f>('Data Sheet'!I66+'Data Sheet'!H66)/2</f>
        <v>16787.75</v>
      </c>
      <c r="J58" s="161">
        <f>('Data Sheet'!J66+'Data Sheet'!I66)/2</f>
        <v>19638.5</v>
      </c>
      <c r="K58" s="161">
        <f>('Data Sheet'!K66+'Data Sheet'!J66)/2</f>
        <v>22742.629999999997</v>
      </c>
    </row>
    <row r="59" spans="2:11" x14ac:dyDescent="0.3">
      <c r="B59" s="184" t="s">
        <v>448</v>
      </c>
      <c r="C59" s="185">
        <f t="shared" ref="C59" si="4">C57/C58</f>
        <v>2.6673945502889862</v>
      </c>
      <c r="D59" s="185">
        <f t="shared" ref="D59" si="5">D57/D58</f>
        <v>2.6218792238936124</v>
      </c>
      <c r="E59" s="185">
        <f t="shared" ref="E59" si="6">E57/E58</f>
        <v>3.1618401545158261</v>
      </c>
      <c r="F59" s="185">
        <f t="shared" ref="F59" si="7">F57/F58</f>
        <v>2.6067124139094817</v>
      </c>
      <c r="G59" s="185">
        <f t="shared" ref="G59" si="8">G57/G58</f>
        <v>1.8765584673243119</v>
      </c>
      <c r="H59" s="185">
        <f t="shared" ref="H59" si="9">H57/H58</f>
        <v>2.1270506141757046</v>
      </c>
      <c r="I59" s="185">
        <f t="shared" ref="I59" si="10">I57/I58</f>
        <v>2.551834522196244</v>
      </c>
      <c r="J59" s="185">
        <f t="shared" ref="J59" si="11">J57/J58</f>
        <v>2.5861868268961481</v>
      </c>
      <c r="K59" s="185">
        <f>K57/K58</f>
        <v>2.609990577167197</v>
      </c>
    </row>
    <row r="61" spans="2:11" x14ac:dyDescent="0.3">
      <c r="B61" t="str">
        <f>B58</f>
        <v xml:space="preserve">Average Total Asset </v>
      </c>
      <c r="C61" s="161">
        <f>C58</f>
        <v>4460.42</v>
      </c>
      <c r="D61" s="161">
        <f t="shared" ref="D61:K61" si="12">D58</f>
        <v>5733.75</v>
      </c>
      <c r="E61" s="161">
        <f t="shared" si="12"/>
        <v>6326.8600000000006</v>
      </c>
      <c r="F61" s="161">
        <f t="shared" si="12"/>
        <v>9540.83</v>
      </c>
      <c r="G61" s="161">
        <f t="shared" si="12"/>
        <v>12865.605</v>
      </c>
      <c r="H61" s="161">
        <f t="shared" si="12"/>
        <v>14563.014999999999</v>
      </c>
      <c r="I61" s="161">
        <f t="shared" si="12"/>
        <v>16787.75</v>
      </c>
      <c r="J61" s="161">
        <f t="shared" si="12"/>
        <v>19638.5</v>
      </c>
      <c r="K61" s="161">
        <f t="shared" si="12"/>
        <v>22742.629999999997</v>
      </c>
    </row>
    <row r="62" spans="2:11" x14ac:dyDescent="0.3">
      <c r="B62" t="str">
        <f>B48</f>
        <v>Average Shareholder Equity</v>
      </c>
      <c r="C62" s="161">
        <f>C48</f>
        <v>2681.1099999999997</v>
      </c>
      <c r="D62" s="161">
        <f t="shared" ref="D62:K62" si="13">D48</f>
        <v>4255.415</v>
      </c>
      <c r="E62" s="161">
        <f t="shared" si="13"/>
        <v>5128.25</v>
      </c>
      <c r="F62" s="161">
        <f t="shared" si="13"/>
        <v>8333.5949999999993</v>
      </c>
      <c r="G62" s="161">
        <f t="shared" si="13"/>
        <v>11631.725</v>
      </c>
      <c r="H62" s="161">
        <f t="shared" si="13"/>
        <v>12930.675000000001</v>
      </c>
      <c r="I62" s="161">
        <f t="shared" si="13"/>
        <v>14878.170000000002</v>
      </c>
      <c r="J62" s="161">
        <f t="shared" si="13"/>
        <v>17388.260000000002</v>
      </c>
      <c r="K62" s="161">
        <f t="shared" si="13"/>
        <v>20062.785</v>
      </c>
    </row>
    <row r="63" spans="2:11" x14ac:dyDescent="0.3">
      <c r="B63" s="184" t="s">
        <v>449</v>
      </c>
      <c r="C63" s="185">
        <f t="shared" ref="C63" si="14">C61/C62</f>
        <v>1.6636467731648461</v>
      </c>
      <c r="D63" s="185">
        <f t="shared" ref="D63" si="15">D61/D62</f>
        <v>1.3474008997947322</v>
      </c>
      <c r="E63" s="185">
        <f t="shared" ref="E63" si="16">E61/E62</f>
        <v>1.2337269048895823</v>
      </c>
      <c r="F63" s="185">
        <f t="shared" ref="F63" si="17">F61/F62</f>
        <v>1.1448636512813499</v>
      </c>
      <c r="G63" s="185">
        <f t="shared" ref="G63" si="18">G61/G62</f>
        <v>1.1060788490099276</v>
      </c>
      <c r="H63" s="185">
        <f t="shared" ref="H63" si="19">H61/H62</f>
        <v>1.1262378027442494</v>
      </c>
      <c r="I63" s="185">
        <f t="shared" ref="I63" si="20">I61/I62</f>
        <v>1.1283477739533825</v>
      </c>
      <c r="J63" s="185">
        <f t="shared" ref="J63" si="21">J61/J62</f>
        <v>1.1294114534749307</v>
      </c>
      <c r="K63" s="185">
        <f>K61/K62</f>
        <v>1.1335729311758063</v>
      </c>
    </row>
    <row r="65" spans="2:11" x14ac:dyDescent="0.3">
      <c r="B65" s="184" t="str">
        <f>B49</f>
        <v xml:space="preserve">Return On Equity </v>
      </c>
      <c r="C65" s="183">
        <f t="shared" ref="C65:J65" si="22">C63*C59*C55</f>
        <v>0.24570047480334636</v>
      </c>
      <c r="D65" s="183">
        <f t="shared" si="22"/>
        <v>0.14653329933743242</v>
      </c>
      <c r="E65" s="183">
        <f t="shared" si="22"/>
        <v>0.134667771656998</v>
      </c>
      <c r="F65" s="183">
        <f t="shared" si="22"/>
        <v>6.7587877740638957E-2</v>
      </c>
      <c r="G65" s="183">
        <f t="shared" si="22"/>
        <v>6.6526675965946594E-2</v>
      </c>
      <c r="H65" s="183">
        <f t="shared" si="22"/>
        <v>5.1008938048477739E-2</v>
      </c>
      <c r="I65" s="183">
        <f t="shared" si="22"/>
        <v>4.8643079088355613E-2</v>
      </c>
      <c r="J65" s="183">
        <f t="shared" si="22"/>
        <v>3.168229598591233E-2</v>
      </c>
      <c r="K65" s="183">
        <f>K63*K59*K55</f>
        <v>3.8527552381187359E-2</v>
      </c>
    </row>
    <row r="67" spans="2:11" x14ac:dyDescent="0.3">
      <c r="B67" s="263" t="s">
        <v>450</v>
      </c>
      <c r="C67" s="263"/>
      <c r="D67" s="263"/>
      <c r="E67" s="263"/>
      <c r="F67" s="263"/>
      <c r="G67" s="263"/>
      <c r="H67" s="263"/>
      <c r="I67" s="263"/>
      <c r="J67" s="263"/>
      <c r="K67" s="263"/>
    </row>
    <row r="68" spans="2:11" x14ac:dyDescent="0.3">
      <c r="C68" s="75">
        <f t="shared" ref="C68:J68" si="23">C46</f>
        <v>42795</v>
      </c>
      <c r="D68" s="75">
        <f t="shared" si="23"/>
        <v>43160</v>
      </c>
      <c r="E68" s="75">
        <f t="shared" si="23"/>
        <v>43525</v>
      </c>
      <c r="F68" s="75">
        <f t="shared" si="23"/>
        <v>43891</v>
      </c>
      <c r="G68" s="75">
        <f t="shared" si="23"/>
        <v>44256</v>
      </c>
      <c r="H68" s="75">
        <f t="shared" si="23"/>
        <v>44621</v>
      </c>
      <c r="I68" s="75">
        <f t="shared" si="23"/>
        <v>44986</v>
      </c>
      <c r="J68" s="75">
        <f t="shared" si="23"/>
        <v>45352</v>
      </c>
      <c r="K68" s="75">
        <f>K46</f>
        <v>45717</v>
      </c>
    </row>
    <row r="69" spans="2:11" x14ac:dyDescent="0.3">
      <c r="B69" t="s">
        <v>441</v>
      </c>
      <c r="C69" s="161">
        <f>C47</f>
        <v>478.75</v>
      </c>
      <c r="D69" s="161">
        <f t="shared" ref="D69:K69" si="24">D47</f>
        <v>806.26</v>
      </c>
      <c r="E69" s="161">
        <f t="shared" si="24"/>
        <v>902.54</v>
      </c>
      <c r="F69" s="161">
        <f t="shared" si="24"/>
        <v>1301.08</v>
      </c>
      <c r="G69" s="161">
        <f t="shared" si="24"/>
        <v>1099.49</v>
      </c>
      <c r="H69" s="161">
        <f t="shared" si="24"/>
        <v>1492.55</v>
      </c>
      <c r="I69" s="161">
        <f t="shared" si="24"/>
        <v>2378.5100000000002</v>
      </c>
      <c r="J69" s="161">
        <f t="shared" si="24"/>
        <v>2536.17</v>
      </c>
      <c r="K69" s="161">
        <f t="shared" si="24"/>
        <v>2708.02</v>
      </c>
    </row>
    <row r="70" spans="2:11" x14ac:dyDescent="0.3">
      <c r="B70" t="str">
        <f>B58</f>
        <v xml:space="preserve">Average Total Asset </v>
      </c>
      <c r="C70" s="161">
        <f>C58</f>
        <v>4460.42</v>
      </c>
      <c r="D70" s="161">
        <f t="shared" ref="D70:K70" si="25">D58</f>
        <v>5733.75</v>
      </c>
      <c r="E70" s="161">
        <f t="shared" si="25"/>
        <v>6326.8600000000006</v>
      </c>
      <c r="F70" s="161">
        <f t="shared" si="25"/>
        <v>9540.83</v>
      </c>
      <c r="G70" s="161">
        <f t="shared" si="25"/>
        <v>12865.605</v>
      </c>
      <c r="H70" s="161">
        <f t="shared" si="25"/>
        <v>14563.014999999999</v>
      </c>
      <c r="I70" s="161">
        <f t="shared" si="25"/>
        <v>16787.75</v>
      </c>
      <c r="J70" s="161">
        <f t="shared" si="25"/>
        <v>19638.5</v>
      </c>
      <c r="K70" s="161">
        <f t="shared" si="25"/>
        <v>22742.629999999997</v>
      </c>
    </row>
    <row r="71" spans="2:11" x14ac:dyDescent="0.3">
      <c r="B71" s="184" t="s">
        <v>453</v>
      </c>
      <c r="C71" s="183">
        <f>C69/C70</f>
        <v>0.10733294174091229</v>
      </c>
      <c r="D71" s="183">
        <f t="shared" ref="D71" si="26">D69/D70</f>
        <v>0.1406165249618487</v>
      </c>
      <c r="E71" s="183">
        <f t="shared" ref="E71" si="27">E69/E70</f>
        <v>0.14265212127342788</v>
      </c>
      <c r="F71" s="183">
        <f t="shared" ref="F71" si="28">F69/F70</f>
        <v>0.13636968691403159</v>
      </c>
      <c r="G71" s="183">
        <f t="shared" ref="G71" si="29">G69/G70</f>
        <v>8.5459642201046904E-2</v>
      </c>
      <c r="H71" s="183">
        <f t="shared" ref="H71" si="30">H69/H70</f>
        <v>0.10248907935616354</v>
      </c>
      <c r="I71" s="183">
        <f t="shared" ref="I71" si="31">I69/I70</f>
        <v>0.14168128546112493</v>
      </c>
      <c r="J71" s="183">
        <f t="shared" ref="J71" si="32">J69/J70</f>
        <v>0.12914275530208519</v>
      </c>
      <c r="K71" s="183">
        <f t="shared" ref="K71" si="33">K69/K70</f>
        <v>0.11907242038409807</v>
      </c>
    </row>
    <row r="73" spans="2:11" x14ac:dyDescent="0.3">
      <c r="B73" s="263" t="s">
        <v>451</v>
      </c>
      <c r="C73" s="263"/>
      <c r="D73" s="263"/>
      <c r="E73" s="263"/>
      <c r="F73" s="263"/>
      <c r="G73" s="263"/>
      <c r="H73" s="263"/>
      <c r="I73" s="263"/>
      <c r="J73" s="263"/>
      <c r="K73" s="263"/>
    </row>
    <row r="74" spans="2:11" x14ac:dyDescent="0.3">
      <c r="C74" s="75">
        <f t="shared" ref="C74:J74" si="34">C68</f>
        <v>42795</v>
      </c>
      <c r="D74" s="75">
        <f t="shared" si="34"/>
        <v>43160</v>
      </c>
      <c r="E74" s="75">
        <f t="shared" si="34"/>
        <v>43525</v>
      </c>
      <c r="F74" s="75">
        <f t="shared" si="34"/>
        <v>43891</v>
      </c>
      <c r="G74" s="75">
        <f t="shared" si="34"/>
        <v>44256</v>
      </c>
      <c r="H74" s="75">
        <f t="shared" si="34"/>
        <v>44621</v>
      </c>
      <c r="I74" s="75">
        <f t="shared" si="34"/>
        <v>44986</v>
      </c>
      <c r="J74" s="75">
        <f t="shared" si="34"/>
        <v>45352</v>
      </c>
      <c r="K74" s="75">
        <f>K68</f>
        <v>45717</v>
      </c>
    </row>
    <row r="75" spans="2:11" x14ac:dyDescent="0.3">
      <c r="B75" t="s">
        <v>441</v>
      </c>
      <c r="C75" s="161">
        <v>658.75</v>
      </c>
      <c r="D75" s="161">
        <v>623.55999999999995</v>
      </c>
      <c r="E75" s="161">
        <v>690.61</v>
      </c>
      <c r="F75" s="161">
        <v>563.25</v>
      </c>
      <c r="G75" s="161">
        <v>773.82</v>
      </c>
      <c r="H75" s="161">
        <v>659.58</v>
      </c>
      <c r="I75" s="161">
        <v>723.72</v>
      </c>
      <c r="J75" s="161">
        <v>550.9</v>
      </c>
      <c r="K75" s="161">
        <v>772.97</v>
      </c>
    </row>
    <row r="76" spans="2:11" x14ac:dyDescent="0.3">
      <c r="B76" t="s">
        <v>446</v>
      </c>
      <c r="C76" s="161">
        <f>C54</f>
        <v>11897.7</v>
      </c>
      <c r="D76" s="161">
        <f t="shared" ref="D76:K76" si="35">D54</f>
        <v>15033.2</v>
      </c>
      <c r="E76" s="161">
        <f t="shared" si="35"/>
        <v>20004.52</v>
      </c>
      <c r="F76" s="161">
        <f t="shared" si="35"/>
        <v>24870.2</v>
      </c>
      <c r="G76" s="161">
        <f t="shared" si="35"/>
        <v>24143.06</v>
      </c>
      <c r="H76" s="161">
        <f t="shared" si="35"/>
        <v>30976.27</v>
      </c>
      <c r="I76" s="161">
        <f t="shared" si="35"/>
        <v>42839.56</v>
      </c>
      <c r="J76" s="161">
        <f t="shared" si="35"/>
        <v>50788.83</v>
      </c>
      <c r="K76" s="161">
        <f t="shared" si="35"/>
        <v>59358.05</v>
      </c>
    </row>
    <row r="77" spans="2:11" x14ac:dyDescent="0.3">
      <c r="B77" s="184" t="s">
        <v>445</v>
      </c>
      <c r="C77" s="183">
        <f t="shared" ref="C77" si="36">C75/C76</f>
        <v>5.5367844205182509E-2</v>
      </c>
      <c r="D77" s="183">
        <f t="shared" ref="D77" si="37">D75/D76</f>
        <v>4.1478860122927917E-2</v>
      </c>
      <c r="E77" s="183">
        <f t="shared" ref="E77" si="38">E75/E76</f>
        <v>3.4522697870281317E-2</v>
      </c>
      <c r="F77" s="183">
        <f t="shared" ref="F77" si="39">F75/F76</f>
        <v>2.2647586267902951E-2</v>
      </c>
      <c r="G77" s="183">
        <f t="shared" ref="G77" si="40">G75/G76</f>
        <v>3.2051446668317933E-2</v>
      </c>
      <c r="H77" s="183">
        <f t="shared" ref="H77" si="41">H75/H76</f>
        <v>2.1293073698027555E-2</v>
      </c>
      <c r="I77" s="183">
        <f t="shared" ref="I77" si="42">I75/I76</f>
        <v>1.6893730934678136E-2</v>
      </c>
      <c r="J77" s="183">
        <f t="shared" ref="J77" si="43">J75/J76</f>
        <v>1.084687321995801E-2</v>
      </c>
      <c r="K77" s="183">
        <f>K75/K76</f>
        <v>1.3022159589137446E-2</v>
      </c>
    </row>
    <row r="79" spans="2:11" x14ac:dyDescent="0.3">
      <c r="B79" t="s">
        <v>25</v>
      </c>
      <c r="C79" s="161">
        <f t="shared" ref="C79:J79" si="44">C76</f>
        <v>11897.7</v>
      </c>
      <c r="D79" s="161">
        <f t="shared" si="44"/>
        <v>15033.2</v>
      </c>
      <c r="E79" s="161">
        <f t="shared" si="44"/>
        <v>20004.52</v>
      </c>
      <c r="F79" s="161">
        <f t="shared" si="44"/>
        <v>24870.2</v>
      </c>
      <c r="G79" s="161">
        <f t="shared" si="44"/>
        <v>24143.06</v>
      </c>
      <c r="H79" s="161">
        <f t="shared" si="44"/>
        <v>30976.27</v>
      </c>
      <c r="I79" s="161">
        <f t="shared" si="44"/>
        <v>42839.56</v>
      </c>
      <c r="J79" s="161">
        <f t="shared" si="44"/>
        <v>50788.83</v>
      </c>
      <c r="K79" s="161">
        <f>K76</f>
        <v>59358.05</v>
      </c>
    </row>
    <row r="80" spans="2:11" x14ac:dyDescent="0.3">
      <c r="B80" t="s">
        <v>447</v>
      </c>
      <c r="C80" s="161">
        <f>C58</f>
        <v>4460.42</v>
      </c>
      <c r="D80" s="161">
        <f t="shared" ref="D80:K80" si="45">D58</f>
        <v>5733.75</v>
      </c>
      <c r="E80" s="161">
        <f t="shared" si="45"/>
        <v>6326.8600000000006</v>
      </c>
      <c r="F80" s="161">
        <f t="shared" si="45"/>
        <v>9540.83</v>
      </c>
      <c r="G80" s="161">
        <f t="shared" si="45"/>
        <v>12865.605</v>
      </c>
      <c r="H80" s="161">
        <f t="shared" si="45"/>
        <v>14563.014999999999</v>
      </c>
      <c r="I80" s="161">
        <f t="shared" si="45"/>
        <v>16787.75</v>
      </c>
      <c r="J80" s="161">
        <f t="shared" si="45"/>
        <v>19638.5</v>
      </c>
      <c r="K80" s="161">
        <f t="shared" si="45"/>
        <v>22742.629999999997</v>
      </c>
    </row>
    <row r="81" spans="2:11" x14ac:dyDescent="0.3">
      <c r="B81" s="184" t="s">
        <v>448</v>
      </c>
      <c r="C81" s="185">
        <f t="shared" ref="C81" si="46">C79/C80</f>
        <v>2.6673945502889862</v>
      </c>
      <c r="D81" s="185">
        <f t="shared" ref="D81" si="47">D79/D80</f>
        <v>2.6218792238936124</v>
      </c>
      <c r="E81" s="185">
        <f t="shared" ref="E81" si="48">E79/E80</f>
        <v>3.1618401545158261</v>
      </c>
      <c r="F81" s="185">
        <f t="shared" ref="F81" si="49">F79/F80</f>
        <v>2.6067124139094817</v>
      </c>
      <c r="G81" s="185">
        <f t="shared" ref="G81" si="50">G79/G80</f>
        <v>1.8765584673243119</v>
      </c>
      <c r="H81" s="185">
        <f t="shared" ref="H81" si="51">H79/H80</f>
        <v>2.1270506141757046</v>
      </c>
      <c r="I81" s="185">
        <f t="shared" ref="I81" si="52">I79/I80</f>
        <v>2.551834522196244</v>
      </c>
      <c r="J81" s="185">
        <f t="shared" ref="J81" si="53">J79/J80</f>
        <v>2.5861868268961481</v>
      </c>
      <c r="K81" s="185">
        <f>K79/K80</f>
        <v>2.609990577167197</v>
      </c>
    </row>
    <row r="83" spans="2:11" x14ac:dyDescent="0.3">
      <c r="B83" s="184" t="s">
        <v>452</v>
      </c>
      <c r="C83" s="183">
        <f>C77*C81</f>
        <v>0.14768788589415344</v>
      </c>
      <c r="D83" s="183">
        <f t="shared" ref="D83:K83" si="54">D77*D81</f>
        <v>0.10875256158709395</v>
      </c>
      <c r="E83" s="183">
        <f t="shared" si="54"/>
        <v>0.10915525236847347</v>
      </c>
      <c r="F83" s="183">
        <f t="shared" si="54"/>
        <v>5.9035744269628529E-2</v>
      </c>
      <c r="G83" s="183">
        <f t="shared" si="54"/>
        <v>6.0146413635425625E-2</v>
      </c>
      <c r="H83" s="183">
        <f t="shared" si="54"/>
        <v>4.5291445487078051E-2</v>
      </c>
      <c r="I83" s="183">
        <f t="shared" si="54"/>
        <v>4.3110005807806287E-2</v>
      </c>
      <c r="J83" s="183">
        <f t="shared" si="54"/>
        <v>2.805204063446801E-2</v>
      </c>
      <c r="K83" s="183">
        <f t="shared" si="54"/>
        <v>3.3987713822016187E-2</v>
      </c>
    </row>
  </sheetData>
  <mergeCells count="5">
    <mergeCell ref="B45:K45"/>
    <mergeCell ref="B51:K51"/>
    <mergeCell ref="B67:K67"/>
    <mergeCell ref="B73:K73"/>
    <mergeCell ref="B11:I16"/>
  </mergeCells>
  <pageMargins left="0.7" right="0.7" top="0.75" bottom="0.75" header="0.3" footer="0.3"/>
  <pageSetup scale="46"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23</vt:i4>
      </vt:variant>
      <vt:variant>
        <vt:lpstr>Named Ranges</vt:lpstr>
      </vt:variant>
      <vt:variant>
        <vt:i4>1</vt:i4>
      </vt:variant>
    </vt:vector>
  </HeadingPairs>
  <TitlesOfParts>
    <vt:vector size="24" baseType="lpstr">
      <vt:lpstr>Alyman's Z Score</vt:lpstr>
      <vt:lpstr>Profit &amp; Loss</vt:lpstr>
      <vt:lpstr>Quarters</vt:lpstr>
      <vt:lpstr>Balance Sheet</vt:lpstr>
      <vt:lpstr>Cash Flow</vt:lpstr>
      <vt:lpstr>Data Sheet</vt:lpstr>
      <vt:lpstr>HistoricaIFS</vt:lpstr>
      <vt:lpstr>Forcasting</vt:lpstr>
      <vt:lpstr>WACC</vt:lpstr>
      <vt:lpstr>Beta</vt:lpstr>
      <vt:lpstr>Beta  - Comp </vt:lpstr>
      <vt:lpstr>Common Size Statement</vt:lpstr>
      <vt:lpstr>DCF</vt:lpstr>
      <vt:lpstr>Ratio Analysis</vt:lpstr>
      <vt:lpstr>Cash Flow Data</vt:lpstr>
      <vt:lpstr>Rm </vt:lpstr>
      <vt:lpstr>Raw FS</vt:lpstr>
      <vt:lpstr>Intresnsic Growth</vt:lpstr>
      <vt:lpstr>Comps Valuation </vt:lpstr>
      <vt:lpstr>DATA</vt:lpstr>
      <vt:lpstr>Historical Approch</vt:lpstr>
      <vt:lpstr>Monte Carlo Simulation</vt:lpstr>
      <vt:lpstr>Dupond Analysis</vt:lpstr>
      <vt:lpstr>UPDATE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Pratyush</dc:creator>
  <cp:lastModifiedBy>suraj shikalgar</cp:lastModifiedBy>
  <cp:lastPrinted>2025-09-30T05:25:47Z</cp:lastPrinted>
  <dcterms:created xsi:type="dcterms:W3CDTF">2012-08-17T09:55:37Z</dcterms:created>
  <dcterms:modified xsi:type="dcterms:W3CDTF">2026-06-14T02:33:34Z</dcterms:modified>
</cp:coreProperties>
</file>